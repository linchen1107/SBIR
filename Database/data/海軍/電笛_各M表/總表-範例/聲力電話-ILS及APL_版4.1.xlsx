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ynologyDrive\01 JSSC專案\02 整體後勤運作機制發展\15構型資料檔\01 各裝備整體後勤ILS資料庫\432  聲力電話系統--子晴\"/>
    </mc:Choice>
  </mc:AlternateContent>
  <xr:revisionPtr revIDLastSave="0" documentId="13_ncr:1_{13D275C8-6EEA-44EA-AAB9-9E1A83D20337}" xr6:coauthVersionLast="36" xr6:coauthVersionMax="47" xr10:uidLastSave="{00000000-0000-0000-0000-000000000000}"/>
  <bookViews>
    <workbookView xWindow="-108" yWindow="-108" windowWidth="19416" windowHeight="10296" activeTab="4" xr2:uid="{03E20D0F-D4F4-4D8E-B7DF-A1A979006F3D}"/>
  </bookViews>
  <sheets>
    <sheet name="清單及說明" sheetId="35" r:id="rId1"/>
    <sheet name="基本資料填寫" sheetId="32" r:id="rId2"/>
    <sheet name="有料號" sheetId="34" r:id="rId3"/>
    <sheet name="無料號" sheetId="36" r:id="rId4"/>
    <sheet name="申編單提送狀態" sheetId="20" r:id="rId5"/>
    <sheet name="BOM -確定版" sheetId="23" r:id="rId6"/>
    <sheet name="2M" sheetId="21" r:id="rId7"/>
    <sheet name="3M" sheetId="24" r:id="rId8"/>
    <sheet name="書籍檔建置" sheetId="26" r:id="rId9"/>
    <sheet name="16M" sheetId="27" r:id="rId10"/>
    <sheet name="18M" sheetId="28" r:id="rId11"/>
    <sheet name="19M" sheetId="29" r:id="rId12"/>
    <sheet name="20M" sheetId="30" r:id="rId13"/>
    <sheet name="封存_函數" sheetId="40" state="hidden" r:id="rId14"/>
    <sheet name="APL418" sheetId="37" r:id="rId15"/>
    <sheet name="APL419" sheetId="41" r:id="rId16"/>
  </sheets>
  <definedNames>
    <definedName name="_xlnm.Print_Area" localSheetId="14">'APL418'!$A$1:$T$62</definedName>
    <definedName name="_xlnm.Print_Area" localSheetId="15">'APL419'!$A$1:$T$62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U2" i="32" l="1"/>
  <c r="C4" i="20" l="1"/>
  <c r="C5" i="20"/>
  <c r="C6" i="20"/>
  <c r="D6" i="20" s="1"/>
  <c r="C7" i="20"/>
  <c r="D7" i="20" s="1"/>
  <c r="C3" i="20"/>
  <c r="DA3" i="32"/>
  <c r="DA4" i="32"/>
  <c r="DA5" i="32"/>
  <c r="DA6" i="32"/>
  <c r="DA7" i="32"/>
  <c r="DA8" i="32"/>
  <c r="DA9" i="32"/>
  <c r="DA10" i="32"/>
  <c r="DA11" i="32"/>
  <c r="DA12" i="32"/>
  <c r="DA13" i="32"/>
  <c r="DA14" i="32"/>
  <c r="DA15" i="32"/>
  <c r="DA16" i="32"/>
  <c r="DA17" i="32"/>
  <c r="DA18" i="32"/>
  <c r="DA19" i="32"/>
  <c r="DA20" i="32"/>
  <c r="DA21" i="32"/>
  <c r="DA22" i="32"/>
  <c r="DA23" i="32"/>
  <c r="DA24" i="32"/>
  <c r="DA25" i="32"/>
  <c r="DA26" i="32"/>
  <c r="DA27" i="32"/>
  <c r="DA28" i="32"/>
  <c r="DA29" i="32"/>
  <c r="DA30" i="32"/>
  <c r="DA31" i="32"/>
  <c r="DA32" i="32"/>
  <c r="DA33" i="32"/>
  <c r="DA34" i="32"/>
  <c r="DA35" i="32"/>
  <c r="DA36" i="32"/>
  <c r="DA37" i="32"/>
  <c r="DA38" i="32"/>
  <c r="DA39" i="32"/>
  <c r="DA40" i="32"/>
  <c r="DA41" i="32"/>
  <c r="DA42" i="32"/>
  <c r="DA43" i="32"/>
  <c r="DA44" i="32"/>
  <c r="DA45" i="32"/>
  <c r="DA46" i="32"/>
  <c r="DA47" i="32"/>
  <c r="DA48" i="32"/>
  <c r="DA49" i="32"/>
  <c r="DA50" i="32"/>
  <c r="DA51" i="32"/>
  <c r="DA52" i="32"/>
  <c r="DA53" i="32"/>
  <c r="DA54" i="32"/>
  <c r="DA55" i="32"/>
  <c r="DA56" i="32"/>
  <c r="DA57" i="32"/>
  <c r="DA58" i="32"/>
  <c r="DA59" i="32"/>
  <c r="DA60" i="32"/>
  <c r="DA61" i="32"/>
  <c r="DA62" i="32"/>
  <c r="DA63" i="32"/>
  <c r="DA64" i="32"/>
  <c r="DA65" i="32"/>
  <c r="DA66" i="32"/>
  <c r="DA67" i="32"/>
  <c r="DA68" i="32"/>
  <c r="DA69" i="32"/>
  <c r="DA70" i="32"/>
  <c r="DA71" i="32"/>
  <c r="DA72" i="32"/>
  <c r="DA73" i="32"/>
  <c r="DA74" i="32"/>
  <c r="DA75" i="32"/>
  <c r="DA76" i="32"/>
  <c r="DA77" i="32"/>
  <c r="DA78" i="32"/>
  <c r="DA79" i="32"/>
  <c r="DA80" i="32"/>
  <c r="DA81" i="32"/>
  <c r="DA82" i="32"/>
  <c r="DA83" i="32"/>
  <c r="DA84" i="32"/>
  <c r="DA85" i="32"/>
  <c r="DA86" i="32"/>
  <c r="DA87" i="32"/>
  <c r="DA88" i="32"/>
  <c r="DA89" i="32"/>
  <c r="DA90" i="32"/>
  <c r="DA91" i="32"/>
  <c r="DA92" i="32"/>
  <c r="DA93" i="32"/>
  <c r="DA94" i="32"/>
  <c r="DA95" i="32"/>
  <c r="DA96" i="32"/>
  <c r="DA97" i="32"/>
  <c r="DA98" i="32"/>
  <c r="DA99" i="32"/>
  <c r="DA100" i="32"/>
  <c r="DA2" i="32"/>
  <c r="D3" i="20" l="1"/>
  <c r="D8" i="20" s="1"/>
  <c r="C3" i="32" l="1"/>
  <c r="D3" i="32"/>
  <c r="E3" i="32"/>
  <c r="C4" i="32"/>
  <c r="D4" i="32"/>
  <c r="E4" i="32"/>
  <c r="C5" i="32"/>
  <c r="D5" i="32"/>
  <c r="E5" i="32"/>
  <c r="C6" i="32"/>
  <c r="D6" i="32"/>
  <c r="E6" i="32"/>
  <c r="C7" i="32"/>
  <c r="D7" i="32"/>
  <c r="E7" i="32"/>
  <c r="C8" i="32"/>
  <c r="D8" i="32"/>
  <c r="E8" i="32"/>
  <c r="C9" i="32"/>
  <c r="D9" i="32"/>
  <c r="E9" i="32"/>
  <c r="C10" i="32"/>
  <c r="D10" i="32"/>
  <c r="E10" i="32"/>
  <c r="C11" i="32"/>
  <c r="D11" i="32"/>
  <c r="E11" i="32"/>
  <c r="C12" i="32"/>
  <c r="D12" i="32"/>
  <c r="E12" i="32"/>
  <c r="C13" i="32"/>
  <c r="D13" i="32"/>
  <c r="E13" i="32"/>
  <c r="C14" i="32"/>
  <c r="D14" i="32"/>
  <c r="E14" i="32"/>
  <c r="C15" i="32"/>
  <c r="D15" i="32"/>
  <c r="E15" i="32"/>
  <c r="C16" i="32"/>
  <c r="D16" i="32"/>
  <c r="E16" i="32"/>
  <c r="C17" i="32"/>
  <c r="D17" i="32"/>
  <c r="E17" i="32"/>
  <c r="C18" i="32"/>
  <c r="D18" i="32"/>
  <c r="E18" i="32"/>
  <c r="C19" i="32"/>
  <c r="D19" i="32"/>
  <c r="E19" i="32"/>
  <c r="C20" i="32"/>
  <c r="D20" i="32"/>
  <c r="E20" i="32"/>
  <c r="C21" i="32"/>
  <c r="D21" i="32"/>
  <c r="E21" i="32"/>
  <c r="C22" i="32"/>
  <c r="D22" i="32"/>
  <c r="E22" i="32"/>
  <c r="C23" i="32"/>
  <c r="D23" i="32"/>
  <c r="E23" i="32"/>
  <c r="C24" i="32"/>
  <c r="D24" i="32"/>
  <c r="E24" i="32"/>
  <c r="C25" i="32"/>
  <c r="D25" i="32"/>
  <c r="E25" i="32"/>
  <c r="C26" i="32"/>
  <c r="D26" i="32"/>
  <c r="E26" i="32"/>
  <c r="C27" i="32"/>
  <c r="D27" i="32"/>
  <c r="E27" i="32"/>
  <c r="C28" i="32"/>
  <c r="D28" i="32"/>
  <c r="E28" i="32"/>
  <c r="C29" i="32"/>
  <c r="D29" i="32"/>
  <c r="E29" i="32"/>
  <c r="C30" i="32"/>
  <c r="D30" i="32"/>
  <c r="E30" i="32"/>
  <c r="C31" i="32"/>
  <c r="D31" i="32"/>
  <c r="E31" i="32"/>
  <c r="C32" i="32"/>
  <c r="D32" i="32"/>
  <c r="E32" i="32"/>
  <c r="C33" i="32"/>
  <c r="D33" i="32"/>
  <c r="E33" i="32"/>
  <c r="C34" i="32"/>
  <c r="D34" i="32"/>
  <c r="E34" i="32"/>
  <c r="C35" i="32"/>
  <c r="D35" i="32"/>
  <c r="E35" i="32"/>
  <c r="C36" i="32"/>
  <c r="D36" i="32"/>
  <c r="E36" i="32"/>
  <c r="C37" i="32"/>
  <c r="D37" i="32"/>
  <c r="E37" i="32"/>
  <c r="C38" i="32"/>
  <c r="D38" i="32"/>
  <c r="E38" i="32"/>
  <c r="C39" i="32"/>
  <c r="D39" i="32"/>
  <c r="E39" i="32"/>
  <c r="C40" i="32"/>
  <c r="D40" i="32"/>
  <c r="E40" i="32"/>
  <c r="C41" i="32"/>
  <c r="D41" i="32"/>
  <c r="E41" i="32"/>
  <c r="C42" i="32"/>
  <c r="D42" i="32"/>
  <c r="E42" i="32"/>
  <c r="C43" i="32"/>
  <c r="D43" i="32"/>
  <c r="E43" i="32"/>
  <c r="C44" i="32"/>
  <c r="D44" i="32"/>
  <c r="E44" i="32"/>
  <c r="C45" i="32"/>
  <c r="D45" i="32"/>
  <c r="E45" i="32"/>
  <c r="C46" i="32"/>
  <c r="D46" i="32"/>
  <c r="E46" i="32"/>
  <c r="C47" i="32"/>
  <c r="D47" i="32"/>
  <c r="E47" i="32"/>
  <c r="C48" i="32"/>
  <c r="D48" i="32"/>
  <c r="E48" i="32"/>
  <c r="C49" i="32"/>
  <c r="D49" i="32"/>
  <c r="E49" i="32"/>
  <c r="C50" i="32"/>
  <c r="D50" i="32"/>
  <c r="E50" i="32"/>
  <c r="C51" i="32"/>
  <c r="D51" i="32"/>
  <c r="E51" i="32"/>
  <c r="C52" i="32"/>
  <c r="D52" i="32"/>
  <c r="E52" i="32"/>
  <c r="C53" i="32"/>
  <c r="D53" i="32"/>
  <c r="E53" i="32"/>
  <c r="C54" i="32"/>
  <c r="D54" i="32"/>
  <c r="E54" i="32"/>
  <c r="C55" i="32"/>
  <c r="D55" i="32"/>
  <c r="E55" i="32"/>
  <c r="C56" i="32"/>
  <c r="D56" i="32"/>
  <c r="E56" i="32"/>
  <c r="C57" i="32"/>
  <c r="D57" i="32"/>
  <c r="E57" i="32"/>
  <c r="C58" i="32"/>
  <c r="D58" i="32"/>
  <c r="E58" i="32"/>
  <c r="C59" i="32"/>
  <c r="D59" i="32"/>
  <c r="E59" i="32"/>
  <c r="C60" i="32"/>
  <c r="D60" i="32"/>
  <c r="E60" i="32"/>
  <c r="C61" i="32"/>
  <c r="D61" i="32"/>
  <c r="E61" i="32"/>
  <c r="C62" i="32"/>
  <c r="D62" i="32"/>
  <c r="E62" i="32"/>
  <c r="C63" i="32"/>
  <c r="D63" i="32"/>
  <c r="E63" i="32"/>
  <c r="C64" i="32"/>
  <c r="D64" i="32"/>
  <c r="E64" i="32"/>
  <c r="C65" i="32"/>
  <c r="D65" i="32"/>
  <c r="E65" i="32"/>
  <c r="C66" i="32"/>
  <c r="D66" i="32"/>
  <c r="E66" i="32"/>
  <c r="C67" i="32"/>
  <c r="D67" i="32"/>
  <c r="E67" i="32"/>
  <c r="C68" i="32"/>
  <c r="D68" i="32"/>
  <c r="E68" i="32"/>
  <c r="C69" i="32"/>
  <c r="D69" i="32"/>
  <c r="E69" i="32"/>
  <c r="C70" i="32"/>
  <c r="D70" i="32"/>
  <c r="E70" i="32"/>
  <c r="C71" i="32"/>
  <c r="D71" i="32"/>
  <c r="E71" i="32"/>
  <c r="C72" i="32"/>
  <c r="D72" i="32"/>
  <c r="E72" i="32"/>
  <c r="C73" i="32"/>
  <c r="D73" i="32"/>
  <c r="E73" i="32"/>
  <c r="C74" i="32"/>
  <c r="D74" i="32"/>
  <c r="E74" i="32"/>
  <c r="C75" i="32"/>
  <c r="D75" i="32"/>
  <c r="E75" i="32"/>
  <c r="C76" i="32"/>
  <c r="D76" i="32"/>
  <c r="E76" i="32"/>
  <c r="C77" i="32"/>
  <c r="D77" i="32"/>
  <c r="E77" i="32"/>
  <c r="C78" i="32"/>
  <c r="D78" i="32"/>
  <c r="E78" i="32"/>
  <c r="C79" i="32"/>
  <c r="D79" i="32"/>
  <c r="E79" i="32"/>
  <c r="C80" i="32"/>
  <c r="D80" i="32"/>
  <c r="E80" i="32"/>
  <c r="C81" i="32"/>
  <c r="D81" i="32"/>
  <c r="E81" i="32"/>
  <c r="C82" i="32"/>
  <c r="D82" i="32"/>
  <c r="E82" i="32"/>
  <c r="C83" i="32"/>
  <c r="D83" i="32"/>
  <c r="E83" i="32"/>
  <c r="C84" i="32"/>
  <c r="D84" i="32"/>
  <c r="E84" i="32"/>
  <c r="C85" i="32"/>
  <c r="D85" i="32"/>
  <c r="E85" i="32"/>
  <c r="C86" i="32"/>
  <c r="D86" i="32"/>
  <c r="E86" i="32"/>
  <c r="C87" i="32"/>
  <c r="D87" i="32"/>
  <c r="E87" i="32"/>
  <c r="C88" i="32"/>
  <c r="D88" i="32"/>
  <c r="E88" i="32"/>
  <c r="C89" i="32"/>
  <c r="D89" i="32"/>
  <c r="E89" i="32"/>
  <c r="C90" i="32"/>
  <c r="D90" i="32"/>
  <c r="E90" i="32"/>
  <c r="C91" i="32"/>
  <c r="D91" i="32"/>
  <c r="E91" i="32"/>
  <c r="C92" i="32"/>
  <c r="D92" i="32"/>
  <c r="E92" i="32"/>
  <c r="C93" i="32"/>
  <c r="D93" i="32"/>
  <c r="E93" i="32"/>
  <c r="C94" i="32"/>
  <c r="D94" i="32"/>
  <c r="E94" i="32"/>
  <c r="C95" i="32"/>
  <c r="D95" i="32"/>
  <c r="E95" i="32"/>
  <c r="C96" i="32"/>
  <c r="D96" i="32"/>
  <c r="E96" i="32"/>
  <c r="C97" i="32"/>
  <c r="D97" i="32"/>
  <c r="E97" i="32"/>
  <c r="C98" i="32"/>
  <c r="D98" i="32"/>
  <c r="E98" i="32"/>
  <c r="C99" i="32"/>
  <c r="D99" i="32"/>
  <c r="E99" i="32"/>
  <c r="C100" i="32"/>
  <c r="D100" i="32"/>
  <c r="E100" i="32"/>
  <c r="C2" i="32"/>
  <c r="D2" i="32"/>
  <c r="E2" i="32"/>
  <c r="D4" i="21" l="1"/>
  <c r="I5" i="29"/>
  <c r="I33" i="29"/>
  <c r="I61" i="29"/>
  <c r="I89" i="29"/>
  <c r="I91" i="29"/>
  <c r="I64" i="29"/>
  <c r="I65" i="29"/>
  <c r="I10" i="29"/>
  <c r="I95" i="29"/>
  <c r="I68" i="29"/>
  <c r="I97" i="29"/>
  <c r="I70" i="29"/>
  <c r="I99" i="29"/>
  <c r="I44" i="29"/>
  <c r="I46" i="29"/>
  <c r="I47" i="29"/>
  <c r="I49" i="29"/>
  <c r="I23" i="29"/>
  <c r="I26" i="29"/>
  <c r="I56" i="29"/>
  <c r="I58" i="29"/>
  <c r="I32" i="29"/>
  <c r="I6" i="29"/>
  <c r="I34" i="29"/>
  <c r="I62" i="29"/>
  <c r="I90" i="29"/>
  <c r="I36" i="29"/>
  <c r="I92" i="29"/>
  <c r="I93" i="29"/>
  <c r="I66" i="29"/>
  <c r="I39" i="29"/>
  <c r="I40" i="29"/>
  <c r="I13" i="29"/>
  <c r="I43" i="29"/>
  <c r="I100" i="29"/>
  <c r="I18" i="29"/>
  <c r="I75" i="29"/>
  <c r="I21" i="29"/>
  <c r="I79" i="29"/>
  <c r="I25" i="29"/>
  <c r="I83" i="29"/>
  <c r="I57" i="29"/>
  <c r="I31" i="29"/>
  <c r="I7" i="29"/>
  <c r="I35" i="29"/>
  <c r="I63" i="29"/>
  <c r="I37" i="29"/>
  <c r="I38" i="29"/>
  <c r="I94" i="29"/>
  <c r="I12" i="29"/>
  <c r="I41" i="29"/>
  <c r="I98" i="29"/>
  <c r="I16" i="29"/>
  <c r="I101" i="29"/>
  <c r="I102" i="29"/>
  <c r="I4" i="29"/>
  <c r="I76" i="29"/>
  <c r="I50" i="29"/>
  <c r="I80" i="29"/>
  <c r="I54" i="29"/>
  <c r="I84" i="29"/>
  <c r="I85" i="29"/>
  <c r="I87" i="29"/>
  <c r="I88" i="29"/>
  <c r="I8" i="29"/>
  <c r="I67" i="29"/>
  <c r="I69" i="29"/>
  <c r="I15" i="29"/>
  <c r="I17" i="29"/>
  <c r="I74" i="29"/>
  <c r="I48" i="29"/>
  <c r="I22" i="29"/>
  <c r="I24" i="29"/>
  <c r="I27" i="29"/>
  <c r="I30" i="29"/>
  <c r="I9" i="29"/>
  <c r="I96" i="29"/>
  <c r="I71" i="29"/>
  <c r="I72" i="29"/>
  <c r="I73" i="29"/>
  <c r="I19" i="29"/>
  <c r="I77" i="29"/>
  <c r="I51" i="29"/>
  <c r="I53" i="29"/>
  <c r="I55" i="29"/>
  <c r="I29" i="29"/>
  <c r="I59" i="29"/>
  <c r="I42" i="29"/>
  <c r="I11" i="29"/>
  <c r="I45" i="29"/>
  <c r="I20" i="29"/>
  <c r="I78" i="29"/>
  <c r="I52" i="29"/>
  <c r="I82" i="29"/>
  <c r="I28" i="29"/>
  <c r="I86" i="29"/>
  <c r="I60" i="29"/>
  <c r="I14" i="29"/>
  <c r="I81" i="29"/>
  <c r="AH5" i="29"/>
  <c r="AL9" i="29"/>
  <c r="AJ14" i="29"/>
  <c r="AH19" i="29"/>
  <c r="AL23" i="29"/>
  <c r="AJ28" i="29"/>
  <c r="AH33" i="29"/>
  <c r="AL37" i="29"/>
  <c r="AJ42" i="29"/>
  <c r="AH47" i="29"/>
  <c r="AL51" i="29"/>
  <c r="AJ56" i="29"/>
  <c r="AH61" i="29"/>
  <c r="AL65" i="29"/>
  <c r="AJ70" i="29"/>
  <c r="AH75" i="29"/>
  <c r="AL79" i="29"/>
  <c r="AJ84" i="29"/>
  <c r="AH89" i="29"/>
  <c r="AL93" i="29"/>
  <c r="AJ98" i="29"/>
  <c r="AC5" i="29"/>
  <c r="AC33" i="29"/>
  <c r="AC61" i="29"/>
  <c r="AC89" i="29"/>
  <c r="M12" i="26"/>
  <c r="D11" i="30"/>
  <c r="D39" i="30"/>
  <c r="D67" i="30"/>
  <c r="D95" i="30"/>
  <c r="F11" i="26"/>
  <c r="F25" i="26"/>
  <c r="F39" i="26"/>
  <c r="F53" i="26"/>
  <c r="F67" i="26"/>
  <c r="F81" i="26"/>
  <c r="F95" i="26"/>
  <c r="F41" i="26"/>
  <c r="E14" i="26"/>
  <c r="E42" i="26"/>
  <c r="F98" i="26"/>
  <c r="AI20" i="29"/>
  <c r="AI62" i="29"/>
  <c r="AI90" i="29"/>
  <c r="AC96" i="29"/>
  <c r="E15" i="26"/>
  <c r="AH11" i="29"/>
  <c r="AH67" i="29"/>
  <c r="AL99" i="29"/>
  <c r="D47" i="30"/>
  <c r="F71" i="26"/>
  <c r="AK34" i="29"/>
  <c r="AI39" i="29"/>
  <c r="AI67" i="29"/>
  <c r="AK90" i="29"/>
  <c r="AC70" i="29"/>
  <c r="D76" i="30"/>
  <c r="E58" i="26"/>
  <c r="AI5" i="29"/>
  <c r="AM9" i="29"/>
  <c r="AK14" i="29"/>
  <c r="AI19" i="29"/>
  <c r="AM23" i="29"/>
  <c r="AK28" i="29"/>
  <c r="AI33" i="29"/>
  <c r="AM37" i="29"/>
  <c r="AK42" i="29"/>
  <c r="AI47" i="29"/>
  <c r="AM51" i="29"/>
  <c r="AK56" i="29"/>
  <c r="AI61" i="29"/>
  <c r="AM65" i="29"/>
  <c r="AK70" i="29"/>
  <c r="AI75" i="29"/>
  <c r="AM79" i="29"/>
  <c r="AK84" i="29"/>
  <c r="AI89" i="29"/>
  <c r="AM93" i="29"/>
  <c r="AK98" i="29"/>
  <c r="AC6" i="29"/>
  <c r="AC34" i="29"/>
  <c r="AC62" i="29"/>
  <c r="AC90" i="29"/>
  <c r="N12" i="26"/>
  <c r="D12" i="30"/>
  <c r="D40" i="30"/>
  <c r="D68" i="30"/>
  <c r="D96" i="30"/>
  <c r="E12" i="26"/>
  <c r="E26" i="26"/>
  <c r="E40" i="26"/>
  <c r="E54" i="26"/>
  <c r="E68" i="26"/>
  <c r="E82" i="26"/>
  <c r="E96" i="26"/>
  <c r="F54" i="26"/>
  <c r="F82" i="26"/>
  <c r="F13" i="26"/>
  <c r="D44" i="30"/>
  <c r="E84" i="26"/>
  <c r="AK15" i="29"/>
  <c r="AK43" i="29"/>
  <c r="AK85" i="29"/>
  <c r="N15" i="26"/>
  <c r="E57" i="26"/>
  <c r="AL15" i="29"/>
  <c r="AJ48" i="29"/>
  <c r="AL85" i="29"/>
  <c r="AC97" i="29"/>
  <c r="F29" i="26"/>
  <c r="AI11" i="29"/>
  <c r="AM57" i="29"/>
  <c r="AI95" i="29"/>
  <c r="D20" i="30"/>
  <c r="AJ5" i="29"/>
  <c r="AH10" i="29"/>
  <c r="AL14" i="29"/>
  <c r="AJ19" i="29"/>
  <c r="AH24" i="29"/>
  <c r="AL28" i="29"/>
  <c r="AJ33" i="29"/>
  <c r="AH38" i="29"/>
  <c r="AL42" i="29"/>
  <c r="AJ47" i="29"/>
  <c r="AH52" i="29"/>
  <c r="AL56" i="29"/>
  <c r="AJ61" i="29"/>
  <c r="AH66" i="29"/>
  <c r="AL70" i="29"/>
  <c r="AJ75" i="29"/>
  <c r="AH80" i="29"/>
  <c r="AL84" i="29"/>
  <c r="AJ89" i="29"/>
  <c r="AH94" i="29"/>
  <c r="AL98" i="29"/>
  <c r="AC7" i="29"/>
  <c r="AC35" i="29"/>
  <c r="AC63" i="29"/>
  <c r="AC91" i="29"/>
  <c r="M13" i="26"/>
  <c r="D13" i="30"/>
  <c r="D41" i="30"/>
  <c r="D69" i="30"/>
  <c r="D97" i="30"/>
  <c r="F12" i="26"/>
  <c r="F26" i="26"/>
  <c r="F40" i="26"/>
  <c r="F68" i="26"/>
  <c r="F96" i="26"/>
  <c r="F55" i="26"/>
  <c r="D16" i="30"/>
  <c r="E98" i="26"/>
  <c r="AM24" i="29"/>
  <c r="AM38" i="29"/>
  <c r="AK71" i="29"/>
  <c r="AK99" i="29"/>
  <c r="D18" i="30"/>
  <c r="E29" i="26"/>
  <c r="AJ6" i="29"/>
  <c r="AL71" i="29"/>
  <c r="AC69" i="29"/>
  <c r="F15" i="26"/>
  <c r="AM15" i="29"/>
  <c r="AK48" i="29"/>
  <c r="AM85" i="29"/>
  <c r="N16" i="26"/>
  <c r="E30" i="26"/>
  <c r="AK5" i="29"/>
  <c r="AI10" i="29"/>
  <c r="AM14" i="29"/>
  <c r="AK19" i="29"/>
  <c r="AI24" i="29"/>
  <c r="AM28" i="29"/>
  <c r="AK33" i="29"/>
  <c r="AI38" i="29"/>
  <c r="AM42" i="29"/>
  <c r="AK47" i="29"/>
  <c r="AI52" i="29"/>
  <c r="AM56" i="29"/>
  <c r="AK61" i="29"/>
  <c r="AI66" i="29"/>
  <c r="AM70" i="29"/>
  <c r="AK75" i="29"/>
  <c r="AI80" i="29"/>
  <c r="AM84" i="29"/>
  <c r="AK89" i="29"/>
  <c r="AI94" i="29"/>
  <c r="AM98" i="29"/>
  <c r="AC8" i="29"/>
  <c r="AC36" i="29"/>
  <c r="AC64" i="29"/>
  <c r="AC92" i="29"/>
  <c r="N13" i="26"/>
  <c r="D14" i="30"/>
  <c r="D42" i="30"/>
  <c r="D70" i="30"/>
  <c r="D98" i="30"/>
  <c r="E13" i="26"/>
  <c r="E27" i="26"/>
  <c r="E41" i="26"/>
  <c r="E55" i="26"/>
  <c r="E69" i="26"/>
  <c r="E83" i="26"/>
  <c r="E97" i="26"/>
  <c r="F69" i="26"/>
  <c r="F97" i="26"/>
  <c r="D100" i="30"/>
  <c r="E70" i="26"/>
  <c r="AI6" i="29"/>
  <c r="AM66" i="29"/>
  <c r="AC40" i="29"/>
  <c r="D102" i="30"/>
  <c r="E99" i="26"/>
  <c r="AJ20" i="29"/>
  <c r="AL43" i="29"/>
  <c r="AJ76" i="29"/>
  <c r="AC13" i="29"/>
  <c r="D75" i="30"/>
  <c r="F85" i="26"/>
  <c r="AI25" i="29"/>
  <c r="AI53" i="29"/>
  <c r="AI81" i="29"/>
  <c r="AC42" i="29"/>
  <c r="E16" i="26"/>
  <c r="AL5" i="29"/>
  <c r="AJ10" i="29"/>
  <c r="AH15" i="29"/>
  <c r="AL19" i="29"/>
  <c r="AJ24" i="29"/>
  <c r="AH29" i="29"/>
  <c r="AL33" i="29"/>
  <c r="AJ38" i="29"/>
  <c r="AH43" i="29"/>
  <c r="AL47" i="29"/>
  <c r="AJ52" i="29"/>
  <c r="AH57" i="29"/>
  <c r="AL61" i="29"/>
  <c r="AJ66" i="29"/>
  <c r="AH71" i="29"/>
  <c r="AL75" i="29"/>
  <c r="AJ80" i="29"/>
  <c r="AH85" i="29"/>
  <c r="AL89" i="29"/>
  <c r="AJ94" i="29"/>
  <c r="AH99" i="29"/>
  <c r="AC9" i="29"/>
  <c r="AC37" i="29"/>
  <c r="AC65" i="29"/>
  <c r="AC93" i="29"/>
  <c r="M14" i="26"/>
  <c r="D15" i="30"/>
  <c r="D43" i="30"/>
  <c r="D71" i="30"/>
  <c r="D99" i="30"/>
  <c r="F27" i="26"/>
  <c r="F83" i="26"/>
  <c r="E56" i="26"/>
  <c r="AM10" i="29"/>
  <c r="AK57" i="29"/>
  <c r="AM94" i="29"/>
  <c r="D46" i="30"/>
  <c r="E85" i="26"/>
  <c r="AH25" i="29"/>
  <c r="AH53" i="29"/>
  <c r="AH81" i="29"/>
  <c r="AC41" i="29"/>
  <c r="D4" i="30"/>
  <c r="B4" i="30" s="1"/>
  <c r="F99" i="26"/>
  <c r="AK20" i="29"/>
  <c r="AK62" i="29"/>
  <c r="AM99" i="29"/>
  <c r="D48" i="30"/>
  <c r="AM5" i="29"/>
  <c r="AK10" i="29"/>
  <c r="AI15" i="29"/>
  <c r="AM19" i="29"/>
  <c r="AK24" i="29"/>
  <c r="AI29" i="29"/>
  <c r="AM33" i="29"/>
  <c r="AK38" i="29"/>
  <c r="AI43" i="29"/>
  <c r="AM47" i="29"/>
  <c r="AK52" i="29"/>
  <c r="AI57" i="29"/>
  <c r="AM61" i="29"/>
  <c r="AK66" i="29"/>
  <c r="AI71" i="29"/>
  <c r="AM75" i="29"/>
  <c r="AK80" i="29"/>
  <c r="AI85" i="29"/>
  <c r="AM89" i="29"/>
  <c r="AK94" i="29"/>
  <c r="AI99" i="29"/>
  <c r="AC10" i="29"/>
  <c r="AC38" i="29"/>
  <c r="AC66" i="29"/>
  <c r="AC94" i="29"/>
  <c r="N14" i="26"/>
  <c r="D72" i="30"/>
  <c r="E28" i="26"/>
  <c r="AI34" i="29"/>
  <c r="AI48" i="29"/>
  <c r="AI76" i="29"/>
  <c r="AC12" i="29"/>
  <c r="D74" i="30"/>
  <c r="E71" i="26"/>
  <c r="AL29" i="29"/>
  <c r="AL57" i="29"/>
  <c r="AJ90" i="29"/>
  <c r="M16" i="26"/>
  <c r="F43" i="26"/>
  <c r="AK6" i="29"/>
  <c r="AM71" i="29"/>
  <c r="AC98" i="29"/>
  <c r="E44" i="26"/>
  <c r="AH6" i="29"/>
  <c r="AL10" i="29"/>
  <c r="AJ15" i="29"/>
  <c r="AH20" i="29"/>
  <c r="AL24" i="29"/>
  <c r="AJ29" i="29"/>
  <c r="AH34" i="29"/>
  <c r="AL38" i="29"/>
  <c r="AJ43" i="29"/>
  <c r="AH48" i="29"/>
  <c r="AL52" i="29"/>
  <c r="AJ57" i="29"/>
  <c r="AH62" i="29"/>
  <c r="AL66" i="29"/>
  <c r="AJ71" i="29"/>
  <c r="AH76" i="29"/>
  <c r="AL80" i="29"/>
  <c r="AJ85" i="29"/>
  <c r="AH90" i="29"/>
  <c r="AL94" i="29"/>
  <c r="AJ99" i="29"/>
  <c r="AC11" i="29"/>
  <c r="AC39" i="29"/>
  <c r="AC67" i="29"/>
  <c r="AC95" i="29"/>
  <c r="M15" i="26"/>
  <c r="D17" i="30"/>
  <c r="D45" i="30"/>
  <c r="D73" i="30"/>
  <c r="D101" i="30"/>
  <c r="F14" i="26"/>
  <c r="F28" i="26"/>
  <c r="F42" i="26"/>
  <c r="F56" i="26"/>
  <c r="F70" i="26"/>
  <c r="F84" i="26"/>
  <c r="AK29" i="29"/>
  <c r="AM52" i="29"/>
  <c r="AM80" i="29"/>
  <c r="AC68" i="29"/>
  <c r="E43" i="26"/>
  <c r="AJ34" i="29"/>
  <c r="AH39" i="29"/>
  <c r="AJ62" i="29"/>
  <c r="AH95" i="29"/>
  <c r="D19" i="30"/>
  <c r="F57" i="26"/>
  <c r="AM29" i="29"/>
  <c r="AM43" i="29"/>
  <c r="AK76" i="29"/>
  <c r="AC14" i="29"/>
  <c r="F5" i="29"/>
  <c r="AM6" i="29"/>
  <c r="AK11" i="29"/>
  <c r="AI16" i="29"/>
  <c r="AM20" i="29"/>
  <c r="AK25" i="29"/>
  <c r="AI30" i="29"/>
  <c r="AM34" i="29"/>
  <c r="AK39" i="29"/>
  <c r="AI44" i="29"/>
  <c r="AM48" i="29"/>
  <c r="AK53" i="29"/>
  <c r="AI58" i="29"/>
  <c r="AM62" i="29"/>
  <c r="AK67" i="29"/>
  <c r="AI72" i="29"/>
  <c r="AM76" i="29"/>
  <c r="AK81" i="29"/>
  <c r="AI86" i="29"/>
  <c r="AM90" i="29"/>
  <c r="AK95" i="29"/>
  <c r="AI100" i="29"/>
  <c r="AC16" i="29"/>
  <c r="AC44" i="29"/>
  <c r="AC72" i="29"/>
  <c r="AC100" i="29"/>
  <c r="N17" i="26"/>
  <c r="D22" i="30"/>
  <c r="D50" i="30"/>
  <c r="D78" i="30"/>
  <c r="E17" i="26"/>
  <c r="E31" i="26"/>
  <c r="E45" i="26"/>
  <c r="E59" i="26"/>
  <c r="E73" i="26"/>
  <c r="E87" i="26"/>
  <c r="E101" i="26"/>
  <c r="AH7" i="29"/>
  <c r="AL11" i="29"/>
  <c r="AJ16" i="29"/>
  <c r="AH21" i="29"/>
  <c r="AL25" i="29"/>
  <c r="AJ30" i="29"/>
  <c r="AH35" i="29"/>
  <c r="AL39" i="29"/>
  <c r="AJ44" i="29"/>
  <c r="AH49" i="29"/>
  <c r="AL53" i="29"/>
  <c r="AJ58" i="29"/>
  <c r="AH63" i="29"/>
  <c r="AL67" i="29"/>
  <c r="AJ72" i="29"/>
  <c r="AH77" i="29"/>
  <c r="AL81" i="29"/>
  <c r="AJ86" i="29"/>
  <c r="AH91" i="29"/>
  <c r="AL95" i="29"/>
  <c r="AJ100" i="29"/>
  <c r="AC17" i="29"/>
  <c r="AC45" i="29"/>
  <c r="AC73" i="29"/>
  <c r="AC101" i="29"/>
  <c r="M18" i="26"/>
  <c r="D23" i="30"/>
  <c r="D51" i="30"/>
  <c r="D79" i="30"/>
  <c r="F17" i="26"/>
  <c r="F31" i="26"/>
  <c r="F45" i="26"/>
  <c r="F59" i="26"/>
  <c r="F73" i="26"/>
  <c r="F87" i="26"/>
  <c r="F101" i="26"/>
  <c r="AI7" i="29"/>
  <c r="AM11" i="29"/>
  <c r="AK16" i="29"/>
  <c r="AI21" i="29"/>
  <c r="AM25" i="29"/>
  <c r="AK30" i="29"/>
  <c r="AI35" i="29"/>
  <c r="AM39" i="29"/>
  <c r="AK44" i="29"/>
  <c r="AI49" i="29"/>
  <c r="AM53" i="29"/>
  <c r="AK58" i="29"/>
  <c r="AI63" i="29"/>
  <c r="AJ7" i="29"/>
  <c r="AH12" i="29"/>
  <c r="AL16" i="29"/>
  <c r="AJ21" i="29"/>
  <c r="AH26" i="29"/>
  <c r="AL30" i="29"/>
  <c r="AJ35" i="29"/>
  <c r="AH40" i="29"/>
  <c r="AL44" i="29"/>
  <c r="AJ49" i="29"/>
  <c r="AH54" i="29"/>
  <c r="AL58" i="29"/>
  <c r="AJ63" i="29"/>
  <c r="AH68" i="29"/>
  <c r="AL72" i="29"/>
  <c r="AJ77" i="29"/>
  <c r="AH82" i="29"/>
  <c r="AL86" i="29"/>
  <c r="AJ91" i="29"/>
  <c r="AH96" i="29"/>
  <c r="AL100" i="29"/>
  <c r="AC19" i="29"/>
  <c r="AC47" i="29"/>
  <c r="AC75" i="29"/>
  <c r="M5" i="26"/>
  <c r="M19" i="26"/>
  <c r="D25" i="30"/>
  <c r="D53" i="30"/>
  <c r="D81" i="30"/>
  <c r="F18" i="26"/>
  <c r="F32" i="26"/>
  <c r="F46" i="26"/>
  <c r="F60" i="26"/>
  <c r="F74" i="26"/>
  <c r="F88" i="26"/>
  <c r="F102" i="26"/>
  <c r="AK7" i="29"/>
  <c r="AI12" i="29"/>
  <c r="AM16" i="29"/>
  <c r="AK21" i="29"/>
  <c r="AI26" i="29"/>
  <c r="AM30" i="29"/>
  <c r="AK35" i="29"/>
  <c r="AI40" i="29"/>
  <c r="AM44" i="29"/>
  <c r="AK49" i="29"/>
  <c r="AI54" i="29"/>
  <c r="AM58" i="29"/>
  <c r="AK63" i="29"/>
  <c r="AI68" i="29"/>
  <c r="AM72" i="29"/>
  <c r="AK77" i="29"/>
  <c r="AI82" i="29"/>
  <c r="AM86" i="29"/>
  <c r="AK91" i="29"/>
  <c r="AI96" i="29"/>
  <c r="AM100" i="29"/>
  <c r="AC20" i="29"/>
  <c r="AC48" i="29"/>
  <c r="AC76" i="29"/>
  <c r="N5" i="26"/>
  <c r="N19" i="26"/>
  <c r="D26" i="30"/>
  <c r="D54" i="30"/>
  <c r="D82" i="30"/>
  <c r="E5" i="26"/>
  <c r="E19" i="26"/>
  <c r="E33" i="26"/>
  <c r="E47" i="26"/>
  <c r="E61" i="26"/>
  <c r="E75" i="26"/>
  <c r="E89" i="26"/>
  <c r="F4" i="26"/>
  <c r="AM7" i="29"/>
  <c r="AK12" i="29"/>
  <c r="AI17" i="29"/>
  <c r="AM21" i="29"/>
  <c r="AK26" i="29"/>
  <c r="AI31" i="29"/>
  <c r="AM35" i="29"/>
  <c r="AK40" i="29"/>
  <c r="AI45" i="29"/>
  <c r="AM49" i="29"/>
  <c r="AK54" i="29"/>
  <c r="AI59" i="29"/>
  <c r="AM63" i="29"/>
  <c r="AK68" i="29"/>
  <c r="AI73" i="29"/>
  <c r="AM77" i="29"/>
  <c r="AK82" i="29"/>
  <c r="AI87" i="29"/>
  <c r="AM91" i="29"/>
  <c r="AK96" i="29"/>
  <c r="AI101" i="29"/>
  <c r="AC22" i="29"/>
  <c r="AC50" i="29"/>
  <c r="AC78" i="29"/>
  <c r="N6" i="26"/>
  <c r="K13" i="26"/>
  <c r="D28" i="30"/>
  <c r="D56" i="30"/>
  <c r="D84" i="30"/>
  <c r="E6" i="26"/>
  <c r="E20" i="26"/>
  <c r="E34" i="26"/>
  <c r="E48" i="26"/>
  <c r="E62" i="26"/>
  <c r="E76" i="26"/>
  <c r="E90" i="26"/>
  <c r="AJ101" i="29"/>
  <c r="M7" i="26"/>
  <c r="D29" i="30"/>
  <c r="D57" i="30"/>
  <c r="F6" i="26"/>
  <c r="F20" i="26"/>
  <c r="F48" i="26"/>
  <c r="F76" i="26"/>
  <c r="F90" i="26"/>
  <c r="AI8" i="29"/>
  <c r="AK17" i="29"/>
  <c r="AI22" i="29"/>
  <c r="AM26" i="29"/>
  <c r="AK31" i="29"/>
  <c r="AH8" i="29"/>
  <c r="AL12" i="29"/>
  <c r="AJ17" i="29"/>
  <c r="AH22" i="29"/>
  <c r="AL26" i="29"/>
  <c r="AJ31" i="29"/>
  <c r="AH36" i="29"/>
  <c r="AL40" i="29"/>
  <c r="AJ45" i="29"/>
  <c r="AH50" i="29"/>
  <c r="AL54" i="29"/>
  <c r="AJ59" i="29"/>
  <c r="AH64" i="29"/>
  <c r="AL68" i="29"/>
  <c r="AJ73" i="29"/>
  <c r="AH78" i="29"/>
  <c r="AL82" i="29"/>
  <c r="AJ87" i="29"/>
  <c r="AH92" i="29"/>
  <c r="AL96" i="29"/>
  <c r="AC23" i="29"/>
  <c r="AC51" i="29"/>
  <c r="AC79" i="29"/>
  <c r="K14" i="26"/>
  <c r="D85" i="30"/>
  <c r="F34" i="26"/>
  <c r="F62" i="26"/>
  <c r="AM12" i="29"/>
  <c r="AJ8" i="29"/>
  <c r="AH13" i="29"/>
  <c r="AL17" i="29"/>
  <c r="AJ22" i="29"/>
  <c r="AH27" i="29"/>
  <c r="AL31" i="29"/>
  <c r="AJ36" i="29"/>
  <c r="AH41" i="29"/>
  <c r="AL45" i="29"/>
  <c r="AJ50" i="29"/>
  <c r="AH55" i="29"/>
  <c r="AL59" i="29"/>
  <c r="AJ64" i="29"/>
  <c r="AH69" i="29"/>
  <c r="AL73" i="29"/>
  <c r="AJ78" i="29"/>
  <c r="AH83" i="29"/>
  <c r="AL87" i="29"/>
  <c r="AJ92" i="29"/>
  <c r="AH97" i="29"/>
  <c r="AL101" i="29"/>
  <c r="AC25" i="29"/>
  <c r="AC53" i="29"/>
  <c r="AC81" i="29"/>
  <c r="M8" i="26"/>
  <c r="AJ4" i="29"/>
  <c r="D31" i="30"/>
  <c r="D59" i="30"/>
  <c r="D87" i="30"/>
  <c r="F7" i="26"/>
  <c r="F21" i="26"/>
  <c r="F35" i="26"/>
  <c r="F49" i="26"/>
  <c r="F63" i="26"/>
  <c r="F77" i="26"/>
  <c r="F91" i="26"/>
  <c r="E8" i="26"/>
  <c r="E36" i="26"/>
  <c r="E64" i="26"/>
  <c r="E92" i="26"/>
  <c r="AL8" i="29"/>
  <c r="AL22" i="29"/>
  <c r="AH32" i="29"/>
  <c r="AJ41" i="29"/>
  <c r="AL50" i="29"/>
  <c r="AH60" i="29"/>
  <c r="AJ69" i="29"/>
  <c r="AL78" i="29"/>
  <c r="AH88" i="29"/>
  <c r="AJ97" i="29"/>
  <c r="AC27" i="29"/>
  <c r="AC83" i="29"/>
  <c r="D5" i="30"/>
  <c r="AK8" i="29"/>
  <c r="AI13" i="29"/>
  <c r="AM17" i="29"/>
  <c r="AK22" i="29"/>
  <c r="AI27" i="29"/>
  <c r="AM31" i="29"/>
  <c r="AK36" i="29"/>
  <c r="AI41" i="29"/>
  <c r="AM45" i="29"/>
  <c r="AK50" i="29"/>
  <c r="AI55" i="29"/>
  <c r="AM59" i="29"/>
  <c r="AK64" i="29"/>
  <c r="AI69" i="29"/>
  <c r="AM73" i="29"/>
  <c r="AK78" i="29"/>
  <c r="AI83" i="29"/>
  <c r="AM87" i="29"/>
  <c r="AK92" i="29"/>
  <c r="AI97" i="29"/>
  <c r="AM101" i="29"/>
  <c r="AC26" i="29"/>
  <c r="AC54" i="29"/>
  <c r="AC82" i="29"/>
  <c r="N8" i="26"/>
  <c r="D32" i="30"/>
  <c r="D60" i="30"/>
  <c r="D88" i="30"/>
  <c r="E22" i="26"/>
  <c r="E50" i="26"/>
  <c r="E78" i="26"/>
  <c r="AJ13" i="29"/>
  <c r="AH18" i="29"/>
  <c r="AJ27" i="29"/>
  <c r="AL36" i="29"/>
  <c r="AH46" i="29"/>
  <c r="AJ55" i="29"/>
  <c r="AL64" i="29"/>
  <c r="AH74" i="29"/>
  <c r="AJ83" i="29"/>
  <c r="AL92" i="29"/>
  <c r="AH102" i="29"/>
  <c r="AC55" i="29"/>
  <c r="M9" i="26"/>
  <c r="AJ9" i="29"/>
  <c r="AH14" i="29"/>
  <c r="AL18" i="29"/>
  <c r="AJ23" i="29"/>
  <c r="AH28" i="29"/>
  <c r="AL32" i="29"/>
  <c r="AJ37" i="29"/>
  <c r="AH42" i="29"/>
  <c r="AL46" i="29"/>
  <c r="AJ51" i="29"/>
  <c r="AH56" i="29"/>
  <c r="AL60" i="29"/>
  <c r="AJ65" i="29"/>
  <c r="AH70" i="29"/>
  <c r="AL74" i="29"/>
  <c r="AJ79" i="29"/>
  <c r="AH84" i="29"/>
  <c r="AL88" i="29"/>
  <c r="AJ93" i="29"/>
  <c r="AH98" i="29"/>
  <c r="AL102" i="29"/>
  <c r="AC31" i="29"/>
  <c r="AC59" i="29"/>
  <c r="AC87" i="29"/>
  <c r="M11" i="26"/>
  <c r="D9" i="30"/>
  <c r="D37" i="30"/>
  <c r="D65" i="30"/>
  <c r="D93" i="30"/>
  <c r="F10" i="26"/>
  <c r="F24" i="26"/>
  <c r="F38" i="26"/>
  <c r="F52" i="26"/>
  <c r="F66" i="26"/>
  <c r="F80" i="26"/>
  <c r="F94" i="26"/>
  <c r="AK9" i="29"/>
  <c r="AI14" i="29"/>
  <c r="AM18" i="29"/>
  <c r="AK23" i="29"/>
  <c r="AI28" i="29"/>
  <c r="AM32" i="29"/>
  <c r="AK37" i="29"/>
  <c r="AL6" i="29"/>
  <c r="AJ32" i="29"/>
  <c r="AK51" i="29"/>
  <c r="AM69" i="29"/>
  <c r="AH87" i="29"/>
  <c r="AK102" i="29"/>
  <c r="M6" i="26"/>
  <c r="D62" i="30"/>
  <c r="E21" i="26"/>
  <c r="F64" i="26"/>
  <c r="N9" i="26"/>
  <c r="F65" i="26"/>
  <c r="AK55" i="29"/>
  <c r="E24" i="26"/>
  <c r="AM88" i="29"/>
  <c r="N11" i="26"/>
  <c r="F30" i="26"/>
  <c r="AI91" i="29"/>
  <c r="D86" i="30"/>
  <c r="AK74" i="29"/>
  <c r="F33" i="26"/>
  <c r="AI92" i="29"/>
  <c r="AM40" i="29"/>
  <c r="AC49" i="29"/>
  <c r="AJ18" i="29"/>
  <c r="D24" i="30"/>
  <c r="AI79" i="29"/>
  <c r="AC71" i="29"/>
  <c r="AI23" i="29"/>
  <c r="E93" i="26"/>
  <c r="D38" i="30"/>
  <c r="D49" i="30"/>
  <c r="AC86" i="29"/>
  <c r="AH31" i="29"/>
  <c r="AL7" i="29"/>
  <c r="AK32" i="29"/>
  <c r="AJ53" i="29"/>
  <c r="AI70" i="29"/>
  <c r="AK87" i="29"/>
  <c r="AM102" i="29"/>
  <c r="N7" i="26"/>
  <c r="D63" i="30"/>
  <c r="F22" i="26"/>
  <c r="E65" i="26"/>
  <c r="E23" i="26"/>
  <c r="F23" i="26"/>
  <c r="AH73" i="29"/>
  <c r="E67" i="26"/>
  <c r="AK73" i="29"/>
  <c r="E72" i="26"/>
  <c r="AI56" i="29"/>
  <c r="N18" i="26"/>
  <c r="AL91" i="29"/>
  <c r="D89" i="30"/>
  <c r="AH59" i="29"/>
  <c r="AL76" i="29"/>
  <c r="D91" i="30"/>
  <c r="AI93" i="29"/>
  <c r="F79" i="26"/>
  <c r="AC52" i="29"/>
  <c r="AL62" i="29"/>
  <c r="D27" i="30"/>
  <c r="E88" i="26"/>
  <c r="E49" i="26"/>
  <c r="AJ46" i="29"/>
  <c r="F51" i="26"/>
  <c r="AH100" i="29"/>
  <c r="E10" i="26"/>
  <c r="F58" i="26"/>
  <c r="AI84" i="29"/>
  <c r="AI32" i="29"/>
  <c r="AM8" i="29"/>
  <c r="AL34" i="29"/>
  <c r="AJ54" i="29"/>
  <c r="AH72" i="29"/>
  <c r="AI88" i="29"/>
  <c r="AC15" i="29"/>
  <c r="D64" i="30"/>
  <c r="AC21" i="29"/>
  <c r="D77" i="30"/>
  <c r="AM36" i="29"/>
  <c r="AC24" i="29"/>
  <c r="AK13" i="29"/>
  <c r="E74" i="26"/>
  <c r="K12" i="26"/>
  <c r="AM13" i="29"/>
  <c r="E35" i="26"/>
  <c r="D6" i="30"/>
  <c r="AJ60" i="29"/>
  <c r="AK93" i="29"/>
  <c r="AL20" i="29"/>
  <c r="F86" i="26"/>
  <c r="AK97" i="29"/>
  <c r="D34" i="30"/>
  <c r="F8" i="26"/>
  <c r="D36" i="30"/>
  <c r="F9" i="26"/>
  <c r="AC85" i="29"/>
  <c r="E95" i="26"/>
  <c r="E60" i="26"/>
  <c r="D58" i="30"/>
  <c r="F19" i="26"/>
  <c r="AH9" i="29"/>
  <c r="AL35" i="29"/>
  <c r="AM54" i="29"/>
  <c r="AK72" i="29"/>
  <c r="AJ88" i="29"/>
  <c r="AC18" i="29"/>
  <c r="M10" i="26"/>
  <c r="D66" i="30"/>
  <c r="E66" i="26"/>
  <c r="N10" i="26"/>
  <c r="AL55" i="29"/>
  <c r="E25" i="26"/>
  <c r="AI37" i="29"/>
  <c r="E32" i="26"/>
  <c r="AC30" i="29"/>
  <c r="AJ40" i="29"/>
  <c r="D90" i="30"/>
  <c r="AC43" i="29"/>
  <c r="AL41" i="29"/>
  <c r="D10" i="30"/>
  <c r="E81" i="26"/>
  <c r="E86" i="26"/>
  <c r="AH45" i="29"/>
  <c r="F5" i="26"/>
  <c r="AL97" i="29"/>
  <c r="AK65" i="29"/>
  <c r="AL27" i="29"/>
  <c r="AM50" i="29"/>
  <c r="AK86" i="29"/>
  <c r="AI9" i="29"/>
  <c r="AI36" i="29"/>
  <c r="AK88" i="29"/>
  <c r="D80" i="30"/>
  <c r="F72" i="26"/>
  <c r="AJ74" i="29"/>
  <c r="AL13" i="29"/>
  <c r="AC32" i="29"/>
  <c r="E77" i="26"/>
  <c r="AM92" i="29"/>
  <c r="AI18" i="29"/>
  <c r="E38" i="26"/>
  <c r="AH79" i="29"/>
  <c r="E46" i="26"/>
  <c r="AM64" i="29"/>
  <c r="AM97" i="29"/>
  <c r="AL48" i="29"/>
  <c r="AM27" i="29"/>
  <c r="E18" i="26"/>
  <c r="AL69" i="29"/>
  <c r="AJ11" i="29"/>
  <c r="AJ39" i="29"/>
  <c r="F75" i="26"/>
  <c r="AH16" i="29"/>
  <c r="F78" i="26"/>
  <c r="D94" i="30"/>
  <c r="AK60" i="29"/>
  <c r="AC57" i="29"/>
  <c r="AC58" i="29"/>
  <c r="AJ81" i="29"/>
  <c r="E7" i="26"/>
  <c r="E51" i="26"/>
  <c r="E9" i="26"/>
  <c r="AC84" i="29"/>
  <c r="E94" i="26"/>
  <c r="E11" i="26"/>
  <c r="F16" i="26"/>
  <c r="AC99" i="29"/>
  <c r="AJ12" i="29"/>
  <c r="AH37" i="29"/>
  <c r="AM55" i="29"/>
  <c r="AI74" i="29"/>
  <c r="AL90" i="29"/>
  <c r="AC28" i="29"/>
  <c r="M17" i="26"/>
  <c r="D83" i="30"/>
  <c r="AC29" i="29"/>
  <c r="AH58" i="29"/>
  <c r="AM74" i="29"/>
  <c r="AK59" i="29"/>
  <c r="F36" i="26"/>
  <c r="D8" i="30"/>
  <c r="AM41" i="29"/>
  <c r="AM95" i="29"/>
  <c r="AJ96" i="29"/>
  <c r="AI46" i="29"/>
  <c r="F50" i="26"/>
  <c r="AM46" i="29"/>
  <c r="AM67" i="29"/>
  <c r="AH30" i="29"/>
  <c r="E63" i="26"/>
  <c r="AH17" i="29"/>
  <c r="AK41" i="29"/>
  <c r="AI60" i="29"/>
  <c r="AI77" i="29"/>
  <c r="AH93" i="29"/>
  <c r="AC46" i="29"/>
  <c r="D7" i="30"/>
  <c r="D92" i="30"/>
  <c r="E37" i="26"/>
  <c r="E79" i="26"/>
  <c r="AL77" i="29"/>
  <c r="F37" i="26"/>
  <c r="AI78" i="29"/>
  <c r="E80" i="26"/>
  <c r="AH44" i="29"/>
  <c r="AL63" i="29"/>
  <c r="F47" i="26"/>
  <c r="D33" i="30"/>
  <c r="F89" i="26"/>
  <c r="AH65" i="29"/>
  <c r="F92" i="26"/>
  <c r="AI98" i="29"/>
  <c r="AK83" i="29"/>
  <c r="AL83" i="29"/>
  <c r="AJ68" i="29"/>
  <c r="AK101" i="29"/>
  <c r="AI102" i="29"/>
  <c r="F100" i="26"/>
  <c r="AK18" i="29"/>
  <c r="AI42" i="29"/>
  <c r="AM60" i="29"/>
  <c r="AM78" i="29"/>
  <c r="AJ95" i="29"/>
  <c r="AC56" i="29"/>
  <c r="D21" i="30"/>
  <c r="E39" i="26"/>
  <c r="F44" i="26"/>
  <c r="AL21" i="29"/>
  <c r="AH23" i="29"/>
  <c r="AM81" i="29"/>
  <c r="E91" i="26"/>
  <c r="AJ26" i="29"/>
  <c r="E52" i="26"/>
  <c r="AL49" i="29"/>
  <c r="D52" i="30"/>
  <c r="AM68" i="29"/>
  <c r="F61" i="26"/>
  <c r="AI51" i="29"/>
  <c r="AM22" i="29"/>
  <c r="AK45" i="29"/>
  <c r="AI64" i="29"/>
  <c r="AK79" i="29"/>
  <c r="AM96" i="29"/>
  <c r="AC60" i="29"/>
  <c r="D30" i="30"/>
  <c r="AC74" i="29"/>
  <c r="D35" i="30"/>
  <c r="AC80" i="29"/>
  <c r="AJ67" i="29"/>
  <c r="AK100" i="29"/>
  <c r="AI50" i="29"/>
  <c r="E100" i="26"/>
  <c r="AH51" i="29"/>
  <c r="E102" i="26"/>
  <c r="AJ102" i="29"/>
  <c r="AJ25" i="29"/>
  <c r="AK46" i="29"/>
  <c r="AI65" i="29"/>
  <c r="AJ82" i="29"/>
  <c r="AC77" i="29"/>
  <c r="AK27" i="29"/>
  <c r="F93" i="26"/>
  <c r="E53" i="26"/>
  <c r="AM83" i="29"/>
  <c r="D55" i="30"/>
  <c r="AK69" i="29"/>
  <c r="AC102" i="29"/>
  <c r="AM82" i="29"/>
  <c r="AH101" i="29"/>
  <c r="AC88" i="29"/>
  <c r="AH86" i="29"/>
  <c r="D61" i="30"/>
  <c r="B3" i="23"/>
  <c r="B4" i="23"/>
  <c r="C3" i="23"/>
  <c r="C4" i="23"/>
  <c r="D5" i="21"/>
  <c r="D33" i="21"/>
  <c r="D61" i="21"/>
  <c r="D89" i="21"/>
  <c r="D56" i="21"/>
  <c r="D85" i="21"/>
  <c r="D32" i="21"/>
  <c r="D6" i="21"/>
  <c r="D34" i="21"/>
  <c r="D62" i="21"/>
  <c r="D90" i="21"/>
  <c r="D27" i="21"/>
  <c r="D58" i="21"/>
  <c r="D7" i="21"/>
  <c r="D35" i="21"/>
  <c r="D63" i="21"/>
  <c r="D91" i="21"/>
  <c r="D51" i="21"/>
  <c r="D81" i="21"/>
  <c r="D8" i="21"/>
  <c r="D36" i="21"/>
  <c r="D64" i="21"/>
  <c r="D92" i="21"/>
  <c r="D67" i="21"/>
  <c r="D78" i="21"/>
  <c r="D54" i="21"/>
  <c r="D9" i="21"/>
  <c r="D37" i="21"/>
  <c r="D65" i="21"/>
  <c r="D93" i="21"/>
  <c r="D66" i="21"/>
  <c r="D95" i="21"/>
  <c r="D57" i="21"/>
  <c r="D87" i="21"/>
  <c r="D10" i="21"/>
  <c r="D38" i="21"/>
  <c r="D94" i="21"/>
  <c r="D52" i="21"/>
  <c r="D55" i="21"/>
  <c r="D11" i="21"/>
  <c r="D39" i="21"/>
  <c r="D23" i="21"/>
  <c r="D53" i="21"/>
  <c r="D60" i="21"/>
  <c r="D12" i="21"/>
  <c r="D40" i="21"/>
  <c r="D68" i="21"/>
  <c r="D96" i="21"/>
  <c r="D41" i="21"/>
  <c r="D69" i="21"/>
  <c r="D97" i="21"/>
  <c r="D29" i="21"/>
  <c r="D13" i="21"/>
  <c r="D14" i="21"/>
  <c r="D42" i="21"/>
  <c r="D70" i="21"/>
  <c r="D98" i="21"/>
  <c r="D100" i="21"/>
  <c r="D50" i="21"/>
  <c r="D15" i="21"/>
  <c r="D43" i="21"/>
  <c r="D71" i="21"/>
  <c r="D99" i="21"/>
  <c r="D44" i="21"/>
  <c r="D72" i="21"/>
  <c r="D80" i="21"/>
  <c r="D82" i="21"/>
  <c r="D16" i="21"/>
  <c r="D17" i="21"/>
  <c r="D45" i="21"/>
  <c r="D73" i="21"/>
  <c r="D101" i="21"/>
  <c r="D47" i="21"/>
  <c r="D83" i="21"/>
  <c r="D18" i="21"/>
  <c r="D46" i="21"/>
  <c r="D74" i="21"/>
  <c r="D102" i="21"/>
  <c r="D75" i="21"/>
  <c r="D79" i="21"/>
  <c r="D25" i="21"/>
  <c r="D19" i="21"/>
  <c r="D26" i="21"/>
  <c r="D84" i="21"/>
  <c r="D20" i="21"/>
  <c r="D48" i="21"/>
  <c r="D76" i="21"/>
  <c r="D49" i="21"/>
  <c r="D77" i="21"/>
  <c r="D21" i="21"/>
  <c r="D86" i="21"/>
  <c r="D22" i="21"/>
  <c r="D24" i="21"/>
  <c r="D28" i="21"/>
  <c r="D88" i="21"/>
  <c r="D30" i="21"/>
  <c r="D31" i="21"/>
  <c r="D59" i="21"/>
  <c r="C31" i="23"/>
  <c r="C29" i="23"/>
  <c r="C30" i="23"/>
  <c r="B7" i="23"/>
  <c r="C23" i="23"/>
  <c r="C47" i="23"/>
  <c r="B6" i="23"/>
  <c r="C22" i="23"/>
  <c r="B11" i="23"/>
  <c r="C20" i="23"/>
  <c r="B30" i="23"/>
  <c r="C18" i="23"/>
  <c r="B14" i="23"/>
  <c r="C28" i="23"/>
  <c r="B29" i="23"/>
  <c r="B27" i="23"/>
  <c r="C15" i="23"/>
  <c r="B13" i="23"/>
  <c r="C21" i="23"/>
  <c r="C19" i="23"/>
  <c r="C17" i="23"/>
  <c r="C13" i="23"/>
  <c r="B24" i="23"/>
  <c r="C12" i="23"/>
  <c r="B10" i="23"/>
  <c r="C26" i="23"/>
  <c r="C24" i="23"/>
  <c r="B28" i="23"/>
  <c r="B23" i="23"/>
  <c r="C9" i="23"/>
  <c r="B12" i="23"/>
  <c r="C11" i="23"/>
  <c r="B22" i="23"/>
  <c r="B20" i="23"/>
  <c r="C8" i="23"/>
  <c r="C27" i="23"/>
  <c r="C7" i="23"/>
  <c r="C25" i="23"/>
  <c r="C16" i="23"/>
  <c r="B18" i="23"/>
  <c r="C6" i="23"/>
  <c r="B8" i="23"/>
  <c r="B5" i="23"/>
  <c r="B31" i="23"/>
  <c r="C14" i="23"/>
  <c r="B21" i="23"/>
  <c r="B17" i="23"/>
  <c r="C5" i="23"/>
  <c r="B26" i="23"/>
  <c r="C10" i="23"/>
  <c r="B19" i="23"/>
  <c r="B16" i="23"/>
  <c r="B9" i="23"/>
  <c r="B25" i="23"/>
  <c r="B15" i="23"/>
  <c r="C32" i="23"/>
  <c r="C86" i="23"/>
  <c r="C56" i="23"/>
  <c r="B80" i="23"/>
  <c r="C80" i="23"/>
  <c r="C52" i="23"/>
  <c r="C78" i="23"/>
  <c r="C50" i="23"/>
  <c r="B84" i="23"/>
  <c r="B51" i="23"/>
  <c r="C49" i="23"/>
  <c r="C59" i="23"/>
  <c r="B83" i="23"/>
  <c r="C55" i="23"/>
  <c r="B50" i="23"/>
  <c r="G29" i="24"/>
  <c r="B74" i="23"/>
  <c r="B46" i="23"/>
  <c r="C76" i="23"/>
  <c r="C48" i="23"/>
  <c r="B54" i="23"/>
  <c r="C82" i="23"/>
  <c r="B77" i="23"/>
  <c r="G22" i="24"/>
  <c r="B44" i="23"/>
  <c r="C74" i="23"/>
  <c r="C46" i="23"/>
  <c r="C85" i="23"/>
  <c r="B81" i="23"/>
  <c r="C53" i="23"/>
  <c r="B72" i="23"/>
  <c r="B98" i="23"/>
  <c r="B70" i="23"/>
  <c r="B42" i="23"/>
  <c r="C100" i="23"/>
  <c r="C72" i="23"/>
  <c r="C44" i="23"/>
  <c r="B85" i="23"/>
  <c r="B52" i="23"/>
  <c r="C77" i="23"/>
  <c r="C54" i="23"/>
  <c r="B76" i="23"/>
  <c r="B45" i="23"/>
  <c r="B40" i="23"/>
  <c r="B49" i="23"/>
  <c r="B75" i="23"/>
  <c r="C45" i="23"/>
  <c r="B41" i="23"/>
  <c r="C70" i="23"/>
  <c r="B95" i="23"/>
  <c r="B67" i="23"/>
  <c r="B39" i="23"/>
  <c r="C97" i="23"/>
  <c r="C69" i="23"/>
  <c r="C41" i="23"/>
  <c r="B57" i="23"/>
  <c r="B55" i="23"/>
  <c r="C83" i="23"/>
  <c r="B78" i="23"/>
  <c r="B101" i="23"/>
  <c r="B69" i="23"/>
  <c r="C98" i="23"/>
  <c r="C96" i="23"/>
  <c r="C68" i="23"/>
  <c r="C40" i="23"/>
  <c r="C81" i="23"/>
  <c r="B43" i="23"/>
  <c r="C42" i="23"/>
  <c r="B65" i="23"/>
  <c r="B37" i="23"/>
  <c r="C95" i="23"/>
  <c r="C67" i="23"/>
  <c r="C39" i="23"/>
  <c r="C87" i="23"/>
  <c r="C57" i="23"/>
  <c r="C101" i="23"/>
  <c r="C99" i="23"/>
  <c r="B93" i="23"/>
  <c r="B92" i="23"/>
  <c r="B64" i="23"/>
  <c r="B36" i="23"/>
  <c r="C94" i="23"/>
  <c r="C66" i="23"/>
  <c r="C38" i="23"/>
  <c r="C58" i="23"/>
  <c r="B82" i="23"/>
  <c r="C51" i="23"/>
  <c r="B73" i="23"/>
  <c r="C73" i="23"/>
  <c r="C43" i="23"/>
  <c r="B66" i="23"/>
  <c r="B35" i="23"/>
  <c r="C93" i="23"/>
  <c r="C65" i="23"/>
  <c r="C37" i="23"/>
  <c r="B53" i="23"/>
  <c r="C79" i="23"/>
  <c r="B71" i="23"/>
  <c r="B96" i="23"/>
  <c r="B38" i="23"/>
  <c r="B63" i="23"/>
  <c r="B90" i="23"/>
  <c r="B62" i="23"/>
  <c r="B34" i="23"/>
  <c r="C92" i="23"/>
  <c r="C64" i="23"/>
  <c r="C36" i="23"/>
  <c r="B79" i="23"/>
  <c r="B48" i="23"/>
  <c r="C75" i="23"/>
  <c r="B99" i="23"/>
  <c r="C71" i="23"/>
  <c r="B89" i="23"/>
  <c r="B61" i="23"/>
  <c r="B33" i="23"/>
  <c r="C91" i="23"/>
  <c r="C63" i="23"/>
  <c r="C35" i="23"/>
  <c r="B88" i="23"/>
  <c r="B60" i="23"/>
  <c r="B32" i="23"/>
  <c r="C90" i="23"/>
  <c r="C62" i="23"/>
  <c r="C34" i="23"/>
  <c r="B47" i="23"/>
  <c r="B100" i="23"/>
  <c r="B97" i="23"/>
  <c r="B68" i="23"/>
  <c r="B94" i="23"/>
  <c r="B91" i="23"/>
  <c r="B87" i="23"/>
  <c r="B59" i="23"/>
  <c r="C89" i="23"/>
  <c r="C61" i="23"/>
  <c r="C33" i="23"/>
  <c r="B56" i="23"/>
  <c r="C84" i="23"/>
  <c r="B86" i="23"/>
  <c r="B58" i="23"/>
  <c r="C88" i="23"/>
  <c r="C60" i="23"/>
  <c r="G56" i="24"/>
  <c r="G51" i="24"/>
  <c r="G84" i="24"/>
  <c r="G80" i="24"/>
  <c r="G50" i="24"/>
  <c r="G24" i="24"/>
  <c r="G23" i="24"/>
  <c r="G21" i="24"/>
  <c r="G86" i="24"/>
  <c r="G85" i="24"/>
  <c r="G28" i="24"/>
  <c r="G26" i="24"/>
  <c r="G31" i="24"/>
  <c r="G83" i="24"/>
  <c r="G82" i="24"/>
  <c r="G58" i="24"/>
  <c r="G57" i="24"/>
  <c r="G27" i="24"/>
  <c r="G25" i="24"/>
  <c r="G81" i="24"/>
  <c r="G78" i="24"/>
  <c r="G30" i="24"/>
  <c r="G79" i="24"/>
  <c r="G55" i="24"/>
  <c r="G54" i="24"/>
  <c r="G53" i="24"/>
  <c r="G52" i="24"/>
  <c r="G42" i="24"/>
  <c r="G12" i="24"/>
  <c r="G20" i="24"/>
  <c r="G46" i="24"/>
  <c r="G43" i="24"/>
  <c r="G9" i="24"/>
  <c r="G77" i="24"/>
  <c r="G75" i="24"/>
  <c r="G102" i="24"/>
  <c r="G17" i="24"/>
  <c r="G71" i="24"/>
  <c r="G41" i="24"/>
  <c r="G8" i="24"/>
  <c r="G48" i="24"/>
  <c r="G45" i="24"/>
  <c r="G7" i="24"/>
  <c r="G76" i="24"/>
  <c r="G74" i="24"/>
  <c r="G16" i="24"/>
  <c r="G70" i="24"/>
  <c r="G97" i="24"/>
  <c r="G96" i="24"/>
  <c r="G67" i="24"/>
  <c r="G94" i="24"/>
  <c r="G93" i="24"/>
  <c r="G62" i="24"/>
  <c r="G6" i="24"/>
  <c r="G5" i="24"/>
  <c r="G18" i="24"/>
  <c r="G72" i="24"/>
  <c r="G99" i="24"/>
  <c r="G14" i="24"/>
  <c r="G40" i="24"/>
  <c r="G95" i="24"/>
  <c r="G10" i="24"/>
  <c r="G92" i="24"/>
  <c r="G91" i="24"/>
  <c r="G90" i="24"/>
  <c r="G89" i="24"/>
  <c r="G61" i="24"/>
  <c r="G33" i="24"/>
  <c r="G49" i="24"/>
  <c r="G47" i="24"/>
  <c r="G73" i="24"/>
  <c r="G44" i="24"/>
  <c r="G98" i="24"/>
  <c r="G69" i="24"/>
  <c r="G68" i="24"/>
  <c r="G39" i="24"/>
  <c r="G66" i="24"/>
  <c r="G37" i="24"/>
  <c r="G36" i="24"/>
  <c r="G35" i="24"/>
  <c r="G88" i="24"/>
  <c r="G60" i="24"/>
  <c r="G32" i="24"/>
  <c r="G19" i="24"/>
  <c r="G101" i="24"/>
  <c r="G100" i="24"/>
  <c r="G15" i="24"/>
  <c r="G13" i="24"/>
  <c r="G11" i="24"/>
  <c r="G38" i="24"/>
  <c r="G65" i="24"/>
  <c r="G64" i="24"/>
  <c r="G63" i="24"/>
  <c r="G34" i="24"/>
  <c r="G87" i="24"/>
  <c r="G59" i="24"/>
  <c r="N61" i="41" l="1"/>
  <c r="M59" i="41"/>
  <c r="L59" i="41"/>
  <c r="E59" i="41"/>
  <c r="C59" i="41"/>
  <c r="B59" i="41"/>
  <c r="A59" i="41"/>
  <c r="M58" i="41"/>
  <c r="L58" i="41"/>
  <c r="E58" i="41"/>
  <c r="C58" i="41"/>
  <c r="B58" i="41"/>
  <c r="A58" i="41"/>
  <c r="M57" i="41"/>
  <c r="L57" i="41"/>
  <c r="E57" i="41"/>
  <c r="C57" i="41"/>
  <c r="B57" i="41"/>
  <c r="A57" i="41"/>
  <c r="M56" i="41"/>
  <c r="L56" i="41"/>
  <c r="E56" i="41"/>
  <c r="C56" i="41"/>
  <c r="B56" i="41"/>
  <c r="A56" i="41"/>
  <c r="M55" i="41"/>
  <c r="L55" i="41"/>
  <c r="E55" i="41"/>
  <c r="C55" i="41"/>
  <c r="B55" i="41"/>
  <c r="A55" i="41"/>
  <c r="M54" i="41"/>
  <c r="L54" i="41"/>
  <c r="E54" i="41"/>
  <c r="C54" i="41"/>
  <c r="B54" i="41"/>
  <c r="A54" i="41"/>
  <c r="M53" i="41"/>
  <c r="L53" i="41"/>
  <c r="E53" i="41"/>
  <c r="C53" i="41"/>
  <c r="B53" i="41"/>
  <c r="A53" i="41"/>
  <c r="M52" i="41"/>
  <c r="L52" i="41"/>
  <c r="C52" i="41"/>
  <c r="A52" i="41"/>
  <c r="M51" i="41"/>
  <c r="L51" i="41"/>
  <c r="C51" i="41"/>
  <c r="A51" i="41"/>
  <c r="M50" i="41"/>
  <c r="L50" i="41"/>
  <c r="C50" i="41"/>
  <c r="A50" i="41"/>
  <c r="M49" i="41"/>
  <c r="L49" i="41"/>
  <c r="E49" i="41"/>
  <c r="C49" i="41"/>
  <c r="B49" i="41"/>
  <c r="A49" i="41"/>
  <c r="M48" i="41"/>
  <c r="L48" i="41"/>
  <c r="C48" i="41"/>
  <c r="A48" i="41"/>
  <c r="M47" i="41"/>
  <c r="L47" i="41"/>
  <c r="C47" i="41"/>
  <c r="A47" i="41"/>
  <c r="M46" i="41"/>
  <c r="L46" i="41"/>
  <c r="C46" i="41"/>
  <c r="A46" i="41"/>
  <c r="M45" i="41"/>
  <c r="L45" i="41"/>
  <c r="C45" i="41"/>
  <c r="A45" i="41"/>
  <c r="M44" i="41"/>
  <c r="L44" i="41"/>
  <c r="C44" i="41"/>
  <c r="A44" i="41"/>
  <c r="M43" i="41"/>
  <c r="L43" i="41"/>
  <c r="C43" i="41"/>
  <c r="A43" i="41"/>
  <c r="M42" i="41"/>
  <c r="L42" i="41"/>
  <c r="C42" i="41"/>
  <c r="A42" i="41"/>
  <c r="M41" i="41"/>
  <c r="L41" i="41"/>
  <c r="C41" i="41"/>
  <c r="A41" i="41"/>
  <c r="M40" i="41"/>
  <c r="L40" i="41"/>
  <c r="C40" i="41"/>
  <c r="A40" i="41"/>
  <c r="N34" i="41"/>
  <c r="N30" i="41"/>
  <c r="M28" i="41"/>
  <c r="L28" i="41"/>
  <c r="C28" i="41"/>
  <c r="A28" i="41"/>
  <c r="M27" i="41"/>
  <c r="L27" i="41"/>
  <c r="C27" i="41"/>
  <c r="A27" i="41"/>
  <c r="M26" i="41"/>
  <c r="L26" i="41"/>
  <c r="C26" i="41"/>
  <c r="A26" i="41"/>
  <c r="M25" i="41"/>
  <c r="L25" i="41"/>
  <c r="C25" i="41"/>
  <c r="A25" i="41"/>
  <c r="M24" i="41"/>
  <c r="L24" i="41"/>
  <c r="C24" i="41"/>
  <c r="A24" i="41"/>
  <c r="M23" i="41"/>
  <c r="L23" i="41"/>
  <c r="C23" i="41"/>
  <c r="A23" i="41"/>
  <c r="M22" i="41"/>
  <c r="L22" i="41"/>
  <c r="C22" i="41"/>
  <c r="A22" i="41"/>
  <c r="M21" i="41"/>
  <c r="L21" i="41"/>
  <c r="C21" i="41"/>
  <c r="A21" i="41"/>
  <c r="M20" i="41"/>
  <c r="L20" i="41"/>
  <c r="C20" i="41"/>
  <c r="A20" i="41"/>
  <c r="M19" i="41"/>
  <c r="L19" i="41"/>
  <c r="C19" i="41"/>
  <c r="A19" i="41"/>
  <c r="M18" i="41"/>
  <c r="L18" i="41"/>
  <c r="C18" i="41"/>
  <c r="A18" i="41"/>
  <c r="M17" i="41"/>
  <c r="L17" i="41"/>
  <c r="C17" i="41"/>
  <c r="A17" i="41"/>
  <c r="M16" i="41"/>
  <c r="L16" i="41"/>
  <c r="C16" i="41"/>
  <c r="A16" i="41"/>
  <c r="M15" i="41"/>
  <c r="L15" i="41"/>
  <c r="C15" i="41"/>
  <c r="A15" i="41"/>
  <c r="M14" i="41"/>
  <c r="L14" i="41"/>
  <c r="C14" i="41"/>
  <c r="A14" i="41"/>
  <c r="M13" i="41"/>
  <c r="L13" i="41"/>
  <c r="C13" i="41"/>
  <c r="A13" i="41"/>
  <c r="M12" i="41"/>
  <c r="L12" i="41"/>
  <c r="C12" i="41"/>
  <c r="A12" i="41"/>
  <c r="M11" i="41"/>
  <c r="L11" i="41"/>
  <c r="C11" i="41"/>
  <c r="A11" i="41"/>
  <c r="M10" i="41"/>
  <c r="L10" i="41"/>
  <c r="C10" i="41"/>
  <c r="A10" i="41"/>
  <c r="M9" i="41"/>
  <c r="L9" i="41"/>
  <c r="C9" i="41"/>
  <c r="A9" i="41"/>
  <c r="N3" i="41"/>
  <c r="L41" i="37"/>
  <c r="M41" i="37"/>
  <c r="L42" i="37"/>
  <c r="M42" i="37"/>
  <c r="L43" i="37"/>
  <c r="M43" i="37"/>
  <c r="L44" i="37"/>
  <c r="M44" i="37"/>
  <c r="L45" i="37"/>
  <c r="M45" i="37"/>
  <c r="L46" i="37"/>
  <c r="M46" i="37"/>
  <c r="L47" i="37"/>
  <c r="M47" i="37"/>
  <c r="L48" i="37"/>
  <c r="M48" i="37"/>
  <c r="L49" i="37"/>
  <c r="M49" i="37"/>
  <c r="L50" i="37"/>
  <c r="M50" i="37"/>
  <c r="L51" i="37"/>
  <c r="M51" i="37"/>
  <c r="L52" i="37"/>
  <c r="M52" i="37"/>
  <c r="L53" i="37"/>
  <c r="M53" i="37"/>
  <c r="L54" i="37"/>
  <c r="M54" i="37"/>
  <c r="L55" i="37"/>
  <c r="M55" i="37"/>
  <c r="L56" i="37"/>
  <c r="M56" i="37"/>
  <c r="L57" i="37"/>
  <c r="M57" i="37"/>
  <c r="L58" i="37"/>
  <c r="M58" i="37"/>
  <c r="L59" i="37"/>
  <c r="M59" i="37"/>
  <c r="L40" i="37"/>
  <c r="M40" i="37"/>
  <c r="E49" i="37"/>
  <c r="E53" i="37"/>
  <c r="E54" i="37"/>
  <c r="E55" i="37"/>
  <c r="E56" i="37"/>
  <c r="E57" i="37"/>
  <c r="E58" i="37"/>
  <c r="E59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A41" i="37"/>
  <c r="A42" i="37"/>
  <c r="A43" i="37"/>
  <c r="A44" i="37"/>
  <c r="A45" i="37"/>
  <c r="A46" i="37"/>
  <c r="A47" i="37"/>
  <c r="A48" i="37"/>
  <c r="A49" i="37"/>
  <c r="B49" i="37"/>
  <c r="A50" i="37"/>
  <c r="A51" i="37"/>
  <c r="A52" i="37"/>
  <c r="A53" i="37"/>
  <c r="B53" i="37"/>
  <c r="A54" i="37"/>
  <c r="B54" i="37"/>
  <c r="A55" i="37"/>
  <c r="B55" i="37"/>
  <c r="A56" i="37"/>
  <c r="B56" i="37"/>
  <c r="A57" i="37"/>
  <c r="B57" i="37"/>
  <c r="A58" i="37"/>
  <c r="B58" i="37"/>
  <c r="A59" i="37"/>
  <c r="B59" i="37"/>
  <c r="C40" i="37"/>
  <c r="A40" i="37"/>
  <c r="L28" i="37"/>
  <c r="M28" i="37"/>
  <c r="L10" i="37"/>
  <c r="M10" i="37"/>
  <c r="L11" i="37"/>
  <c r="M11" i="37"/>
  <c r="L12" i="37"/>
  <c r="M12" i="37"/>
  <c r="L13" i="37"/>
  <c r="M13" i="37"/>
  <c r="L14" i="37"/>
  <c r="M14" i="37"/>
  <c r="L15" i="37"/>
  <c r="M15" i="37"/>
  <c r="L16" i="37"/>
  <c r="M16" i="37"/>
  <c r="L17" i="37"/>
  <c r="M17" i="37"/>
  <c r="L18" i="37"/>
  <c r="M18" i="37"/>
  <c r="L19" i="37"/>
  <c r="M19" i="37"/>
  <c r="L20" i="37"/>
  <c r="M20" i="37"/>
  <c r="L21" i="37"/>
  <c r="M21" i="37"/>
  <c r="L22" i="37"/>
  <c r="M22" i="37"/>
  <c r="L23" i="37"/>
  <c r="M23" i="37"/>
  <c r="L24" i="37"/>
  <c r="M24" i="37"/>
  <c r="L25" i="37"/>
  <c r="M25" i="37"/>
  <c r="L26" i="37"/>
  <c r="M26" i="37"/>
  <c r="L27" i="37"/>
  <c r="M27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B5" i="40"/>
  <c r="D7" i="40"/>
  <c r="E7" i="40"/>
  <c r="F7" i="40"/>
  <c r="H35" i="40"/>
  <c r="G35" i="40"/>
  <c r="E35" i="40"/>
  <c r="D35" i="40"/>
  <c r="C35" i="40"/>
  <c r="B35" i="40"/>
  <c r="H33" i="40"/>
  <c r="G33" i="40"/>
  <c r="F33" i="40"/>
  <c r="E33" i="40"/>
  <c r="D33" i="40"/>
  <c r="C33" i="40"/>
  <c r="B33" i="40"/>
  <c r="H31" i="40"/>
  <c r="G31" i="40"/>
  <c r="F31" i="40"/>
  <c r="E31" i="40"/>
  <c r="D31" i="40"/>
  <c r="C31" i="40"/>
  <c r="B31" i="40"/>
  <c r="H29" i="40"/>
  <c r="F29" i="40"/>
  <c r="E29" i="40"/>
  <c r="D29" i="40"/>
  <c r="C29" i="40"/>
  <c r="B29" i="40"/>
  <c r="H27" i="40"/>
  <c r="G27" i="40"/>
  <c r="F27" i="40"/>
  <c r="E27" i="40"/>
  <c r="D27" i="40"/>
  <c r="C27" i="40"/>
  <c r="B27" i="40"/>
  <c r="H25" i="40"/>
  <c r="F25" i="40"/>
  <c r="E25" i="40"/>
  <c r="D25" i="40"/>
  <c r="C25" i="40"/>
  <c r="B25" i="40"/>
  <c r="H23" i="40"/>
  <c r="G23" i="40"/>
  <c r="F23" i="40"/>
  <c r="E23" i="40"/>
  <c r="D23" i="40"/>
  <c r="C23" i="40"/>
  <c r="B23" i="40"/>
  <c r="H21" i="40"/>
  <c r="G21" i="40"/>
  <c r="F21" i="40"/>
  <c r="E21" i="40"/>
  <c r="D21" i="40"/>
  <c r="C21" i="40"/>
  <c r="B21" i="40"/>
  <c r="H19" i="40"/>
  <c r="G19" i="40"/>
  <c r="F19" i="40"/>
  <c r="E19" i="40"/>
  <c r="D19" i="40"/>
  <c r="C19" i="40"/>
  <c r="B19" i="40"/>
  <c r="H17" i="40"/>
  <c r="G17" i="40"/>
  <c r="F17" i="40"/>
  <c r="E17" i="40"/>
  <c r="D17" i="40"/>
  <c r="C17" i="40"/>
  <c r="B17" i="40"/>
  <c r="H15" i="40"/>
  <c r="G15" i="40"/>
  <c r="F15" i="40"/>
  <c r="E15" i="40"/>
  <c r="D15" i="40"/>
  <c r="C15" i="40"/>
  <c r="B15" i="40"/>
  <c r="H13" i="40"/>
  <c r="G13" i="40"/>
  <c r="F13" i="40"/>
  <c r="E13" i="40"/>
  <c r="D13" i="40"/>
  <c r="C13" i="40"/>
  <c r="B13" i="40"/>
  <c r="H11" i="40"/>
  <c r="G11" i="40"/>
  <c r="F11" i="40"/>
  <c r="E11" i="40"/>
  <c r="D11" i="40"/>
  <c r="C11" i="40"/>
  <c r="B11" i="40"/>
  <c r="H9" i="40"/>
  <c r="G9" i="40"/>
  <c r="F9" i="40"/>
  <c r="E9" i="40"/>
  <c r="D9" i="40"/>
  <c r="C9" i="40"/>
  <c r="B9" i="40"/>
  <c r="H7" i="40"/>
  <c r="G7" i="40"/>
  <c r="H5" i="40"/>
  <c r="G5" i="40"/>
  <c r="F5" i="40"/>
  <c r="E5" i="40"/>
  <c r="D5" i="40"/>
  <c r="C5" i="40"/>
  <c r="H3" i="40"/>
  <c r="G3" i="40"/>
  <c r="E3" i="40"/>
  <c r="D3" i="40"/>
  <c r="B3" i="40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C9" i="37"/>
  <c r="A9" i="37"/>
  <c r="L9" i="37"/>
  <c r="M9" i="37"/>
  <c r="R5" i="21"/>
  <c r="S5" i="21"/>
  <c r="R6" i="21"/>
  <c r="S6" i="21"/>
  <c r="R7" i="21"/>
  <c r="S7" i="21"/>
  <c r="R8" i="21"/>
  <c r="S8" i="21"/>
  <c r="R9" i="21"/>
  <c r="S9" i="21"/>
  <c r="R10" i="21"/>
  <c r="S10" i="21"/>
  <c r="R11" i="21"/>
  <c r="S11" i="21"/>
  <c r="R12" i="21"/>
  <c r="S12" i="21"/>
  <c r="R13" i="21"/>
  <c r="S13" i="21"/>
  <c r="R14" i="21"/>
  <c r="S14" i="21"/>
  <c r="R15" i="21"/>
  <c r="S15" i="21"/>
  <c r="R16" i="21"/>
  <c r="S16" i="21"/>
  <c r="R17" i="21"/>
  <c r="S17" i="21"/>
  <c r="R18" i="21"/>
  <c r="S18" i="21"/>
  <c r="R19" i="21"/>
  <c r="S19" i="21"/>
  <c r="R20" i="21"/>
  <c r="S20" i="21"/>
  <c r="R21" i="21"/>
  <c r="S21" i="21"/>
  <c r="R22" i="21"/>
  <c r="S22" i="21"/>
  <c r="R23" i="21"/>
  <c r="S23" i="21"/>
  <c r="R24" i="21"/>
  <c r="S24" i="21"/>
  <c r="R25" i="21"/>
  <c r="S25" i="21"/>
  <c r="R26" i="21"/>
  <c r="S26" i="21"/>
  <c r="R27" i="21"/>
  <c r="S27" i="21"/>
  <c r="R28" i="21"/>
  <c r="S28" i="21"/>
  <c r="R29" i="21"/>
  <c r="S29" i="21"/>
  <c r="R30" i="21"/>
  <c r="S30" i="21"/>
  <c r="R31" i="21"/>
  <c r="S31" i="21"/>
  <c r="R32" i="21"/>
  <c r="S32" i="21"/>
  <c r="R33" i="21"/>
  <c r="S33" i="21"/>
  <c r="R34" i="21"/>
  <c r="S34" i="21"/>
  <c r="R35" i="21"/>
  <c r="S35" i="21"/>
  <c r="R36" i="21"/>
  <c r="S36" i="21"/>
  <c r="R37" i="21"/>
  <c r="S37" i="21"/>
  <c r="R38" i="21"/>
  <c r="S38" i="21"/>
  <c r="R39" i="21"/>
  <c r="S39" i="21"/>
  <c r="R40" i="21"/>
  <c r="S40" i="21"/>
  <c r="R41" i="21"/>
  <c r="S41" i="21"/>
  <c r="R42" i="21"/>
  <c r="S42" i="21"/>
  <c r="R43" i="21"/>
  <c r="S43" i="21"/>
  <c r="R44" i="21"/>
  <c r="S44" i="21"/>
  <c r="R45" i="21"/>
  <c r="S45" i="21"/>
  <c r="R46" i="21"/>
  <c r="S46" i="21"/>
  <c r="R47" i="21"/>
  <c r="S47" i="21"/>
  <c r="R48" i="21"/>
  <c r="S48" i="21"/>
  <c r="R49" i="21"/>
  <c r="S49" i="21"/>
  <c r="R50" i="21"/>
  <c r="S50" i="21"/>
  <c r="R51" i="21"/>
  <c r="S51" i="21"/>
  <c r="R52" i="21"/>
  <c r="S52" i="21"/>
  <c r="R53" i="21"/>
  <c r="S53" i="21"/>
  <c r="R54" i="21"/>
  <c r="S54" i="21"/>
  <c r="R55" i="21"/>
  <c r="S55" i="21"/>
  <c r="R56" i="21"/>
  <c r="S56" i="21"/>
  <c r="R57" i="21"/>
  <c r="S57" i="21"/>
  <c r="R58" i="21"/>
  <c r="S58" i="21"/>
  <c r="R59" i="21"/>
  <c r="S59" i="21"/>
  <c r="R60" i="21"/>
  <c r="S60" i="21"/>
  <c r="R61" i="21"/>
  <c r="S61" i="21"/>
  <c r="R62" i="21"/>
  <c r="S62" i="21"/>
  <c r="R63" i="21"/>
  <c r="S63" i="21"/>
  <c r="R64" i="21"/>
  <c r="S64" i="21"/>
  <c r="R65" i="21"/>
  <c r="S65" i="21"/>
  <c r="R66" i="21"/>
  <c r="S66" i="21"/>
  <c r="R67" i="21"/>
  <c r="S67" i="21"/>
  <c r="R68" i="21"/>
  <c r="S68" i="21"/>
  <c r="R69" i="21"/>
  <c r="S69" i="21"/>
  <c r="R70" i="21"/>
  <c r="S70" i="21"/>
  <c r="R71" i="21"/>
  <c r="S71" i="21"/>
  <c r="R72" i="21"/>
  <c r="S72" i="21"/>
  <c r="R73" i="21"/>
  <c r="S73" i="21"/>
  <c r="R74" i="21"/>
  <c r="S74" i="21"/>
  <c r="R75" i="21"/>
  <c r="S75" i="21"/>
  <c r="R76" i="21"/>
  <c r="S76" i="21"/>
  <c r="R77" i="21"/>
  <c r="S77" i="21"/>
  <c r="R78" i="21"/>
  <c r="S78" i="21"/>
  <c r="R79" i="21"/>
  <c r="S79" i="21"/>
  <c r="R80" i="21"/>
  <c r="S80" i="21"/>
  <c r="R81" i="21"/>
  <c r="S81" i="21"/>
  <c r="R82" i="21"/>
  <c r="S82" i="21"/>
  <c r="R83" i="21"/>
  <c r="S83" i="21"/>
  <c r="R84" i="21"/>
  <c r="S84" i="21"/>
  <c r="R85" i="21"/>
  <c r="S85" i="21"/>
  <c r="R86" i="21"/>
  <c r="S86" i="21"/>
  <c r="R87" i="21"/>
  <c r="S87" i="21"/>
  <c r="R88" i="21"/>
  <c r="S88" i="21"/>
  <c r="R89" i="21"/>
  <c r="S89" i="21"/>
  <c r="R90" i="21"/>
  <c r="S90" i="21"/>
  <c r="R91" i="21"/>
  <c r="S91" i="21"/>
  <c r="R92" i="21"/>
  <c r="S92" i="21"/>
  <c r="R93" i="21"/>
  <c r="S93" i="21"/>
  <c r="R94" i="21"/>
  <c r="S94" i="21"/>
  <c r="R95" i="21"/>
  <c r="S95" i="21"/>
  <c r="R96" i="21"/>
  <c r="S96" i="21"/>
  <c r="R97" i="21"/>
  <c r="S97" i="21"/>
  <c r="R98" i="21"/>
  <c r="S98" i="21"/>
  <c r="R99" i="21"/>
  <c r="S99" i="21"/>
  <c r="R100" i="21"/>
  <c r="S100" i="21"/>
  <c r="R101" i="21"/>
  <c r="S101" i="21"/>
  <c r="R102" i="21"/>
  <c r="S102" i="21"/>
  <c r="E5" i="30" l="1"/>
  <c r="F5" i="30"/>
  <c r="E6" i="30"/>
  <c r="F6" i="30"/>
  <c r="E7" i="30"/>
  <c r="F7" i="30"/>
  <c r="E8" i="30"/>
  <c r="F8" i="30"/>
  <c r="E9" i="30"/>
  <c r="F9" i="30"/>
  <c r="E10" i="30"/>
  <c r="F10" i="30"/>
  <c r="E11" i="30"/>
  <c r="F11" i="30"/>
  <c r="E12" i="30"/>
  <c r="F12" i="30"/>
  <c r="B13" i="30"/>
  <c r="E13" i="30"/>
  <c r="F13" i="30"/>
  <c r="B14" i="30"/>
  <c r="E14" i="30"/>
  <c r="F14" i="30"/>
  <c r="B15" i="30"/>
  <c r="E15" i="30"/>
  <c r="F15" i="30"/>
  <c r="B16" i="30"/>
  <c r="E16" i="30"/>
  <c r="F16" i="30"/>
  <c r="B17" i="30"/>
  <c r="E17" i="30"/>
  <c r="F17" i="30"/>
  <c r="B18" i="30"/>
  <c r="E18" i="30"/>
  <c r="F18" i="30"/>
  <c r="B19" i="30"/>
  <c r="E19" i="30"/>
  <c r="F19" i="30"/>
  <c r="B20" i="30"/>
  <c r="E20" i="30"/>
  <c r="F20" i="30"/>
  <c r="B21" i="30"/>
  <c r="E21" i="30"/>
  <c r="F21" i="30"/>
  <c r="B22" i="30"/>
  <c r="E22" i="30"/>
  <c r="F22" i="30"/>
  <c r="B23" i="30"/>
  <c r="E23" i="30"/>
  <c r="F23" i="30"/>
  <c r="B24" i="30"/>
  <c r="E24" i="30"/>
  <c r="F24" i="30"/>
  <c r="B25" i="30"/>
  <c r="E25" i="30"/>
  <c r="F25" i="30"/>
  <c r="B26" i="30"/>
  <c r="E26" i="30"/>
  <c r="F26" i="30"/>
  <c r="B27" i="30"/>
  <c r="E27" i="30"/>
  <c r="F27" i="30"/>
  <c r="B28" i="30"/>
  <c r="E28" i="30"/>
  <c r="F28" i="30"/>
  <c r="B29" i="30"/>
  <c r="E29" i="30"/>
  <c r="F29" i="30"/>
  <c r="B30" i="30"/>
  <c r="E30" i="30"/>
  <c r="F30" i="30"/>
  <c r="B31" i="30"/>
  <c r="E31" i="30"/>
  <c r="F31" i="30"/>
  <c r="B32" i="30"/>
  <c r="E32" i="30"/>
  <c r="F32" i="30"/>
  <c r="C33" i="30"/>
  <c r="B33" i="30"/>
  <c r="E33" i="30"/>
  <c r="F33" i="30"/>
  <c r="B34" i="30"/>
  <c r="E34" i="30"/>
  <c r="F34" i="30"/>
  <c r="B35" i="30"/>
  <c r="E35" i="30"/>
  <c r="F35" i="30"/>
  <c r="B36" i="30"/>
  <c r="E36" i="30"/>
  <c r="F36" i="30"/>
  <c r="C37" i="30"/>
  <c r="B37" i="30"/>
  <c r="E37" i="30"/>
  <c r="F37" i="30"/>
  <c r="C38" i="30"/>
  <c r="B38" i="30"/>
  <c r="E38" i="30"/>
  <c r="F38" i="30"/>
  <c r="C39" i="30"/>
  <c r="B39" i="30"/>
  <c r="E39" i="30"/>
  <c r="F39" i="30"/>
  <c r="C40" i="30"/>
  <c r="B40" i="30"/>
  <c r="E40" i="30"/>
  <c r="F40" i="30"/>
  <c r="C41" i="30"/>
  <c r="B41" i="30"/>
  <c r="E41" i="30"/>
  <c r="F41" i="30"/>
  <c r="C42" i="30"/>
  <c r="B42" i="30"/>
  <c r="E42" i="30"/>
  <c r="F42" i="30"/>
  <c r="C43" i="30"/>
  <c r="B43" i="30"/>
  <c r="E43" i="30"/>
  <c r="F43" i="30"/>
  <c r="C44" i="30"/>
  <c r="B44" i="30"/>
  <c r="E44" i="30"/>
  <c r="F44" i="30"/>
  <c r="C45" i="30"/>
  <c r="B45" i="30"/>
  <c r="E45" i="30"/>
  <c r="F45" i="30"/>
  <c r="C46" i="30"/>
  <c r="B46" i="30"/>
  <c r="E46" i="30"/>
  <c r="F46" i="30"/>
  <c r="C47" i="30"/>
  <c r="B47" i="30"/>
  <c r="E47" i="30"/>
  <c r="F47" i="30"/>
  <c r="C48" i="30"/>
  <c r="B48" i="30"/>
  <c r="E48" i="30"/>
  <c r="F48" i="30"/>
  <c r="C49" i="30"/>
  <c r="B49" i="30"/>
  <c r="E49" i="30"/>
  <c r="F49" i="30"/>
  <c r="C50" i="30"/>
  <c r="B50" i="30"/>
  <c r="E50" i="30"/>
  <c r="F50" i="30"/>
  <c r="C51" i="30"/>
  <c r="B51" i="30"/>
  <c r="E51" i="30"/>
  <c r="F51" i="30"/>
  <c r="C52" i="30"/>
  <c r="B52" i="30"/>
  <c r="E52" i="30"/>
  <c r="F52" i="30"/>
  <c r="C53" i="30"/>
  <c r="B53" i="30"/>
  <c r="E53" i="30"/>
  <c r="F53" i="30"/>
  <c r="C54" i="30"/>
  <c r="B54" i="30"/>
  <c r="E54" i="30"/>
  <c r="F54" i="30"/>
  <c r="C55" i="30"/>
  <c r="B55" i="30"/>
  <c r="E55" i="30"/>
  <c r="F55" i="30"/>
  <c r="C56" i="30"/>
  <c r="B56" i="30"/>
  <c r="E56" i="30"/>
  <c r="F56" i="30"/>
  <c r="C57" i="30"/>
  <c r="B57" i="30"/>
  <c r="E57" i="30"/>
  <c r="F57" i="30"/>
  <c r="C58" i="30"/>
  <c r="B58" i="30"/>
  <c r="E58" i="30"/>
  <c r="F58" i="30"/>
  <c r="C59" i="30"/>
  <c r="B59" i="30"/>
  <c r="E59" i="30"/>
  <c r="F59" i="30"/>
  <c r="C60" i="30"/>
  <c r="B60" i="30"/>
  <c r="E60" i="30"/>
  <c r="F60" i="30"/>
  <c r="C61" i="30"/>
  <c r="B61" i="30"/>
  <c r="E61" i="30"/>
  <c r="F61" i="30"/>
  <c r="C62" i="30"/>
  <c r="B62" i="30"/>
  <c r="E62" i="30"/>
  <c r="F62" i="30"/>
  <c r="C63" i="30"/>
  <c r="B63" i="30"/>
  <c r="E63" i="30"/>
  <c r="F63" i="30"/>
  <c r="C64" i="30"/>
  <c r="B64" i="30"/>
  <c r="E64" i="30"/>
  <c r="F64" i="30"/>
  <c r="C65" i="30"/>
  <c r="B65" i="30"/>
  <c r="E65" i="30"/>
  <c r="F65" i="30"/>
  <c r="C66" i="30"/>
  <c r="B66" i="30"/>
  <c r="E66" i="30"/>
  <c r="F66" i="30"/>
  <c r="C67" i="30"/>
  <c r="B67" i="30"/>
  <c r="E67" i="30"/>
  <c r="F67" i="30"/>
  <c r="C68" i="30"/>
  <c r="B68" i="30"/>
  <c r="E68" i="30"/>
  <c r="F68" i="30"/>
  <c r="C69" i="30"/>
  <c r="B69" i="30"/>
  <c r="E69" i="30"/>
  <c r="F69" i="30"/>
  <c r="C70" i="30"/>
  <c r="B70" i="30"/>
  <c r="E70" i="30"/>
  <c r="F70" i="30"/>
  <c r="C71" i="30"/>
  <c r="B71" i="30"/>
  <c r="E71" i="30"/>
  <c r="F71" i="30"/>
  <c r="C72" i="30"/>
  <c r="B72" i="30"/>
  <c r="E72" i="30"/>
  <c r="F72" i="30"/>
  <c r="C73" i="30"/>
  <c r="B73" i="30"/>
  <c r="E73" i="30"/>
  <c r="F73" i="30"/>
  <c r="C74" i="30"/>
  <c r="B74" i="30"/>
  <c r="E74" i="30"/>
  <c r="F74" i="30"/>
  <c r="C75" i="30"/>
  <c r="B75" i="30"/>
  <c r="E75" i="30"/>
  <c r="F75" i="30"/>
  <c r="C76" i="30"/>
  <c r="B76" i="30"/>
  <c r="E76" i="30"/>
  <c r="F76" i="30"/>
  <c r="C77" i="30"/>
  <c r="B77" i="30"/>
  <c r="E77" i="30"/>
  <c r="F77" i="30"/>
  <c r="C78" i="30"/>
  <c r="B78" i="30"/>
  <c r="E78" i="30"/>
  <c r="F78" i="30"/>
  <c r="C79" i="30"/>
  <c r="B79" i="30"/>
  <c r="E79" i="30"/>
  <c r="F79" i="30"/>
  <c r="C80" i="30"/>
  <c r="B80" i="30"/>
  <c r="E80" i="30"/>
  <c r="F80" i="30"/>
  <c r="C81" i="30"/>
  <c r="B81" i="30"/>
  <c r="E81" i="30"/>
  <c r="F81" i="30"/>
  <c r="C82" i="30"/>
  <c r="B82" i="30"/>
  <c r="E82" i="30"/>
  <c r="F82" i="30"/>
  <c r="C83" i="30"/>
  <c r="B83" i="30"/>
  <c r="E83" i="30"/>
  <c r="F83" i="30"/>
  <c r="C84" i="30"/>
  <c r="B84" i="30"/>
  <c r="E84" i="30"/>
  <c r="F84" i="30"/>
  <c r="C85" i="30"/>
  <c r="B85" i="30"/>
  <c r="E85" i="30"/>
  <c r="F85" i="30"/>
  <c r="C86" i="30"/>
  <c r="B86" i="30"/>
  <c r="E86" i="30"/>
  <c r="F86" i="30"/>
  <c r="C87" i="30"/>
  <c r="B87" i="30"/>
  <c r="E87" i="30"/>
  <c r="F87" i="30"/>
  <c r="C88" i="30"/>
  <c r="B88" i="30"/>
  <c r="E88" i="30"/>
  <c r="F88" i="30"/>
  <c r="C89" i="30"/>
  <c r="B89" i="30"/>
  <c r="E89" i="30"/>
  <c r="F89" i="30"/>
  <c r="C90" i="30"/>
  <c r="B90" i="30"/>
  <c r="E90" i="30"/>
  <c r="F90" i="30"/>
  <c r="C91" i="30"/>
  <c r="B91" i="30"/>
  <c r="E91" i="30"/>
  <c r="F91" i="30"/>
  <c r="C92" i="30"/>
  <c r="B92" i="30"/>
  <c r="E92" i="30"/>
  <c r="F92" i="30"/>
  <c r="C93" i="30"/>
  <c r="B93" i="30"/>
  <c r="E93" i="30"/>
  <c r="F93" i="30"/>
  <c r="C94" i="30"/>
  <c r="B94" i="30"/>
  <c r="E94" i="30"/>
  <c r="F94" i="30"/>
  <c r="C95" i="30"/>
  <c r="B95" i="30"/>
  <c r="E95" i="30"/>
  <c r="F95" i="30"/>
  <c r="C96" i="30"/>
  <c r="B96" i="30"/>
  <c r="E96" i="30"/>
  <c r="F96" i="30"/>
  <c r="C97" i="30"/>
  <c r="B97" i="30"/>
  <c r="E97" i="30"/>
  <c r="F97" i="30"/>
  <c r="C98" i="30"/>
  <c r="B98" i="30"/>
  <c r="E98" i="30"/>
  <c r="F98" i="30"/>
  <c r="C99" i="30"/>
  <c r="B99" i="30"/>
  <c r="E99" i="30"/>
  <c r="F99" i="30"/>
  <c r="C100" i="30"/>
  <c r="B100" i="30"/>
  <c r="E100" i="30"/>
  <c r="F100" i="30"/>
  <c r="C101" i="30"/>
  <c r="B101" i="30"/>
  <c r="E101" i="30"/>
  <c r="F101" i="30"/>
  <c r="C102" i="30"/>
  <c r="B102" i="30"/>
  <c r="E102" i="30"/>
  <c r="F102" i="30"/>
  <c r="C5" i="29"/>
  <c r="E5" i="29"/>
  <c r="G5" i="29"/>
  <c r="H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AD5" i="29"/>
  <c r="C6" i="29"/>
  <c r="E6" i="29"/>
  <c r="F6" i="29"/>
  <c r="G6" i="29"/>
  <c r="H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AD6" i="29"/>
  <c r="C7" i="29"/>
  <c r="E7" i="29"/>
  <c r="F7" i="29"/>
  <c r="G7" i="29"/>
  <c r="H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AD7" i="29"/>
  <c r="C8" i="29"/>
  <c r="E8" i="29"/>
  <c r="F8" i="29"/>
  <c r="G8" i="29"/>
  <c r="H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AD8" i="29"/>
  <c r="C9" i="29"/>
  <c r="E9" i="29"/>
  <c r="F9" i="29"/>
  <c r="G9" i="29"/>
  <c r="H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AD9" i="29"/>
  <c r="C10" i="29"/>
  <c r="E10" i="29"/>
  <c r="F10" i="29"/>
  <c r="G10" i="29"/>
  <c r="H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AD10" i="29"/>
  <c r="C11" i="29"/>
  <c r="E11" i="29"/>
  <c r="F11" i="29"/>
  <c r="G11" i="29"/>
  <c r="H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AD11" i="29"/>
  <c r="C12" i="29"/>
  <c r="E12" i="29"/>
  <c r="F12" i="29"/>
  <c r="G12" i="29"/>
  <c r="H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AD12" i="29"/>
  <c r="C13" i="29"/>
  <c r="E13" i="29"/>
  <c r="F13" i="29"/>
  <c r="G13" i="29"/>
  <c r="H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AD13" i="29"/>
  <c r="C14" i="29"/>
  <c r="E14" i="29"/>
  <c r="F14" i="29"/>
  <c r="G14" i="29"/>
  <c r="H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AD14" i="29"/>
  <c r="C15" i="29"/>
  <c r="E15" i="29"/>
  <c r="F15" i="29"/>
  <c r="G15" i="29"/>
  <c r="H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AD15" i="29"/>
  <c r="C16" i="29"/>
  <c r="E16" i="29"/>
  <c r="F16" i="29"/>
  <c r="G16" i="29"/>
  <c r="H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AD16" i="29"/>
  <c r="C17" i="29"/>
  <c r="E17" i="29"/>
  <c r="F17" i="29"/>
  <c r="G17" i="29"/>
  <c r="H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AD17" i="29"/>
  <c r="C18" i="29"/>
  <c r="E18" i="29"/>
  <c r="F18" i="29"/>
  <c r="G18" i="29"/>
  <c r="H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AD18" i="29"/>
  <c r="C19" i="29"/>
  <c r="E19" i="29"/>
  <c r="F19" i="29"/>
  <c r="G19" i="29"/>
  <c r="H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AD19" i="29"/>
  <c r="C20" i="29"/>
  <c r="E20" i="29"/>
  <c r="F20" i="29"/>
  <c r="G20" i="29"/>
  <c r="H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AD20" i="29"/>
  <c r="C21" i="29"/>
  <c r="E21" i="29"/>
  <c r="F21" i="29"/>
  <c r="G21" i="29"/>
  <c r="H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AD21" i="29"/>
  <c r="C22" i="29"/>
  <c r="E22" i="29"/>
  <c r="F22" i="29"/>
  <c r="G22" i="29"/>
  <c r="H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AD22" i="29"/>
  <c r="C23" i="29"/>
  <c r="E23" i="29"/>
  <c r="F23" i="29"/>
  <c r="G23" i="29"/>
  <c r="H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AD23" i="29"/>
  <c r="C24" i="29"/>
  <c r="E24" i="29"/>
  <c r="F24" i="29"/>
  <c r="G24" i="29"/>
  <c r="H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AD24" i="29"/>
  <c r="C25" i="29"/>
  <c r="E25" i="29"/>
  <c r="F25" i="29"/>
  <c r="G25" i="29"/>
  <c r="H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AD25" i="29"/>
  <c r="C26" i="29"/>
  <c r="E26" i="29"/>
  <c r="F26" i="29"/>
  <c r="G26" i="29"/>
  <c r="H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AD26" i="29"/>
  <c r="C27" i="29"/>
  <c r="E27" i="29"/>
  <c r="F27" i="29"/>
  <c r="G27" i="29"/>
  <c r="H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AD27" i="29"/>
  <c r="C28" i="29"/>
  <c r="E28" i="29"/>
  <c r="F28" i="29"/>
  <c r="G28" i="29"/>
  <c r="H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AD28" i="29"/>
  <c r="C29" i="29"/>
  <c r="E29" i="29"/>
  <c r="F29" i="29"/>
  <c r="G29" i="29"/>
  <c r="H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AD29" i="29"/>
  <c r="C30" i="29"/>
  <c r="E30" i="29"/>
  <c r="F30" i="29"/>
  <c r="G30" i="29"/>
  <c r="H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AD30" i="29"/>
  <c r="C31" i="29"/>
  <c r="E31" i="29"/>
  <c r="F31" i="29"/>
  <c r="G31" i="29"/>
  <c r="H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AD31" i="29"/>
  <c r="C32" i="29"/>
  <c r="E32" i="29"/>
  <c r="F32" i="29"/>
  <c r="G32" i="29"/>
  <c r="H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AD32" i="29"/>
  <c r="C33" i="29"/>
  <c r="D33" i="29"/>
  <c r="E33" i="29"/>
  <c r="F33" i="29"/>
  <c r="G33" i="29"/>
  <c r="H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AD33" i="29"/>
  <c r="C34" i="29"/>
  <c r="E34" i="29"/>
  <c r="F34" i="29"/>
  <c r="G34" i="29"/>
  <c r="H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AD34" i="29"/>
  <c r="C35" i="29"/>
  <c r="E35" i="29"/>
  <c r="F35" i="29"/>
  <c r="G35" i="29"/>
  <c r="H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AD35" i="29"/>
  <c r="C36" i="29"/>
  <c r="E36" i="29"/>
  <c r="F36" i="29"/>
  <c r="G36" i="29"/>
  <c r="H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AD36" i="29"/>
  <c r="C37" i="29"/>
  <c r="D37" i="29"/>
  <c r="E37" i="29"/>
  <c r="F37" i="29"/>
  <c r="B37" i="29" s="1"/>
  <c r="G37" i="29"/>
  <c r="H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AD37" i="29"/>
  <c r="C38" i="29"/>
  <c r="D38" i="29"/>
  <c r="E38" i="29"/>
  <c r="F38" i="29"/>
  <c r="B38" i="29" s="1"/>
  <c r="G38" i="29"/>
  <c r="H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AD38" i="29"/>
  <c r="C39" i="29"/>
  <c r="D39" i="29"/>
  <c r="E39" i="29"/>
  <c r="F39" i="29"/>
  <c r="B39" i="29" s="1"/>
  <c r="G39" i="29"/>
  <c r="H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AD39" i="29"/>
  <c r="C40" i="29"/>
  <c r="D40" i="29"/>
  <c r="E40" i="29"/>
  <c r="F40" i="29"/>
  <c r="B40" i="29" s="1"/>
  <c r="G40" i="29"/>
  <c r="H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AD40" i="29"/>
  <c r="C41" i="29"/>
  <c r="D41" i="29"/>
  <c r="E41" i="29"/>
  <c r="F41" i="29"/>
  <c r="B41" i="29" s="1"/>
  <c r="G41" i="29"/>
  <c r="H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AD41" i="29"/>
  <c r="C42" i="29"/>
  <c r="D42" i="29"/>
  <c r="E42" i="29"/>
  <c r="F42" i="29"/>
  <c r="B42" i="29" s="1"/>
  <c r="G42" i="29"/>
  <c r="H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AD42" i="29"/>
  <c r="C43" i="29"/>
  <c r="D43" i="29"/>
  <c r="E43" i="29"/>
  <c r="F43" i="29"/>
  <c r="B43" i="29" s="1"/>
  <c r="G43" i="29"/>
  <c r="H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AD43" i="29"/>
  <c r="C44" i="29"/>
  <c r="D44" i="29"/>
  <c r="E44" i="29"/>
  <c r="F44" i="29"/>
  <c r="B44" i="29" s="1"/>
  <c r="G44" i="29"/>
  <c r="H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AD44" i="29"/>
  <c r="C45" i="29"/>
  <c r="D45" i="29"/>
  <c r="E45" i="29"/>
  <c r="F45" i="29"/>
  <c r="B45" i="29" s="1"/>
  <c r="G45" i="29"/>
  <c r="H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AD45" i="29"/>
  <c r="C46" i="29"/>
  <c r="D46" i="29"/>
  <c r="E46" i="29"/>
  <c r="F46" i="29"/>
  <c r="B46" i="29" s="1"/>
  <c r="G46" i="29"/>
  <c r="H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AD46" i="29"/>
  <c r="C47" i="29"/>
  <c r="D47" i="29"/>
  <c r="E47" i="29"/>
  <c r="F47" i="29"/>
  <c r="B47" i="29" s="1"/>
  <c r="G47" i="29"/>
  <c r="H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AD47" i="29"/>
  <c r="C48" i="29"/>
  <c r="D48" i="29"/>
  <c r="E48" i="29"/>
  <c r="F48" i="29"/>
  <c r="B48" i="29" s="1"/>
  <c r="G48" i="29"/>
  <c r="H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AD48" i="29"/>
  <c r="C49" i="29"/>
  <c r="D49" i="29"/>
  <c r="E49" i="29"/>
  <c r="F49" i="29"/>
  <c r="B49" i="29" s="1"/>
  <c r="G49" i="29"/>
  <c r="H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AD49" i="29"/>
  <c r="C50" i="29"/>
  <c r="D50" i="29"/>
  <c r="E50" i="29"/>
  <c r="F50" i="29"/>
  <c r="B50" i="29" s="1"/>
  <c r="G50" i="29"/>
  <c r="H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AD50" i="29"/>
  <c r="C51" i="29"/>
  <c r="D51" i="29"/>
  <c r="E51" i="29"/>
  <c r="F51" i="29"/>
  <c r="B51" i="29" s="1"/>
  <c r="G51" i="29"/>
  <c r="H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AD51" i="29"/>
  <c r="C52" i="29"/>
  <c r="D52" i="29"/>
  <c r="E52" i="29"/>
  <c r="F52" i="29"/>
  <c r="B52" i="29" s="1"/>
  <c r="G52" i="29"/>
  <c r="H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AD52" i="29"/>
  <c r="C53" i="29"/>
  <c r="D53" i="29"/>
  <c r="E53" i="29"/>
  <c r="F53" i="29"/>
  <c r="B53" i="29" s="1"/>
  <c r="G53" i="29"/>
  <c r="H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AD53" i="29"/>
  <c r="C54" i="29"/>
  <c r="D54" i="29"/>
  <c r="E54" i="29"/>
  <c r="F54" i="29"/>
  <c r="B54" i="29" s="1"/>
  <c r="G54" i="29"/>
  <c r="H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AD54" i="29"/>
  <c r="C55" i="29"/>
  <c r="D55" i="29"/>
  <c r="E55" i="29"/>
  <c r="F55" i="29"/>
  <c r="B55" i="29" s="1"/>
  <c r="G55" i="29"/>
  <c r="H55" i="29"/>
  <c r="J55" i="29"/>
  <c r="K55" i="29"/>
  <c r="L55" i="29"/>
  <c r="M55" i="29"/>
  <c r="N55" i="29"/>
  <c r="O55" i="29"/>
  <c r="P55" i="29"/>
  <c r="Q55" i="29"/>
  <c r="R55" i="29"/>
  <c r="S55" i="29"/>
  <c r="T55" i="29"/>
  <c r="U55" i="29"/>
  <c r="V55" i="29"/>
  <c r="AD55" i="29"/>
  <c r="C56" i="29"/>
  <c r="D56" i="29"/>
  <c r="E56" i="29"/>
  <c r="F56" i="29"/>
  <c r="B56" i="29" s="1"/>
  <c r="G56" i="29"/>
  <c r="H56" i="29"/>
  <c r="J56" i="29"/>
  <c r="K56" i="29"/>
  <c r="L56" i="29"/>
  <c r="M56" i="29"/>
  <c r="N56" i="29"/>
  <c r="O56" i="29"/>
  <c r="P56" i="29"/>
  <c r="Q56" i="29"/>
  <c r="R56" i="29"/>
  <c r="S56" i="29"/>
  <c r="T56" i="29"/>
  <c r="U56" i="29"/>
  <c r="V56" i="29"/>
  <c r="AD56" i="29"/>
  <c r="C57" i="29"/>
  <c r="D57" i="29"/>
  <c r="E57" i="29"/>
  <c r="F57" i="29"/>
  <c r="B57" i="29" s="1"/>
  <c r="G57" i="29"/>
  <c r="H57" i="29"/>
  <c r="J57" i="29"/>
  <c r="K57" i="29"/>
  <c r="L57" i="29"/>
  <c r="M57" i="29"/>
  <c r="N57" i="29"/>
  <c r="O57" i="29"/>
  <c r="P57" i="29"/>
  <c r="Q57" i="29"/>
  <c r="R57" i="29"/>
  <c r="S57" i="29"/>
  <c r="T57" i="29"/>
  <c r="U57" i="29"/>
  <c r="V57" i="29"/>
  <c r="AD57" i="29"/>
  <c r="C58" i="29"/>
  <c r="D58" i="29"/>
  <c r="E58" i="29"/>
  <c r="F58" i="29"/>
  <c r="B58" i="29" s="1"/>
  <c r="G58" i="29"/>
  <c r="H58" i="29"/>
  <c r="J58" i="29"/>
  <c r="K58" i="29"/>
  <c r="L58" i="29"/>
  <c r="M58" i="29"/>
  <c r="N58" i="29"/>
  <c r="O58" i="29"/>
  <c r="P58" i="29"/>
  <c r="Q58" i="29"/>
  <c r="R58" i="29"/>
  <c r="S58" i="29"/>
  <c r="T58" i="29"/>
  <c r="U58" i="29"/>
  <c r="V58" i="29"/>
  <c r="AD58" i="29"/>
  <c r="C59" i="29"/>
  <c r="D59" i="29"/>
  <c r="E59" i="29"/>
  <c r="F59" i="29"/>
  <c r="B59" i="29" s="1"/>
  <c r="G59" i="29"/>
  <c r="H59" i="29"/>
  <c r="J59" i="29"/>
  <c r="K59" i="29"/>
  <c r="L59" i="29"/>
  <c r="M59" i="29"/>
  <c r="N59" i="29"/>
  <c r="O59" i="29"/>
  <c r="P59" i="29"/>
  <c r="Q59" i="29"/>
  <c r="R59" i="29"/>
  <c r="S59" i="29"/>
  <c r="T59" i="29"/>
  <c r="U59" i="29"/>
  <c r="V59" i="29"/>
  <c r="AD59" i="29"/>
  <c r="C60" i="29"/>
  <c r="D60" i="29"/>
  <c r="E60" i="29"/>
  <c r="F60" i="29"/>
  <c r="B60" i="29" s="1"/>
  <c r="G60" i="29"/>
  <c r="H60" i="29"/>
  <c r="J60" i="29"/>
  <c r="K60" i="29"/>
  <c r="L60" i="29"/>
  <c r="M60" i="29"/>
  <c r="N60" i="29"/>
  <c r="O60" i="29"/>
  <c r="P60" i="29"/>
  <c r="Q60" i="29"/>
  <c r="R60" i="29"/>
  <c r="S60" i="29"/>
  <c r="T60" i="29"/>
  <c r="U60" i="29"/>
  <c r="V60" i="29"/>
  <c r="AD60" i="29"/>
  <c r="C61" i="29"/>
  <c r="D61" i="29"/>
  <c r="E61" i="29"/>
  <c r="F61" i="29"/>
  <c r="B61" i="29" s="1"/>
  <c r="G61" i="29"/>
  <c r="H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AD61" i="29"/>
  <c r="C62" i="29"/>
  <c r="D62" i="29"/>
  <c r="E62" i="29"/>
  <c r="F62" i="29"/>
  <c r="B62" i="29" s="1"/>
  <c r="G62" i="29"/>
  <c r="H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AD62" i="29"/>
  <c r="C63" i="29"/>
  <c r="D63" i="29"/>
  <c r="E63" i="29"/>
  <c r="F63" i="29"/>
  <c r="B63" i="29" s="1"/>
  <c r="G63" i="29"/>
  <c r="H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AD63" i="29"/>
  <c r="C64" i="29"/>
  <c r="D64" i="29"/>
  <c r="E64" i="29"/>
  <c r="F64" i="29"/>
  <c r="B64" i="29" s="1"/>
  <c r="G64" i="29"/>
  <c r="H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AD64" i="29"/>
  <c r="C65" i="29"/>
  <c r="D65" i="29"/>
  <c r="E65" i="29"/>
  <c r="F65" i="29"/>
  <c r="B65" i="29" s="1"/>
  <c r="G65" i="29"/>
  <c r="H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AD65" i="29"/>
  <c r="C66" i="29"/>
  <c r="D66" i="29"/>
  <c r="E66" i="29"/>
  <c r="F66" i="29"/>
  <c r="B66" i="29" s="1"/>
  <c r="G66" i="29"/>
  <c r="H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AD66" i="29"/>
  <c r="C67" i="29"/>
  <c r="D67" i="29"/>
  <c r="E67" i="29"/>
  <c r="F67" i="29"/>
  <c r="B67" i="29" s="1"/>
  <c r="G67" i="29"/>
  <c r="H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AD67" i="29"/>
  <c r="C68" i="29"/>
  <c r="D68" i="29"/>
  <c r="E68" i="29"/>
  <c r="F68" i="29"/>
  <c r="B68" i="29" s="1"/>
  <c r="G68" i="29"/>
  <c r="H68" i="29"/>
  <c r="J68" i="29"/>
  <c r="K68" i="29"/>
  <c r="L68" i="29"/>
  <c r="M68" i="29"/>
  <c r="N68" i="29"/>
  <c r="O68" i="29"/>
  <c r="P68" i="29"/>
  <c r="Q68" i="29"/>
  <c r="R68" i="29"/>
  <c r="S68" i="29"/>
  <c r="T68" i="29"/>
  <c r="U68" i="29"/>
  <c r="V68" i="29"/>
  <c r="AD68" i="29"/>
  <c r="C69" i="29"/>
  <c r="D69" i="29"/>
  <c r="E69" i="29"/>
  <c r="F69" i="29"/>
  <c r="B69" i="29" s="1"/>
  <c r="G69" i="29"/>
  <c r="H69" i="29"/>
  <c r="J69" i="29"/>
  <c r="K69" i="29"/>
  <c r="L69" i="29"/>
  <c r="M69" i="29"/>
  <c r="N69" i="29"/>
  <c r="O69" i="29"/>
  <c r="P69" i="29"/>
  <c r="Q69" i="29"/>
  <c r="R69" i="29"/>
  <c r="S69" i="29"/>
  <c r="T69" i="29"/>
  <c r="U69" i="29"/>
  <c r="V69" i="29"/>
  <c r="AD69" i="29"/>
  <c r="C70" i="29"/>
  <c r="D70" i="29"/>
  <c r="E70" i="29"/>
  <c r="F70" i="29"/>
  <c r="B70" i="29" s="1"/>
  <c r="G70" i="29"/>
  <c r="H70" i="29"/>
  <c r="J70" i="29"/>
  <c r="K70" i="29"/>
  <c r="L70" i="29"/>
  <c r="M70" i="29"/>
  <c r="N70" i="29"/>
  <c r="O70" i="29"/>
  <c r="P70" i="29"/>
  <c r="Q70" i="29"/>
  <c r="R70" i="29"/>
  <c r="S70" i="29"/>
  <c r="T70" i="29"/>
  <c r="U70" i="29"/>
  <c r="V70" i="29"/>
  <c r="AD70" i="29"/>
  <c r="C71" i="29"/>
  <c r="D71" i="29"/>
  <c r="E71" i="29"/>
  <c r="F71" i="29"/>
  <c r="B71" i="29" s="1"/>
  <c r="G71" i="29"/>
  <c r="H71" i="29"/>
  <c r="J71" i="29"/>
  <c r="K71" i="29"/>
  <c r="L71" i="29"/>
  <c r="M71" i="29"/>
  <c r="N71" i="29"/>
  <c r="O71" i="29"/>
  <c r="P71" i="29"/>
  <c r="Q71" i="29"/>
  <c r="R71" i="29"/>
  <c r="S71" i="29"/>
  <c r="T71" i="29"/>
  <c r="U71" i="29"/>
  <c r="V71" i="29"/>
  <c r="AD71" i="29"/>
  <c r="C72" i="29"/>
  <c r="D72" i="29"/>
  <c r="E72" i="29"/>
  <c r="F72" i="29"/>
  <c r="B72" i="29" s="1"/>
  <c r="G72" i="29"/>
  <c r="H72" i="29"/>
  <c r="J72" i="29"/>
  <c r="K72" i="29"/>
  <c r="L72" i="29"/>
  <c r="M72" i="29"/>
  <c r="N72" i="29"/>
  <c r="O72" i="29"/>
  <c r="P72" i="29"/>
  <c r="Q72" i="29"/>
  <c r="R72" i="29"/>
  <c r="S72" i="29"/>
  <c r="T72" i="29"/>
  <c r="U72" i="29"/>
  <c r="V72" i="29"/>
  <c r="AD72" i="29"/>
  <c r="C73" i="29"/>
  <c r="D73" i="29"/>
  <c r="E73" i="29"/>
  <c r="F73" i="29"/>
  <c r="B73" i="29" s="1"/>
  <c r="G73" i="29"/>
  <c r="H73" i="29"/>
  <c r="J73" i="29"/>
  <c r="K73" i="29"/>
  <c r="L73" i="29"/>
  <c r="M73" i="29"/>
  <c r="N73" i="29"/>
  <c r="O73" i="29"/>
  <c r="P73" i="29"/>
  <c r="Q73" i="29"/>
  <c r="R73" i="29"/>
  <c r="S73" i="29"/>
  <c r="T73" i="29"/>
  <c r="U73" i="29"/>
  <c r="V73" i="29"/>
  <c r="AD73" i="29"/>
  <c r="C74" i="29"/>
  <c r="D74" i="29"/>
  <c r="E74" i="29"/>
  <c r="F74" i="29"/>
  <c r="B74" i="29" s="1"/>
  <c r="G74" i="29"/>
  <c r="H74" i="29"/>
  <c r="J74" i="29"/>
  <c r="K74" i="29"/>
  <c r="L74" i="29"/>
  <c r="M74" i="29"/>
  <c r="N74" i="29"/>
  <c r="O74" i="29"/>
  <c r="P74" i="29"/>
  <c r="Q74" i="29"/>
  <c r="R74" i="29"/>
  <c r="S74" i="29"/>
  <c r="T74" i="29"/>
  <c r="U74" i="29"/>
  <c r="V74" i="29"/>
  <c r="AD74" i="29"/>
  <c r="C75" i="29"/>
  <c r="D75" i="29"/>
  <c r="E75" i="29"/>
  <c r="F75" i="29"/>
  <c r="B75" i="29" s="1"/>
  <c r="G75" i="29"/>
  <c r="H75" i="29"/>
  <c r="J75" i="29"/>
  <c r="K75" i="29"/>
  <c r="L75" i="29"/>
  <c r="M75" i="29"/>
  <c r="N75" i="29"/>
  <c r="O75" i="29"/>
  <c r="P75" i="29"/>
  <c r="Q75" i="29"/>
  <c r="R75" i="29"/>
  <c r="S75" i="29"/>
  <c r="T75" i="29"/>
  <c r="U75" i="29"/>
  <c r="V75" i="29"/>
  <c r="AD75" i="29"/>
  <c r="C76" i="29"/>
  <c r="D76" i="29"/>
  <c r="E76" i="29"/>
  <c r="F76" i="29"/>
  <c r="B76" i="29" s="1"/>
  <c r="G76" i="29"/>
  <c r="H76" i="29"/>
  <c r="J76" i="29"/>
  <c r="K76" i="29"/>
  <c r="L76" i="29"/>
  <c r="M76" i="29"/>
  <c r="N76" i="29"/>
  <c r="O76" i="29"/>
  <c r="P76" i="29"/>
  <c r="Q76" i="29"/>
  <c r="R76" i="29"/>
  <c r="S76" i="29"/>
  <c r="T76" i="29"/>
  <c r="U76" i="29"/>
  <c r="V76" i="29"/>
  <c r="AD76" i="29"/>
  <c r="C77" i="29"/>
  <c r="D77" i="29"/>
  <c r="E77" i="29"/>
  <c r="F77" i="29"/>
  <c r="B77" i="29" s="1"/>
  <c r="G77" i="29"/>
  <c r="H77" i="29"/>
  <c r="J77" i="29"/>
  <c r="K77" i="29"/>
  <c r="L77" i="29"/>
  <c r="M77" i="29"/>
  <c r="N77" i="29"/>
  <c r="O77" i="29"/>
  <c r="P77" i="29"/>
  <c r="Q77" i="29"/>
  <c r="R77" i="29"/>
  <c r="S77" i="29"/>
  <c r="T77" i="29"/>
  <c r="U77" i="29"/>
  <c r="V77" i="29"/>
  <c r="AD77" i="29"/>
  <c r="C78" i="29"/>
  <c r="D78" i="29"/>
  <c r="E78" i="29"/>
  <c r="F78" i="29"/>
  <c r="B78" i="29" s="1"/>
  <c r="G78" i="29"/>
  <c r="H78" i="29"/>
  <c r="J78" i="29"/>
  <c r="K78" i="29"/>
  <c r="L78" i="29"/>
  <c r="M78" i="29"/>
  <c r="N78" i="29"/>
  <c r="O78" i="29"/>
  <c r="P78" i="29"/>
  <c r="Q78" i="29"/>
  <c r="R78" i="29"/>
  <c r="S78" i="29"/>
  <c r="T78" i="29"/>
  <c r="U78" i="29"/>
  <c r="V78" i="29"/>
  <c r="AD78" i="29"/>
  <c r="C79" i="29"/>
  <c r="D79" i="29"/>
  <c r="E79" i="29"/>
  <c r="F79" i="29"/>
  <c r="B79" i="29" s="1"/>
  <c r="G79" i="29"/>
  <c r="H79" i="29"/>
  <c r="J79" i="29"/>
  <c r="K79" i="29"/>
  <c r="L79" i="29"/>
  <c r="M79" i="29"/>
  <c r="N79" i="29"/>
  <c r="O79" i="29"/>
  <c r="P79" i="29"/>
  <c r="Q79" i="29"/>
  <c r="R79" i="29"/>
  <c r="S79" i="29"/>
  <c r="T79" i="29"/>
  <c r="U79" i="29"/>
  <c r="V79" i="29"/>
  <c r="AD79" i="29"/>
  <c r="C80" i="29"/>
  <c r="D80" i="29"/>
  <c r="E80" i="29"/>
  <c r="F80" i="29"/>
  <c r="B80" i="29" s="1"/>
  <c r="G80" i="29"/>
  <c r="H80" i="29"/>
  <c r="J80" i="29"/>
  <c r="K80" i="29"/>
  <c r="L80" i="29"/>
  <c r="M80" i="29"/>
  <c r="N80" i="29"/>
  <c r="O80" i="29"/>
  <c r="P80" i="29"/>
  <c r="Q80" i="29"/>
  <c r="R80" i="29"/>
  <c r="S80" i="29"/>
  <c r="T80" i="29"/>
  <c r="U80" i="29"/>
  <c r="V80" i="29"/>
  <c r="AD80" i="29"/>
  <c r="C81" i="29"/>
  <c r="D81" i="29"/>
  <c r="E81" i="29"/>
  <c r="F81" i="29"/>
  <c r="B81" i="29" s="1"/>
  <c r="G81" i="29"/>
  <c r="H81" i="29"/>
  <c r="J81" i="29"/>
  <c r="K81" i="29"/>
  <c r="L81" i="29"/>
  <c r="M81" i="29"/>
  <c r="N81" i="29"/>
  <c r="O81" i="29"/>
  <c r="P81" i="29"/>
  <c r="Q81" i="29"/>
  <c r="R81" i="29"/>
  <c r="S81" i="29"/>
  <c r="T81" i="29"/>
  <c r="U81" i="29"/>
  <c r="V81" i="29"/>
  <c r="AD81" i="29"/>
  <c r="C82" i="29"/>
  <c r="D82" i="29"/>
  <c r="E82" i="29"/>
  <c r="F82" i="29"/>
  <c r="B82" i="29" s="1"/>
  <c r="G82" i="29"/>
  <c r="H82" i="29"/>
  <c r="J82" i="29"/>
  <c r="K82" i="29"/>
  <c r="L82" i="29"/>
  <c r="M82" i="29"/>
  <c r="N82" i="29"/>
  <c r="O82" i="29"/>
  <c r="P82" i="29"/>
  <c r="Q82" i="29"/>
  <c r="R82" i="29"/>
  <c r="S82" i="29"/>
  <c r="T82" i="29"/>
  <c r="U82" i="29"/>
  <c r="V82" i="29"/>
  <c r="AD82" i="29"/>
  <c r="C83" i="29"/>
  <c r="D83" i="29"/>
  <c r="E83" i="29"/>
  <c r="F83" i="29"/>
  <c r="B83" i="29" s="1"/>
  <c r="G83" i="29"/>
  <c r="H83" i="29"/>
  <c r="J83" i="29"/>
  <c r="K83" i="29"/>
  <c r="L83" i="29"/>
  <c r="M83" i="29"/>
  <c r="N83" i="29"/>
  <c r="O83" i="29"/>
  <c r="P83" i="29"/>
  <c r="Q83" i="29"/>
  <c r="R83" i="29"/>
  <c r="S83" i="29"/>
  <c r="T83" i="29"/>
  <c r="U83" i="29"/>
  <c r="V83" i="29"/>
  <c r="AD83" i="29"/>
  <c r="C84" i="29"/>
  <c r="D84" i="29"/>
  <c r="E84" i="29"/>
  <c r="F84" i="29"/>
  <c r="B84" i="29" s="1"/>
  <c r="G84" i="29"/>
  <c r="H84" i="29"/>
  <c r="J84" i="29"/>
  <c r="K84" i="29"/>
  <c r="L84" i="29"/>
  <c r="M84" i="29"/>
  <c r="N84" i="29"/>
  <c r="O84" i="29"/>
  <c r="P84" i="29"/>
  <c r="Q84" i="29"/>
  <c r="R84" i="29"/>
  <c r="S84" i="29"/>
  <c r="T84" i="29"/>
  <c r="U84" i="29"/>
  <c r="V84" i="29"/>
  <c r="AD84" i="29"/>
  <c r="C85" i="29"/>
  <c r="D85" i="29"/>
  <c r="E85" i="29"/>
  <c r="F85" i="29"/>
  <c r="B85" i="29" s="1"/>
  <c r="G85" i="29"/>
  <c r="H85" i="29"/>
  <c r="J85" i="29"/>
  <c r="K85" i="29"/>
  <c r="L85" i="29"/>
  <c r="M85" i="29"/>
  <c r="N85" i="29"/>
  <c r="O85" i="29"/>
  <c r="P85" i="29"/>
  <c r="Q85" i="29"/>
  <c r="R85" i="29"/>
  <c r="S85" i="29"/>
  <c r="T85" i="29"/>
  <c r="U85" i="29"/>
  <c r="V85" i="29"/>
  <c r="AD85" i="29"/>
  <c r="C86" i="29"/>
  <c r="D86" i="29"/>
  <c r="E86" i="29"/>
  <c r="F86" i="29"/>
  <c r="B86" i="29" s="1"/>
  <c r="G86" i="29"/>
  <c r="H86" i="29"/>
  <c r="J86" i="29"/>
  <c r="K86" i="29"/>
  <c r="L86" i="29"/>
  <c r="M86" i="29"/>
  <c r="N86" i="29"/>
  <c r="O86" i="29"/>
  <c r="P86" i="29"/>
  <c r="Q86" i="29"/>
  <c r="R86" i="29"/>
  <c r="S86" i="29"/>
  <c r="T86" i="29"/>
  <c r="U86" i="29"/>
  <c r="V86" i="29"/>
  <c r="AD86" i="29"/>
  <c r="C87" i="29"/>
  <c r="D87" i="29"/>
  <c r="E87" i="29"/>
  <c r="F87" i="29"/>
  <c r="B87" i="29" s="1"/>
  <c r="G87" i="29"/>
  <c r="H87" i="29"/>
  <c r="J87" i="29"/>
  <c r="K87" i="29"/>
  <c r="L87" i="29"/>
  <c r="M87" i="29"/>
  <c r="N87" i="29"/>
  <c r="O87" i="29"/>
  <c r="P87" i="29"/>
  <c r="Q87" i="29"/>
  <c r="R87" i="29"/>
  <c r="S87" i="29"/>
  <c r="T87" i="29"/>
  <c r="U87" i="29"/>
  <c r="V87" i="29"/>
  <c r="AD87" i="29"/>
  <c r="C88" i="29"/>
  <c r="D88" i="29"/>
  <c r="E88" i="29"/>
  <c r="F88" i="29"/>
  <c r="B88" i="29" s="1"/>
  <c r="G88" i="29"/>
  <c r="H88" i="29"/>
  <c r="J88" i="29"/>
  <c r="K88" i="29"/>
  <c r="L88" i="29"/>
  <c r="M88" i="29"/>
  <c r="N88" i="29"/>
  <c r="O88" i="29"/>
  <c r="P88" i="29"/>
  <c r="Q88" i="29"/>
  <c r="R88" i="29"/>
  <c r="S88" i="29"/>
  <c r="T88" i="29"/>
  <c r="U88" i="29"/>
  <c r="V88" i="29"/>
  <c r="AD88" i="29"/>
  <c r="C89" i="29"/>
  <c r="D89" i="29"/>
  <c r="E89" i="29"/>
  <c r="F89" i="29"/>
  <c r="B89" i="29" s="1"/>
  <c r="G89" i="29"/>
  <c r="H89" i="29"/>
  <c r="J89" i="29"/>
  <c r="K89" i="29"/>
  <c r="L89" i="29"/>
  <c r="M89" i="29"/>
  <c r="N89" i="29"/>
  <c r="O89" i="29"/>
  <c r="P89" i="29"/>
  <c r="Q89" i="29"/>
  <c r="R89" i="29"/>
  <c r="S89" i="29"/>
  <c r="T89" i="29"/>
  <c r="U89" i="29"/>
  <c r="V89" i="29"/>
  <c r="AD89" i="29"/>
  <c r="C90" i="29"/>
  <c r="D90" i="29"/>
  <c r="E90" i="29"/>
  <c r="F90" i="29"/>
  <c r="B90" i="29" s="1"/>
  <c r="G90" i="29"/>
  <c r="H90" i="29"/>
  <c r="J90" i="29"/>
  <c r="K90" i="29"/>
  <c r="L90" i="29"/>
  <c r="M90" i="29"/>
  <c r="N90" i="29"/>
  <c r="O90" i="29"/>
  <c r="P90" i="29"/>
  <c r="Q90" i="29"/>
  <c r="R90" i="29"/>
  <c r="S90" i="29"/>
  <c r="T90" i="29"/>
  <c r="U90" i="29"/>
  <c r="V90" i="29"/>
  <c r="AD90" i="29"/>
  <c r="C91" i="29"/>
  <c r="D91" i="29"/>
  <c r="E91" i="29"/>
  <c r="F91" i="29"/>
  <c r="B91" i="29" s="1"/>
  <c r="G91" i="29"/>
  <c r="H91" i="29"/>
  <c r="J91" i="29"/>
  <c r="K91" i="29"/>
  <c r="L91" i="29"/>
  <c r="M91" i="29"/>
  <c r="N91" i="29"/>
  <c r="O91" i="29"/>
  <c r="P91" i="29"/>
  <c r="Q91" i="29"/>
  <c r="R91" i="29"/>
  <c r="S91" i="29"/>
  <c r="T91" i="29"/>
  <c r="U91" i="29"/>
  <c r="V91" i="29"/>
  <c r="AD91" i="29"/>
  <c r="C92" i="29"/>
  <c r="D92" i="29"/>
  <c r="E92" i="29"/>
  <c r="F92" i="29"/>
  <c r="B92" i="29" s="1"/>
  <c r="G92" i="29"/>
  <c r="H92" i="29"/>
  <c r="J92" i="29"/>
  <c r="K92" i="29"/>
  <c r="L92" i="29"/>
  <c r="M92" i="29"/>
  <c r="N92" i="29"/>
  <c r="O92" i="29"/>
  <c r="P92" i="29"/>
  <c r="Q92" i="29"/>
  <c r="R92" i="29"/>
  <c r="S92" i="29"/>
  <c r="T92" i="29"/>
  <c r="U92" i="29"/>
  <c r="V92" i="29"/>
  <c r="AD92" i="29"/>
  <c r="C93" i="29"/>
  <c r="D93" i="29"/>
  <c r="E93" i="29"/>
  <c r="F93" i="29"/>
  <c r="B93" i="29" s="1"/>
  <c r="G93" i="29"/>
  <c r="H93" i="29"/>
  <c r="J93" i="29"/>
  <c r="K93" i="29"/>
  <c r="L93" i="29"/>
  <c r="M93" i="29"/>
  <c r="N93" i="29"/>
  <c r="O93" i="29"/>
  <c r="P93" i="29"/>
  <c r="Q93" i="29"/>
  <c r="R93" i="29"/>
  <c r="S93" i="29"/>
  <c r="T93" i="29"/>
  <c r="U93" i="29"/>
  <c r="V93" i="29"/>
  <c r="AD93" i="29"/>
  <c r="C94" i="29"/>
  <c r="D94" i="29"/>
  <c r="E94" i="29"/>
  <c r="F94" i="29"/>
  <c r="B94" i="29" s="1"/>
  <c r="G94" i="29"/>
  <c r="H94" i="29"/>
  <c r="J94" i="29"/>
  <c r="K94" i="29"/>
  <c r="L94" i="29"/>
  <c r="M94" i="29"/>
  <c r="N94" i="29"/>
  <c r="O94" i="29"/>
  <c r="P94" i="29"/>
  <c r="Q94" i="29"/>
  <c r="R94" i="29"/>
  <c r="S94" i="29"/>
  <c r="T94" i="29"/>
  <c r="U94" i="29"/>
  <c r="V94" i="29"/>
  <c r="AD94" i="29"/>
  <c r="C95" i="29"/>
  <c r="D95" i="29"/>
  <c r="E95" i="29"/>
  <c r="F95" i="29"/>
  <c r="B95" i="29" s="1"/>
  <c r="G95" i="29"/>
  <c r="H95" i="29"/>
  <c r="J95" i="29"/>
  <c r="K95" i="29"/>
  <c r="L95" i="29"/>
  <c r="M95" i="29"/>
  <c r="N95" i="29"/>
  <c r="O95" i="29"/>
  <c r="P95" i="29"/>
  <c r="Q95" i="29"/>
  <c r="R95" i="29"/>
  <c r="S95" i="29"/>
  <c r="T95" i="29"/>
  <c r="U95" i="29"/>
  <c r="V95" i="29"/>
  <c r="AD95" i="29"/>
  <c r="C96" i="29"/>
  <c r="D96" i="29"/>
  <c r="E96" i="29"/>
  <c r="F96" i="29"/>
  <c r="B96" i="29" s="1"/>
  <c r="G96" i="29"/>
  <c r="H96" i="29"/>
  <c r="J96" i="29"/>
  <c r="K96" i="29"/>
  <c r="L96" i="29"/>
  <c r="M96" i="29"/>
  <c r="N96" i="29"/>
  <c r="O96" i="29"/>
  <c r="P96" i="29"/>
  <c r="Q96" i="29"/>
  <c r="R96" i="29"/>
  <c r="S96" i="29"/>
  <c r="T96" i="29"/>
  <c r="U96" i="29"/>
  <c r="V96" i="29"/>
  <c r="AD96" i="29"/>
  <c r="C97" i="29"/>
  <c r="D97" i="29"/>
  <c r="E97" i="29"/>
  <c r="F97" i="29"/>
  <c r="B97" i="29" s="1"/>
  <c r="G97" i="29"/>
  <c r="H97" i="29"/>
  <c r="J97" i="29"/>
  <c r="K97" i="29"/>
  <c r="L97" i="29"/>
  <c r="M97" i="29"/>
  <c r="N97" i="29"/>
  <c r="O97" i="29"/>
  <c r="P97" i="29"/>
  <c r="Q97" i="29"/>
  <c r="R97" i="29"/>
  <c r="S97" i="29"/>
  <c r="T97" i="29"/>
  <c r="U97" i="29"/>
  <c r="V97" i="29"/>
  <c r="AD97" i="29"/>
  <c r="C98" i="29"/>
  <c r="D98" i="29"/>
  <c r="E98" i="29"/>
  <c r="F98" i="29"/>
  <c r="B98" i="29" s="1"/>
  <c r="G98" i="29"/>
  <c r="H98" i="29"/>
  <c r="J98" i="29"/>
  <c r="K98" i="29"/>
  <c r="L98" i="29"/>
  <c r="M98" i="29"/>
  <c r="N98" i="29"/>
  <c r="O98" i="29"/>
  <c r="P98" i="29"/>
  <c r="Q98" i="29"/>
  <c r="R98" i="29"/>
  <c r="S98" i="29"/>
  <c r="T98" i="29"/>
  <c r="U98" i="29"/>
  <c r="V98" i="29"/>
  <c r="AD98" i="29"/>
  <c r="C99" i="29"/>
  <c r="D99" i="29"/>
  <c r="E99" i="29"/>
  <c r="F99" i="29"/>
  <c r="B99" i="29" s="1"/>
  <c r="G99" i="29"/>
  <c r="H99" i="29"/>
  <c r="J99" i="29"/>
  <c r="K99" i="29"/>
  <c r="L99" i="29"/>
  <c r="M99" i="29"/>
  <c r="N99" i="29"/>
  <c r="O99" i="29"/>
  <c r="P99" i="29"/>
  <c r="Q99" i="29"/>
  <c r="R99" i="29"/>
  <c r="S99" i="29"/>
  <c r="T99" i="29"/>
  <c r="U99" i="29"/>
  <c r="V99" i="29"/>
  <c r="AD99" i="29"/>
  <c r="C100" i="29"/>
  <c r="D100" i="29"/>
  <c r="E100" i="29"/>
  <c r="F100" i="29"/>
  <c r="B100" i="29" s="1"/>
  <c r="G100" i="29"/>
  <c r="H100" i="29"/>
  <c r="J100" i="29"/>
  <c r="K100" i="29"/>
  <c r="L100" i="29"/>
  <c r="M100" i="29"/>
  <c r="N100" i="29"/>
  <c r="O100" i="29"/>
  <c r="P100" i="29"/>
  <c r="Q100" i="29"/>
  <c r="R100" i="29"/>
  <c r="S100" i="29"/>
  <c r="T100" i="29"/>
  <c r="U100" i="29"/>
  <c r="V100" i="29"/>
  <c r="AD100" i="29"/>
  <c r="C101" i="29"/>
  <c r="D101" i="29"/>
  <c r="E101" i="29"/>
  <c r="F101" i="29"/>
  <c r="B101" i="29" s="1"/>
  <c r="G101" i="29"/>
  <c r="H101" i="29"/>
  <c r="J101" i="29"/>
  <c r="K101" i="29"/>
  <c r="L101" i="29"/>
  <c r="M101" i="29"/>
  <c r="N101" i="29"/>
  <c r="O101" i="29"/>
  <c r="P101" i="29"/>
  <c r="Q101" i="29"/>
  <c r="R101" i="29"/>
  <c r="S101" i="29"/>
  <c r="T101" i="29"/>
  <c r="U101" i="29"/>
  <c r="V101" i="29"/>
  <c r="AD101" i="29"/>
  <c r="C102" i="29"/>
  <c r="D102" i="29"/>
  <c r="E102" i="29"/>
  <c r="F102" i="29"/>
  <c r="B102" i="29" s="1"/>
  <c r="G102" i="29"/>
  <c r="H102" i="29"/>
  <c r="J102" i="29"/>
  <c r="K102" i="29"/>
  <c r="L102" i="29"/>
  <c r="M102" i="29"/>
  <c r="N102" i="29"/>
  <c r="O102" i="29"/>
  <c r="P102" i="29"/>
  <c r="Q102" i="29"/>
  <c r="R102" i="29"/>
  <c r="S102" i="29"/>
  <c r="T102" i="29"/>
  <c r="U102" i="29"/>
  <c r="V102" i="29"/>
  <c r="AD102" i="29"/>
  <c r="K5" i="26"/>
  <c r="O5" i="26"/>
  <c r="T5" i="26"/>
  <c r="K6" i="26"/>
  <c r="O6" i="26"/>
  <c r="T6" i="26"/>
  <c r="K7" i="26"/>
  <c r="O7" i="26"/>
  <c r="T7" i="26"/>
  <c r="K8" i="26"/>
  <c r="O8" i="26"/>
  <c r="T8" i="26"/>
  <c r="K9" i="26"/>
  <c r="O9" i="26"/>
  <c r="T9" i="26"/>
  <c r="K10" i="26"/>
  <c r="O10" i="26"/>
  <c r="T10" i="26"/>
  <c r="K11" i="26"/>
  <c r="O11" i="26"/>
  <c r="T11" i="26"/>
  <c r="O12" i="26"/>
  <c r="T12" i="26"/>
  <c r="O13" i="26"/>
  <c r="T13" i="26"/>
  <c r="O14" i="26"/>
  <c r="T14" i="26"/>
  <c r="K15" i="26"/>
  <c r="O15" i="26"/>
  <c r="T15" i="26"/>
  <c r="K16" i="26"/>
  <c r="O16" i="26"/>
  <c r="T16" i="26"/>
  <c r="K17" i="26"/>
  <c r="O17" i="26"/>
  <c r="T17" i="26"/>
  <c r="K18" i="26"/>
  <c r="O18" i="26"/>
  <c r="T18" i="26"/>
  <c r="K19" i="26"/>
  <c r="O19" i="26"/>
  <c r="T19" i="26"/>
  <c r="K20" i="26"/>
  <c r="M20" i="26"/>
  <c r="N20" i="26"/>
  <c r="O20" i="26"/>
  <c r="T20" i="26"/>
  <c r="K21" i="26"/>
  <c r="M21" i="26"/>
  <c r="N21" i="26"/>
  <c r="O21" i="26"/>
  <c r="T21" i="26"/>
  <c r="K22" i="26"/>
  <c r="M22" i="26"/>
  <c r="N22" i="26"/>
  <c r="O22" i="26"/>
  <c r="T22" i="26"/>
  <c r="K23" i="26"/>
  <c r="M23" i="26"/>
  <c r="N23" i="26"/>
  <c r="O23" i="26"/>
  <c r="T23" i="26"/>
  <c r="K24" i="26"/>
  <c r="M24" i="26"/>
  <c r="N24" i="26"/>
  <c r="O24" i="26"/>
  <c r="T24" i="26"/>
  <c r="K25" i="26"/>
  <c r="M25" i="26"/>
  <c r="N25" i="26"/>
  <c r="O25" i="26"/>
  <c r="T25" i="26"/>
  <c r="K26" i="26"/>
  <c r="M26" i="26"/>
  <c r="N26" i="26"/>
  <c r="O26" i="26"/>
  <c r="T26" i="26"/>
  <c r="K27" i="26"/>
  <c r="M27" i="26"/>
  <c r="N27" i="26"/>
  <c r="O27" i="26"/>
  <c r="T27" i="26"/>
  <c r="K28" i="26"/>
  <c r="M28" i="26"/>
  <c r="N28" i="26"/>
  <c r="O28" i="26"/>
  <c r="T28" i="26"/>
  <c r="K29" i="26"/>
  <c r="M29" i="26"/>
  <c r="N29" i="26"/>
  <c r="O29" i="26"/>
  <c r="T29" i="26"/>
  <c r="K30" i="26"/>
  <c r="M30" i="26"/>
  <c r="N30" i="26"/>
  <c r="O30" i="26"/>
  <c r="T30" i="26"/>
  <c r="K31" i="26"/>
  <c r="M31" i="26"/>
  <c r="N31" i="26"/>
  <c r="O31" i="26"/>
  <c r="T31" i="26"/>
  <c r="K32" i="26"/>
  <c r="M32" i="26"/>
  <c r="N32" i="26"/>
  <c r="O32" i="26"/>
  <c r="T32" i="26"/>
  <c r="K33" i="26"/>
  <c r="M33" i="26"/>
  <c r="N33" i="26"/>
  <c r="O33" i="26"/>
  <c r="T33" i="26"/>
  <c r="K34" i="26"/>
  <c r="M34" i="26"/>
  <c r="N34" i="26"/>
  <c r="O34" i="26"/>
  <c r="T34" i="26"/>
  <c r="K35" i="26"/>
  <c r="M35" i="26"/>
  <c r="N35" i="26"/>
  <c r="O35" i="26"/>
  <c r="T35" i="26"/>
  <c r="K36" i="26"/>
  <c r="M36" i="26"/>
  <c r="N36" i="26"/>
  <c r="O36" i="26"/>
  <c r="T36" i="26"/>
  <c r="K37" i="26"/>
  <c r="M37" i="26"/>
  <c r="N37" i="26"/>
  <c r="O37" i="26"/>
  <c r="T37" i="26"/>
  <c r="K38" i="26"/>
  <c r="M38" i="26"/>
  <c r="N38" i="26"/>
  <c r="O38" i="26"/>
  <c r="T38" i="26"/>
  <c r="K39" i="26"/>
  <c r="M39" i="26"/>
  <c r="N39" i="26"/>
  <c r="O39" i="26"/>
  <c r="T39" i="26"/>
  <c r="K40" i="26"/>
  <c r="M40" i="26"/>
  <c r="N40" i="26"/>
  <c r="O40" i="26"/>
  <c r="T40" i="26"/>
  <c r="K41" i="26"/>
  <c r="M41" i="26"/>
  <c r="N41" i="26"/>
  <c r="O41" i="26"/>
  <c r="T41" i="26"/>
  <c r="K42" i="26"/>
  <c r="M42" i="26"/>
  <c r="N42" i="26"/>
  <c r="O42" i="26"/>
  <c r="T42" i="26"/>
  <c r="K43" i="26"/>
  <c r="M43" i="26"/>
  <c r="N43" i="26"/>
  <c r="O43" i="26"/>
  <c r="T43" i="26"/>
  <c r="K44" i="26"/>
  <c r="M44" i="26"/>
  <c r="N44" i="26"/>
  <c r="O44" i="26"/>
  <c r="T44" i="26"/>
  <c r="K45" i="26"/>
  <c r="M45" i="26"/>
  <c r="N45" i="26"/>
  <c r="O45" i="26"/>
  <c r="T45" i="26"/>
  <c r="K46" i="26"/>
  <c r="M46" i="26"/>
  <c r="N46" i="26"/>
  <c r="O46" i="26"/>
  <c r="T46" i="26"/>
  <c r="K47" i="26"/>
  <c r="M47" i="26"/>
  <c r="N47" i="26"/>
  <c r="O47" i="26"/>
  <c r="T47" i="26"/>
  <c r="K48" i="26"/>
  <c r="M48" i="26"/>
  <c r="N48" i="26"/>
  <c r="O48" i="26"/>
  <c r="T48" i="26"/>
  <c r="K49" i="26"/>
  <c r="M49" i="26"/>
  <c r="N49" i="26"/>
  <c r="O49" i="26"/>
  <c r="T49" i="26"/>
  <c r="K50" i="26"/>
  <c r="M50" i="26"/>
  <c r="N50" i="26"/>
  <c r="O50" i="26"/>
  <c r="T50" i="26"/>
  <c r="K51" i="26"/>
  <c r="M51" i="26"/>
  <c r="N51" i="26"/>
  <c r="O51" i="26"/>
  <c r="T51" i="26"/>
  <c r="K52" i="26"/>
  <c r="M52" i="26"/>
  <c r="N52" i="26"/>
  <c r="O52" i="26"/>
  <c r="T52" i="26"/>
  <c r="K53" i="26"/>
  <c r="M53" i="26"/>
  <c r="N53" i="26"/>
  <c r="O53" i="26"/>
  <c r="T53" i="26"/>
  <c r="K54" i="26"/>
  <c r="M54" i="26"/>
  <c r="N54" i="26"/>
  <c r="O54" i="26"/>
  <c r="T54" i="26"/>
  <c r="K55" i="26"/>
  <c r="M55" i="26"/>
  <c r="N55" i="26"/>
  <c r="O55" i="26"/>
  <c r="T55" i="26"/>
  <c r="K56" i="26"/>
  <c r="M56" i="26"/>
  <c r="N56" i="26"/>
  <c r="O56" i="26"/>
  <c r="T56" i="26"/>
  <c r="K57" i="26"/>
  <c r="M57" i="26"/>
  <c r="N57" i="26"/>
  <c r="O57" i="26"/>
  <c r="T57" i="26"/>
  <c r="K58" i="26"/>
  <c r="M58" i="26"/>
  <c r="N58" i="26"/>
  <c r="O58" i="26"/>
  <c r="T58" i="26"/>
  <c r="K59" i="26"/>
  <c r="M59" i="26"/>
  <c r="N59" i="26"/>
  <c r="O59" i="26"/>
  <c r="T59" i="26"/>
  <c r="K60" i="26"/>
  <c r="M60" i="26"/>
  <c r="N60" i="26"/>
  <c r="O60" i="26"/>
  <c r="T60" i="26"/>
  <c r="K61" i="26"/>
  <c r="M61" i="26"/>
  <c r="N61" i="26"/>
  <c r="O61" i="26"/>
  <c r="T61" i="26"/>
  <c r="K62" i="26"/>
  <c r="M62" i="26"/>
  <c r="N62" i="26"/>
  <c r="O62" i="26"/>
  <c r="T62" i="26"/>
  <c r="K63" i="26"/>
  <c r="M63" i="26"/>
  <c r="N63" i="26"/>
  <c r="O63" i="26"/>
  <c r="T63" i="26"/>
  <c r="K64" i="26"/>
  <c r="M64" i="26"/>
  <c r="N64" i="26"/>
  <c r="O64" i="26"/>
  <c r="T64" i="26"/>
  <c r="K65" i="26"/>
  <c r="M65" i="26"/>
  <c r="N65" i="26"/>
  <c r="O65" i="26"/>
  <c r="T65" i="26"/>
  <c r="K66" i="26"/>
  <c r="M66" i="26"/>
  <c r="N66" i="26"/>
  <c r="O66" i="26"/>
  <c r="T66" i="26"/>
  <c r="K67" i="26"/>
  <c r="M67" i="26"/>
  <c r="N67" i="26"/>
  <c r="O67" i="26"/>
  <c r="T67" i="26"/>
  <c r="K68" i="26"/>
  <c r="M68" i="26"/>
  <c r="N68" i="26"/>
  <c r="O68" i="26"/>
  <c r="T68" i="26"/>
  <c r="K69" i="26"/>
  <c r="M69" i="26"/>
  <c r="N69" i="26"/>
  <c r="O69" i="26"/>
  <c r="T69" i="26"/>
  <c r="K70" i="26"/>
  <c r="M70" i="26"/>
  <c r="N70" i="26"/>
  <c r="O70" i="26"/>
  <c r="T70" i="26"/>
  <c r="K71" i="26"/>
  <c r="M71" i="26"/>
  <c r="N71" i="26"/>
  <c r="O71" i="26"/>
  <c r="T71" i="26"/>
  <c r="K72" i="26"/>
  <c r="M72" i="26"/>
  <c r="N72" i="26"/>
  <c r="O72" i="26"/>
  <c r="T72" i="26"/>
  <c r="K73" i="26"/>
  <c r="M73" i="26"/>
  <c r="N73" i="26"/>
  <c r="O73" i="26"/>
  <c r="T73" i="26"/>
  <c r="K74" i="26"/>
  <c r="M74" i="26"/>
  <c r="N74" i="26"/>
  <c r="O74" i="26"/>
  <c r="T74" i="26"/>
  <c r="K75" i="26"/>
  <c r="M75" i="26"/>
  <c r="N75" i="26"/>
  <c r="O75" i="26"/>
  <c r="T75" i="26"/>
  <c r="K76" i="26"/>
  <c r="M76" i="26"/>
  <c r="N76" i="26"/>
  <c r="O76" i="26"/>
  <c r="T76" i="26"/>
  <c r="K77" i="26"/>
  <c r="M77" i="26"/>
  <c r="N77" i="26"/>
  <c r="O77" i="26"/>
  <c r="T77" i="26"/>
  <c r="K78" i="26"/>
  <c r="M78" i="26"/>
  <c r="N78" i="26"/>
  <c r="O78" i="26"/>
  <c r="T78" i="26"/>
  <c r="K79" i="26"/>
  <c r="M79" i="26"/>
  <c r="N79" i="26"/>
  <c r="O79" i="26"/>
  <c r="T79" i="26"/>
  <c r="K80" i="26"/>
  <c r="M80" i="26"/>
  <c r="N80" i="26"/>
  <c r="O80" i="26"/>
  <c r="T80" i="26"/>
  <c r="K81" i="26"/>
  <c r="M81" i="26"/>
  <c r="N81" i="26"/>
  <c r="O81" i="26"/>
  <c r="T81" i="26"/>
  <c r="K82" i="26"/>
  <c r="M82" i="26"/>
  <c r="N82" i="26"/>
  <c r="O82" i="26"/>
  <c r="T82" i="26"/>
  <c r="K83" i="26"/>
  <c r="M83" i="26"/>
  <c r="N83" i="26"/>
  <c r="O83" i="26"/>
  <c r="T83" i="26"/>
  <c r="K84" i="26"/>
  <c r="M84" i="26"/>
  <c r="N84" i="26"/>
  <c r="O84" i="26"/>
  <c r="T84" i="26"/>
  <c r="K85" i="26"/>
  <c r="M85" i="26"/>
  <c r="N85" i="26"/>
  <c r="O85" i="26"/>
  <c r="T85" i="26"/>
  <c r="K86" i="26"/>
  <c r="M86" i="26"/>
  <c r="N86" i="26"/>
  <c r="O86" i="26"/>
  <c r="T86" i="26"/>
  <c r="K87" i="26"/>
  <c r="M87" i="26"/>
  <c r="N87" i="26"/>
  <c r="O87" i="26"/>
  <c r="T87" i="26"/>
  <c r="K88" i="26"/>
  <c r="M88" i="26"/>
  <c r="N88" i="26"/>
  <c r="O88" i="26"/>
  <c r="T88" i="26"/>
  <c r="K89" i="26"/>
  <c r="M89" i="26"/>
  <c r="N89" i="26"/>
  <c r="O89" i="26"/>
  <c r="T89" i="26"/>
  <c r="K90" i="26"/>
  <c r="M90" i="26"/>
  <c r="N90" i="26"/>
  <c r="O90" i="26"/>
  <c r="T90" i="26"/>
  <c r="K91" i="26"/>
  <c r="M91" i="26"/>
  <c r="N91" i="26"/>
  <c r="O91" i="26"/>
  <c r="T91" i="26"/>
  <c r="K92" i="26"/>
  <c r="M92" i="26"/>
  <c r="N92" i="26"/>
  <c r="O92" i="26"/>
  <c r="T92" i="26"/>
  <c r="K93" i="26"/>
  <c r="M93" i="26"/>
  <c r="N93" i="26"/>
  <c r="O93" i="26"/>
  <c r="T93" i="26"/>
  <c r="K94" i="26"/>
  <c r="M94" i="26"/>
  <c r="N94" i="26"/>
  <c r="O94" i="26"/>
  <c r="T94" i="26"/>
  <c r="K95" i="26"/>
  <c r="M95" i="26"/>
  <c r="N95" i="26"/>
  <c r="O95" i="26"/>
  <c r="T95" i="26"/>
  <c r="K96" i="26"/>
  <c r="M96" i="26"/>
  <c r="N96" i="26"/>
  <c r="O96" i="26"/>
  <c r="T96" i="26"/>
  <c r="K97" i="26"/>
  <c r="M97" i="26"/>
  <c r="N97" i="26"/>
  <c r="O97" i="26"/>
  <c r="T97" i="26"/>
  <c r="K98" i="26"/>
  <c r="M98" i="26"/>
  <c r="N98" i="26"/>
  <c r="O98" i="26"/>
  <c r="T98" i="26"/>
  <c r="K99" i="26"/>
  <c r="M99" i="26"/>
  <c r="N99" i="26"/>
  <c r="O99" i="26"/>
  <c r="T99" i="26"/>
  <c r="K100" i="26"/>
  <c r="M100" i="26"/>
  <c r="N100" i="26"/>
  <c r="O100" i="26"/>
  <c r="T100" i="26"/>
  <c r="K101" i="26"/>
  <c r="M101" i="26"/>
  <c r="N101" i="26"/>
  <c r="O101" i="26"/>
  <c r="T101" i="26"/>
  <c r="K102" i="26"/>
  <c r="M102" i="26"/>
  <c r="N102" i="26"/>
  <c r="O102" i="26"/>
  <c r="T102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BV5" i="21"/>
  <c r="BV6" i="21"/>
  <c r="BV7" i="21"/>
  <c r="BV8" i="21"/>
  <c r="BV9" i="21"/>
  <c r="BV10" i="21"/>
  <c r="BV11" i="21"/>
  <c r="BV12" i="21"/>
  <c r="BV13" i="21"/>
  <c r="BV14" i="21"/>
  <c r="BV15" i="21"/>
  <c r="BV16" i="21"/>
  <c r="BV17" i="21"/>
  <c r="BV18" i="21"/>
  <c r="BV19" i="21"/>
  <c r="BV20" i="21"/>
  <c r="BV21" i="21"/>
  <c r="BV22" i="21"/>
  <c r="BV23" i="21"/>
  <c r="BV24" i="21"/>
  <c r="BV25" i="21"/>
  <c r="BV26" i="21"/>
  <c r="BV27" i="21"/>
  <c r="BV28" i="21"/>
  <c r="BV29" i="21"/>
  <c r="BV30" i="21"/>
  <c r="BV31" i="21"/>
  <c r="BV32" i="21"/>
  <c r="BV33" i="21"/>
  <c r="BV34" i="21"/>
  <c r="BV35" i="21"/>
  <c r="BV36" i="21"/>
  <c r="BV37" i="21"/>
  <c r="BV38" i="21"/>
  <c r="BV39" i="21"/>
  <c r="BV40" i="21"/>
  <c r="BV41" i="21"/>
  <c r="BV42" i="21"/>
  <c r="BV43" i="21"/>
  <c r="BV44" i="21"/>
  <c r="BV45" i="21"/>
  <c r="BV46" i="21"/>
  <c r="BV47" i="21"/>
  <c r="BV48" i="21"/>
  <c r="BV49" i="21"/>
  <c r="BV50" i="21"/>
  <c r="BV51" i="21"/>
  <c r="BV52" i="21"/>
  <c r="BV53" i="21"/>
  <c r="BV54" i="21"/>
  <c r="BV55" i="21"/>
  <c r="BV56" i="21"/>
  <c r="BV57" i="21"/>
  <c r="BV58" i="21"/>
  <c r="BV59" i="21"/>
  <c r="BV60" i="21"/>
  <c r="BV61" i="21"/>
  <c r="BV62" i="21"/>
  <c r="BV63" i="21"/>
  <c r="BV64" i="21"/>
  <c r="BV65" i="21"/>
  <c r="BV66" i="21"/>
  <c r="BV67" i="21"/>
  <c r="BV68" i="21"/>
  <c r="BV69" i="21"/>
  <c r="BV70" i="21"/>
  <c r="BV71" i="21"/>
  <c r="BV72" i="21"/>
  <c r="BV73" i="21"/>
  <c r="BV74" i="21"/>
  <c r="BV75" i="21"/>
  <c r="BV76" i="21"/>
  <c r="BV77" i="21"/>
  <c r="BV78" i="21"/>
  <c r="BV79" i="21"/>
  <c r="BV80" i="21"/>
  <c r="BV81" i="21"/>
  <c r="BV82" i="21"/>
  <c r="BV83" i="21"/>
  <c r="BV84" i="21"/>
  <c r="BV85" i="21"/>
  <c r="BV86" i="21"/>
  <c r="BV87" i="21"/>
  <c r="BV88" i="21"/>
  <c r="BV89" i="21"/>
  <c r="BV90" i="21"/>
  <c r="BV91" i="21"/>
  <c r="BV92" i="21"/>
  <c r="BV93" i="21"/>
  <c r="BV94" i="21"/>
  <c r="BV95" i="21"/>
  <c r="BV96" i="21"/>
  <c r="BV97" i="21"/>
  <c r="BV98" i="21"/>
  <c r="BV99" i="21"/>
  <c r="BV100" i="21"/>
  <c r="BV101" i="21"/>
  <c r="BV102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D4" i="23" l="1"/>
  <c r="E4" i="23"/>
  <c r="G4" i="23"/>
  <c r="H4" i="23"/>
  <c r="I4" i="23"/>
  <c r="J4" i="23"/>
  <c r="K4" i="23"/>
  <c r="L4" i="23"/>
  <c r="M4" i="23"/>
  <c r="N4" i="23"/>
  <c r="D5" i="23"/>
  <c r="E5" i="23"/>
  <c r="G5" i="23"/>
  <c r="H5" i="23"/>
  <c r="I5" i="23"/>
  <c r="J5" i="23"/>
  <c r="K5" i="23"/>
  <c r="L5" i="23"/>
  <c r="M5" i="23"/>
  <c r="N5" i="23"/>
  <c r="D6" i="23"/>
  <c r="E6" i="23"/>
  <c r="G6" i="23"/>
  <c r="H6" i="23"/>
  <c r="I6" i="23"/>
  <c r="J6" i="23"/>
  <c r="K6" i="23"/>
  <c r="L6" i="23"/>
  <c r="M6" i="23"/>
  <c r="N6" i="23"/>
  <c r="D7" i="23"/>
  <c r="E7" i="23"/>
  <c r="G7" i="23"/>
  <c r="H7" i="23"/>
  <c r="I7" i="23"/>
  <c r="J7" i="23"/>
  <c r="K7" i="23"/>
  <c r="L7" i="23"/>
  <c r="M7" i="23"/>
  <c r="N7" i="23"/>
  <c r="D8" i="23"/>
  <c r="E8" i="23"/>
  <c r="G8" i="23"/>
  <c r="H8" i="23"/>
  <c r="I8" i="23"/>
  <c r="J8" i="23"/>
  <c r="K8" i="23"/>
  <c r="L8" i="23"/>
  <c r="M8" i="23"/>
  <c r="N8" i="23"/>
  <c r="D9" i="23"/>
  <c r="E9" i="23"/>
  <c r="G9" i="23"/>
  <c r="H9" i="23"/>
  <c r="I9" i="23"/>
  <c r="J9" i="23"/>
  <c r="K9" i="23"/>
  <c r="L9" i="23"/>
  <c r="M9" i="23"/>
  <c r="N9" i="23"/>
  <c r="D10" i="23"/>
  <c r="E10" i="23"/>
  <c r="G10" i="23"/>
  <c r="H10" i="23"/>
  <c r="I10" i="23"/>
  <c r="J10" i="23"/>
  <c r="K10" i="23"/>
  <c r="L10" i="23"/>
  <c r="M10" i="23"/>
  <c r="N10" i="23"/>
  <c r="D11" i="23"/>
  <c r="E11" i="23"/>
  <c r="G11" i="23"/>
  <c r="H11" i="23"/>
  <c r="I11" i="23"/>
  <c r="J11" i="23"/>
  <c r="K11" i="23"/>
  <c r="L11" i="23"/>
  <c r="M11" i="23"/>
  <c r="N11" i="23"/>
  <c r="D12" i="23"/>
  <c r="E12" i="23"/>
  <c r="G12" i="23"/>
  <c r="H12" i="23"/>
  <c r="I12" i="23"/>
  <c r="J12" i="23"/>
  <c r="K12" i="23"/>
  <c r="L12" i="23"/>
  <c r="M12" i="23"/>
  <c r="N12" i="23"/>
  <c r="D13" i="23"/>
  <c r="E13" i="23"/>
  <c r="G13" i="23"/>
  <c r="H13" i="23"/>
  <c r="I13" i="23"/>
  <c r="J13" i="23"/>
  <c r="K13" i="23"/>
  <c r="L13" i="23"/>
  <c r="M13" i="23"/>
  <c r="N13" i="23"/>
  <c r="D14" i="23"/>
  <c r="E14" i="23"/>
  <c r="G14" i="23"/>
  <c r="H14" i="23"/>
  <c r="I14" i="23"/>
  <c r="J14" i="23"/>
  <c r="K14" i="23"/>
  <c r="L14" i="23"/>
  <c r="M14" i="23"/>
  <c r="N14" i="23"/>
  <c r="D15" i="23"/>
  <c r="E15" i="23"/>
  <c r="G15" i="23"/>
  <c r="H15" i="23"/>
  <c r="I15" i="23"/>
  <c r="J15" i="23"/>
  <c r="K15" i="23"/>
  <c r="L15" i="23"/>
  <c r="M15" i="23"/>
  <c r="N15" i="23"/>
  <c r="D16" i="23"/>
  <c r="E16" i="23"/>
  <c r="G16" i="23"/>
  <c r="H16" i="23"/>
  <c r="I16" i="23"/>
  <c r="J16" i="23"/>
  <c r="K16" i="23"/>
  <c r="L16" i="23"/>
  <c r="M16" i="23"/>
  <c r="N16" i="23"/>
  <c r="D17" i="23"/>
  <c r="E17" i="23"/>
  <c r="G17" i="23"/>
  <c r="H17" i="23"/>
  <c r="I17" i="23"/>
  <c r="J17" i="23"/>
  <c r="K17" i="23"/>
  <c r="L17" i="23"/>
  <c r="M17" i="23"/>
  <c r="N17" i="23"/>
  <c r="D18" i="23"/>
  <c r="E18" i="23"/>
  <c r="G18" i="23"/>
  <c r="H18" i="23"/>
  <c r="I18" i="23"/>
  <c r="J18" i="23"/>
  <c r="K18" i="23"/>
  <c r="L18" i="23"/>
  <c r="M18" i="23"/>
  <c r="N18" i="23"/>
  <c r="D19" i="23"/>
  <c r="E19" i="23"/>
  <c r="G19" i="23"/>
  <c r="H19" i="23"/>
  <c r="I19" i="23"/>
  <c r="J19" i="23"/>
  <c r="K19" i="23"/>
  <c r="L19" i="23"/>
  <c r="M19" i="23"/>
  <c r="N19" i="23"/>
  <c r="D20" i="23"/>
  <c r="E20" i="23"/>
  <c r="G20" i="23"/>
  <c r="H20" i="23"/>
  <c r="I20" i="23"/>
  <c r="J20" i="23"/>
  <c r="K20" i="23"/>
  <c r="L20" i="23"/>
  <c r="M20" i="23"/>
  <c r="N20" i="23"/>
  <c r="D21" i="23"/>
  <c r="E21" i="23"/>
  <c r="G21" i="23"/>
  <c r="H21" i="23"/>
  <c r="I21" i="23"/>
  <c r="J21" i="23"/>
  <c r="K21" i="23"/>
  <c r="L21" i="23"/>
  <c r="M21" i="23"/>
  <c r="N21" i="23"/>
  <c r="D22" i="23"/>
  <c r="E22" i="23"/>
  <c r="G22" i="23"/>
  <c r="H22" i="23"/>
  <c r="I22" i="23"/>
  <c r="J22" i="23"/>
  <c r="K22" i="23"/>
  <c r="L22" i="23"/>
  <c r="M22" i="23"/>
  <c r="N22" i="23"/>
  <c r="D23" i="23"/>
  <c r="E23" i="23"/>
  <c r="G23" i="23"/>
  <c r="H23" i="23"/>
  <c r="I23" i="23"/>
  <c r="J23" i="23"/>
  <c r="K23" i="23"/>
  <c r="L23" i="23"/>
  <c r="M23" i="23"/>
  <c r="N23" i="23"/>
  <c r="D24" i="23"/>
  <c r="E24" i="23"/>
  <c r="G24" i="23"/>
  <c r="H24" i="23"/>
  <c r="I24" i="23"/>
  <c r="J24" i="23"/>
  <c r="K24" i="23"/>
  <c r="L24" i="23"/>
  <c r="M24" i="23"/>
  <c r="N24" i="23"/>
  <c r="D25" i="23"/>
  <c r="E25" i="23"/>
  <c r="G25" i="23"/>
  <c r="H25" i="23"/>
  <c r="I25" i="23"/>
  <c r="J25" i="23"/>
  <c r="K25" i="23"/>
  <c r="L25" i="23"/>
  <c r="M25" i="23"/>
  <c r="N25" i="23"/>
  <c r="D26" i="23"/>
  <c r="E26" i="23"/>
  <c r="G26" i="23"/>
  <c r="H26" i="23"/>
  <c r="I26" i="23"/>
  <c r="J26" i="23"/>
  <c r="K26" i="23"/>
  <c r="L26" i="23"/>
  <c r="M26" i="23"/>
  <c r="N26" i="23"/>
  <c r="D27" i="23"/>
  <c r="E27" i="23"/>
  <c r="G27" i="23"/>
  <c r="H27" i="23"/>
  <c r="I27" i="23"/>
  <c r="J27" i="23"/>
  <c r="K27" i="23"/>
  <c r="L27" i="23"/>
  <c r="M27" i="23"/>
  <c r="N27" i="23"/>
  <c r="D28" i="23"/>
  <c r="E28" i="23"/>
  <c r="G28" i="23"/>
  <c r="H28" i="23"/>
  <c r="I28" i="23"/>
  <c r="J28" i="23"/>
  <c r="K28" i="23"/>
  <c r="L28" i="23"/>
  <c r="M28" i="23"/>
  <c r="N28" i="23"/>
  <c r="D29" i="23"/>
  <c r="E29" i="23"/>
  <c r="G29" i="23"/>
  <c r="H29" i="23"/>
  <c r="I29" i="23"/>
  <c r="J29" i="23"/>
  <c r="K29" i="23"/>
  <c r="L29" i="23"/>
  <c r="M29" i="23"/>
  <c r="N29" i="23"/>
  <c r="D30" i="23"/>
  <c r="E30" i="23"/>
  <c r="G30" i="23"/>
  <c r="H30" i="23"/>
  <c r="I30" i="23"/>
  <c r="J30" i="23"/>
  <c r="K30" i="23"/>
  <c r="L30" i="23"/>
  <c r="M30" i="23"/>
  <c r="N30" i="23"/>
  <c r="D31" i="23"/>
  <c r="E31" i="23"/>
  <c r="G31" i="23"/>
  <c r="H31" i="23"/>
  <c r="I31" i="23"/>
  <c r="J31" i="23"/>
  <c r="K31" i="23"/>
  <c r="L31" i="23"/>
  <c r="M31" i="23"/>
  <c r="N31" i="23"/>
  <c r="D32" i="23"/>
  <c r="E32" i="23"/>
  <c r="F32" i="23"/>
  <c r="G32" i="23"/>
  <c r="H32" i="23"/>
  <c r="I32" i="23"/>
  <c r="J32" i="23"/>
  <c r="K32" i="23"/>
  <c r="L32" i="23"/>
  <c r="M32" i="23"/>
  <c r="N32" i="23"/>
  <c r="D33" i="23"/>
  <c r="E33" i="23"/>
  <c r="G33" i="23"/>
  <c r="H33" i="23"/>
  <c r="I33" i="23"/>
  <c r="J33" i="23"/>
  <c r="K33" i="23"/>
  <c r="L33" i="23"/>
  <c r="M33" i="23"/>
  <c r="N33" i="23"/>
  <c r="D34" i="23"/>
  <c r="E34" i="23"/>
  <c r="G34" i="23"/>
  <c r="H34" i="23"/>
  <c r="I34" i="23"/>
  <c r="J34" i="23"/>
  <c r="K34" i="23"/>
  <c r="L34" i="23"/>
  <c r="M34" i="23"/>
  <c r="N34" i="23"/>
  <c r="D35" i="23"/>
  <c r="E35" i="23"/>
  <c r="G35" i="23"/>
  <c r="H35" i="23"/>
  <c r="I35" i="23"/>
  <c r="J35" i="23"/>
  <c r="K35" i="23"/>
  <c r="L35" i="23"/>
  <c r="M35" i="23"/>
  <c r="N35" i="23"/>
  <c r="D36" i="23"/>
  <c r="E36" i="23"/>
  <c r="A36" i="23" s="1"/>
  <c r="F36" i="23"/>
  <c r="G36" i="23"/>
  <c r="H36" i="23"/>
  <c r="I36" i="23"/>
  <c r="J36" i="23"/>
  <c r="K36" i="23"/>
  <c r="L36" i="23"/>
  <c r="M36" i="23"/>
  <c r="N36" i="23"/>
  <c r="D37" i="23"/>
  <c r="E37" i="23"/>
  <c r="A37" i="23" s="1"/>
  <c r="F37" i="23"/>
  <c r="G37" i="23"/>
  <c r="H37" i="23"/>
  <c r="I37" i="23"/>
  <c r="J37" i="23"/>
  <c r="K37" i="23"/>
  <c r="L37" i="23"/>
  <c r="M37" i="23"/>
  <c r="N37" i="23"/>
  <c r="D38" i="23"/>
  <c r="E38" i="23"/>
  <c r="A38" i="23" s="1"/>
  <c r="F38" i="23"/>
  <c r="G38" i="23"/>
  <c r="H38" i="23"/>
  <c r="I38" i="23"/>
  <c r="J38" i="23"/>
  <c r="K38" i="23"/>
  <c r="L38" i="23"/>
  <c r="M38" i="23"/>
  <c r="N38" i="23"/>
  <c r="D39" i="23"/>
  <c r="E39" i="23"/>
  <c r="A39" i="23" s="1"/>
  <c r="F39" i="23"/>
  <c r="G39" i="23"/>
  <c r="H39" i="23"/>
  <c r="I39" i="23"/>
  <c r="J39" i="23"/>
  <c r="K39" i="23"/>
  <c r="L39" i="23"/>
  <c r="M39" i="23"/>
  <c r="N39" i="23"/>
  <c r="D40" i="23"/>
  <c r="E40" i="23"/>
  <c r="A40" i="23" s="1"/>
  <c r="F40" i="23"/>
  <c r="G40" i="23"/>
  <c r="H40" i="23"/>
  <c r="I40" i="23"/>
  <c r="J40" i="23"/>
  <c r="K40" i="23"/>
  <c r="L40" i="23"/>
  <c r="M40" i="23"/>
  <c r="N40" i="23"/>
  <c r="D41" i="23"/>
  <c r="E41" i="23"/>
  <c r="A41" i="23" s="1"/>
  <c r="F41" i="23"/>
  <c r="G41" i="23"/>
  <c r="H41" i="23"/>
  <c r="I41" i="23"/>
  <c r="J41" i="23"/>
  <c r="K41" i="23"/>
  <c r="L41" i="23"/>
  <c r="M41" i="23"/>
  <c r="N41" i="23"/>
  <c r="D42" i="23"/>
  <c r="E42" i="23"/>
  <c r="A42" i="23" s="1"/>
  <c r="F42" i="23"/>
  <c r="G42" i="23"/>
  <c r="H42" i="23"/>
  <c r="I42" i="23"/>
  <c r="J42" i="23"/>
  <c r="K42" i="23"/>
  <c r="L42" i="23"/>
  <c r="M42" i="23"/>
  <c r="N42" i="23"/>
  <c r="D43" i="23"/>
  <c r="E43" i="23"/>
  <c r="A43" i="23" s="1"/>
  <c r="F43" i="23"/>
  <c r="G43" i="23"/>
  <c r="H43" i="23"/>
  <c r="I43" i="23"/>
  <c r="J43" i="23"/>
  <c r="K43" i="23"/>
  <c r="L43" i="23"/>
  <c r="M43" i="23"/>
  <c r="N43" i="23"/>
  <c r="D44" i="23"/>
  <c r="E44" i="23"/>
  <c r="A44" i="23" s="1"/>
  <c r="F44" i="23"/>
  <c r="G44" i="23"/>
  <c r="H44" i="23"/>
  <c r="I44" i="23"/>
  <c r="J44" i="23"/>
  <c r="K44" i="23"/>
  <c r="L44" i="23"/>
  <c r="M44" i="23"/>
  <c r="N44" i="23"/>
  <c r="D45" i="23"/>
  <c r="E45" i="23"/>
  <c r="A45" i="23" s="1"/>
  <c r="F45" i="23"/>
  <c r="G45" i="23"/>
  <c r="H45" i="23"/>
  <c r="I45" i="23"/>
  <c r="J45" i="23"/>
  <c r="K45" i="23"/>
  <c r="L45" i="23"/>
  <c r="M45" i="23"/>
  <c r="N45" i="23"/>
  <c r="D46" i="23"/>
  <c r="E46" i="23"/>
  <c r="A46" i="23" s="1"/>
  <c r="F46" i="23"/>
  <c r="G46" i="23"/>
  <c r="H46" i="23"/>
  <c r="I46" i="23"/>
  <c r="J46" i="23"/>
  <c r="K46" i="23"/>
  <c r="L46" i="23"/>
  <c r="M46" i="23"/>
  <c r="N46" i="23"/>
  <c r="D47" i="23"/>
  <c r="E47" i="23"/>
  <c r="A47" i="23" s="1"/>
  <c r="F47" i="23"/>
  <c r="G47" i="23"/>
  <c r="H47" i="23"/>
  <c r="I47" i="23"/>
  <c r="J47" i="23"/>
  <c r="K47" i="23"/>
  <c r="L47" i="23"/>
  <c r="M47" i="23"/>
  <c r="N47" i="23"/>
  <c r="D48" i="23"/>
  <c r="E48" i="23"/>
  <c r="A48" i="23" s="1"/>
  <c r="F48" i="23"/>
  <c r="G48" i="23"/>
  <c r="H48" i="23"/>
  <c r="I48" i="23"/>
  <c r="J48" i="23"/>
  <c r="K48" i="23"/>
  <c r="L48" i="23"/>
  <c r="M48" i="23"/>
  <c r="N48" i="23"/>
  <c r="D49" i="23"/>
  <c r="E49" i="23"/>
  <c r="A49" i="23" s="1"/>
  <c r="F49" i="23"/>
  <c r="G49" i="23"/>
  <c r="H49" i="23"/>
  <c r="I49" i="23"/>
  <c r="J49" i="23"/>
  <c r="K49" i="23"/>
  <c r="L49" i="23"/>
  <c r="M49" i="23"/>
  <c r="N49" i="23"/>
  <c r="D50" i="23"/>
  <c r="E50" i="23"/>
  <c r="A50" i="23" s="1"/>
  <c r="F50" i="23"/>
  <c r="G50" i="23"/>
  <c r="H50" i="23"/>
  <c r="I50" i="23"/>
  <c r="J50" i="23"/>
  <c r="K50" i="23"/>
  <c r="L50" i="23"/>
  <c r="M50" i="23"/>
  <c r="N50" i="23"/>
  <c r="D51" i="23"/>
  <c r="E51" i="23"/>
  <c r="A51" i="23" s="1"/>
  <c r="F51" i="23"/>
  <c r="G51" i="23"/>
  <c r="H51" i="23"/>
  <c r="I51" i="23"/>
  <c r="J51" i="23"/>
  <c r="K51" i="23"/>
  <c r="L51" i="23"/>
  <c r="M51" i="23"/>
  <c r="N51" i="23"/>
  <c r="D52" i="23"/>
  <c r="E52" i="23"/>
  <c r="A52" i="23" s="1"/>
  <c r="F52" i="23"/>
  <c r="G52" i="23"/>
  <c r="H52" i="23"/>
  <c r="I52" i="23"/>
  <c r="J52" i="23"/>
  <c r="K52" i="23"/>
  <c r="L52" i="23"/>
  <c r="M52" i="23"/>
  <c r="N52" i="23"/>
  <c r="D53" i="23"/>
  <c r="E53" i="23"/>
  <c r="A53" i="23" s="1"/>
  <c r="F53" i="23"/>
  <c r="G53" i="23"/>
  <c r="H53" i="23"/>
  <c r="I53" i="23"/>
  <c r="J53" i="23"/>
  <c r="K53" i="23"/>
  <c r="L53" i="23"/>
  <c r="M53" i="23"/>
  <c r="N53" i="23"/>
  <c r="D54" i="23"/>
  <c r="E54" i="23"/>
  <c r="A54" i="23" s="1"/>
  <c r="F54" i="23"/>
  <c r="G54" i="23"/>
  <c r="H54" i="23"/>
  <c r="I54" i="23"/>
  <c r="J54" i="23"/>
  <c r="K54" i="23"/>
  <c r="L54" i="23"/>
  <c r="M54" i="23"/>
  <c r="N54" i="23"/>
  <c r="D55" i="23"/>
  <c r="E55" i="23"/>
  <c r="A55" i="23" s="1"/>
  <c r="F55" i="23"/>
  <c r="G55" i="23"/>
  <c r="H55" i="23"/>
  <c r="I55" i="23"/>
  <c r="J55" i="23"/>
  <c r="K55" i="23"/>
  <c r="L55" i="23"/>
  <c r="M55" i="23"/>
  <c r="N55" i="23"/>
  <c r="D56" i="23"/>
  <c r="E56" i="23"/>
  <c r="A56" i="23" s="1"/>
  <c r="F56" i="23"/>
  <c r="G56" i="23"/>
  <c r="H56" i="23"/>
  <c r="I56" i="23"/>
  <c r="J56" i="23"/>
  <c r="K56" i="23"/>
  <c r="L56" i="23"/>
  <c r="M56" i="23"/>
  <c r="N56" i="23"/>
  <c r="D57" i="23"/>
  <c r="E57" i="23"/>
  <c r="A57" i="23" s="1"/>
  <c r="F57" i="23"/>
  <c r="G57" i="23"/>
  <c r="H57" i="23"/>
  <c r="I57" i="23"/>
  <c r="J57" i="23"/>
  <c r="K57" i="23"/>
  <c r="L57" i="23"/>
  <c r="M57" i="23"/>
  <c r="N57" i="23"/>
  <c r="D58" i="23"/>
  <c r="E58" i="23"/>
  <c r="A58" i="23" s="1"/>
  <c r="F58" i="23"/>
  <c r="G58" i="23"/>
  <c r="H58" i="23"/>
  <c r="I58" i="23"/>
  <c r="J58" i="23"/>
  <c r="K58" i="23"/>
  <c r="L58" i="23"/>
  <c r="M58" i="23"/>
  <c r="N58" i="23"/>
  <c r="D59" i="23"/>
  <c r="E59" i="23"/>
  <c r="A59" i="23" s="1"/>
  <c r="F59" i="23"/>
  <c r="G59" i="23"/>
  <c r="H59" i="23"/>
  <c r="I59" i="23"/>
  <c r="J59" i="23"/>
  <c r="K59" i="23"/>
  <c r="L59" i="23"/>
  <c r="M59" i="23"/>
  <c r="N59" i="23"/>
  <c r="D60" i="23"/>
  <c r="E60" i="23"/>
  <c r="A60" i="23" s="1"/>
  <c r="F60" i="23"/>
  <c r="G60" i="23"/>
  <c r="H60" i="23"/>
  <c r="I60" i="23"/>
  <c r="J60" i="23"/>
  <c r="K60" i="23"/>
  <c r="L60" i="23"/>
  <c r="M60" i="23"/>
  <c r="N60" i="23"/>
  <c r="D61" i="23"/>
  <c r="E61" i="23"/>
  <c r="A61" i="23" s="1"/>
  <c r="F61" i="23"/>
  <c r="G61" i="23"/>
  <c r="H61" i="23"/>
  <c r="I61" i="23"/>
  <c r="J61" i="23"/>
  <c r="K61" i="23"/>
  <c r="L61" i="23"/>
  <c r="M61" i="23"/>
  <c r="N61" i="23"/>
  <c r="D62" i="23"/>
  <c r="E62" i="23"/>
  <c r="A62" i="23" s="1"/>
  <c r="F62" i="23"/>
  <c r="G62" i="23"/>
  <c r="H62" i="23"/>
  <c r="I62" i="23"/>
  <c r="J62" i="23"/>
  <c r="K62" i="23"/>
  <c r="L62" i="23"/>
  <c r="M62" i="23"/>
  <c r="N62" i="23"/>
  <c r="D63" i="23"/>
  <c r="E63" i="23"/>
  <c r="A63" i="23" s="1"/>
  <c r="F63" i="23"/>
  <c r="G63" i="23"/>
  <c r="H63" i="23"/>
  <c r="I63" i="23"/>
  <c r="J63" i="23"/>
  <c r="K63" i="23"/>
  <c r="L63" i="23"/>
  <c r="M63" i="23"/>
  <c r="N63" i="23"/>
  <c r="D64" i="23"/>
  <c r="E64" i="23"/>
  <c r="A64" i="23" s="1"/>
  <c r="F64" i="23"/>
  <c r="G64" i="23"/>
  <c r="H64" i="23"/>
  <c r="I64" i="23"/>
  <c r="J64" i="23"/>
  <c r="K64" i="23"/>
  <c r="L64" i="23"/>
  <c r="M64" i="23"/>
  <c r="N64" i="23"/>
  <c r="D65" i="23"/>
  <c r="E65" i="23"/>
  <c r="A65" i="23" s="1"/>
  <c r="F65" i="23"/>
  <c r="G65" i="23"/>
  <c r="H65" i="23"/>
  <c r="I65" i="23"/>
  <c r="J65" i="23"/>
  <c r="K65" i="23"/>
  <c r="L65" i="23"/>
  <c r="M65" i="23"/>
  <c r="N65" i="23"/>
  <c r="D66" i="23"/>
  <c r="E66" i="23"/>
  <c r="A66" i="23" s="1"/>
  <c r="F66" i="23"/>
  <c r="G66" i="23"/>
  <c r="H66" i="23"/>
  <c r="I66" i="23"/>
  <c r="J66" i="23"/>
  <c r="K66" i="23"/>
  <c r="L66" i="23"/>
  <c r="M66" i="23"/>
  <c r="N66" i="23"/>
  <c r="D67" i="23"/>
  <c r="E67" i="23"/>
  <c r="A67" i="23" s="1"/>
  <c r="F67" i="23"/>
  <c r="G67" i="23"/>
  <c r="H67" i="23"/>
  <c r="I67" i="23"/>
  <c r="J67" i="23"/>
  <c r="K67" i="23"/>
  <c r="L67" i="23"/>
  <c r="M67" i="23"/>
  <c r="N67" i="23"/>
  <c r="D68" i="23"/>
  <c r="E68" i="23"/>
  <c r="A68" i="23" s="1"/>
  <c r="F68" i="23"/>
  <c r="G68" i="23"/>
  <c r="H68" i="23"/>
  <c r="I68" i="23"/>
  <c r="J68" i="23"/>
  <c r="K68" i="23"/>
  <c r="L68" i="23"/>
  <c r="M68" i="23"/>
  <c r="N68" i="23"/>
  <c r="D69" i="23"/>
  <c r="E69" i="23"/>
  <c r="A69" i="23" s="1"/>
  <c r="F69" i="23"/>
  <c r="G69" i="23"/>
  <c r="H69" i="23"/>
  <c r="I69" i="23"/>
  <c r="J69" i="23"/>
  <c r="K69" i="23"/>
  <c r="L69" i="23"/>
  <c r="M69" i="23"/>
  <c r="N69" i="23"/>
  <c r="D70" i="23"/>
  <c r="E70" i="23"/>
  <c r="A70" i="23" s="1"/>
  <c r="F70" i="23"/>
  <c r="G70" i="23"/>
  <c r="H70" i="23"/>
  <c r="I70" i="23"/>
  <c r="J70" i="23"/>
  <c r="K70" i="23"/>
  <c r="L70" i="23"/>
  <c r="M70" i="23"/>
  <c r="N70" i="23"/>
  <c r="D71" i="23"/>
  <c r="E71" i="23"/>
  <c r="A71" i="23" s="1"/>
  <c r="F71" i="23"/>
  <c r="G71" i="23"/>
  <c r="H71" i="23"/>
  <c r="I71" i="23"/>
  <c r="J71" i="23"/>
  <c r="K71" i="23"/>
  <c r="L71" i="23"/>
  <c r="M71" i="23"/>
  <c r="N71" i="23"/>
  <c r="D72" i="23"/>
  <c r="E72" i="23"/>
  <c r="A72" i="23" s="1"/>
  <c r="F72" i="23"/>
  <c r="G72" i="23"/>
  <c r="H72" i="23"/>
  <c r="I72" i="23"/>
  <c r="J72" i="23"/>
  <c r="K72" i="23"/>
  <c r="L72" i="23"/>
  <c r="M72" i="23"/>
  <c r="N72" i="23"/>
  <c r="D73" i="23"/>
  <c r="E73" i="23"/>
  <c r="A73" i="23" s="1"/>
  <c r="F73" i="23"/>
  <c r="G73" i="23"/>
  <c r="H73" i="23"/>
  <c r="I73" i="23"/>
  <c r="J73" i="23"/>
  <c r="K73" i="23"/>
  <c r="L73" i="23"/>
  <c r="M73" i="23"/>
  <c r="N73" i="23"/>
  <c r="D74" i="23"/>
  <c r="E74" i="23"/>
  <c r="A74" i="23" s="1"/>
  <c r="F74" i="23"/>
  <c r="G74" i="23"/>
  <c r="H74" i="23"/>
  <c r="I74" i="23"/>
  <c r="J74" i="23"/>
  <c r="K74" i="23"/>
  <c r="L74" i="23"/>
  <c r="M74" i="23"/>
  <c r="N74" i="23"/>
  <c r="D75" i="23"/>
  <c r="E75" i="23"/>
  <c r="A75" i="23" s="1"/>
  <c r="F75" i="23"/>
  <c r="G75" i="23"/>
  <c r="H75" i="23"/>
  <c r="I75" i="23"/>
  <c r="J75" i="23"/>
  <c r="K75" i="23"/>
  <c r="L75" i="23"/>
  <c r="M75" i="23"/>
  <c r="N75" i="23"/>
  <c r="D76" i="23"/>
  <c r="E76" i="23"/>
  <c r="A76" i="23" s="1"/>
  <c r="F76" i="23"/>
  <c r="G76" i="23"/>
  <c r="H76" i="23"/>
  <c r="I76" i="23"/>
  <c r="J76" i="23"/>
  <c r="K76" i="23"/>
  <c r="L76" i="23"/>
  <c r="M76" i="23"/>
  <c r="N76" i="23"/>
  <c r="D77" i="23"/>
  <c r="E77" i="23"/>
  <c r="A77" i="23" s="1"/>
  <c r="F77" i="23"/>
  <c r="G77" i="23"/>
  <c r="H77" i="23"/>
  <c r="I77" i="23"/>
  <c r="J77" i="23"/>
  <c r="K77" i="23"/>
  <c r="L77" i="23"/>
  <c r="M77" i="23"/>
  <c r="N77" i="23"/>
  <c r="D78" i="23"/>
  <c r="E78" i="23"/>
  <c r="A78" i="23" s="1"/>
  <c r="F78" i="23"/>
  <c r="G78" i="23"/>
  <c r="H78" i="23"/>
  <c r="I78" i="23"/>
  <c r="J78" i="23"/>
  <c r="K78" i="23"/>
  <c r="L78" i="23"/>
  <c r="M78" i="23"/>
  <c r="N78" i="23"/>
  <c r="D79" i="23"/>
  <c r="E79" i="23"/>
  <c r="A79" i="23" s="1"/>
  <c r="F79" i="23"/>
  <c r="G79" i="23"/>
  <c r="H79" i="23"/>
  <c r="I79" i="23"/>
  <c r="J79" i="23"/>
  <c r="K79" i="23"/>
  <c r="L79" i="23"/>
  <c r="M79" i="23"/>
  <c r="N79" i="23"/>
  <c r="D80" i="23"/>
  <c r="E80" i="23"/>
  <c r="A80" i="23" s="1"/>
  <c r="F80" i="23"/>
  <c r="G80" i="23"/>
  <c r="H80" i="23"/>
  <c r="I80" i="23"/>
  <c r="J80" i="23"/>
  <c r="K80" i="23"/>
  <c r="L80" i="23"/>
  <c r="M80" i="23"/>
  <c r="N80" i="23"/>
  <c r="D81" i="23"/>
  <c r="E81" i="23"/>
  <c r="A81" i="23" s="1"/>
  <c r="F81" i="23"/>
  <c r="G81" i="23"/>
  <c r="H81" i="23"/>
  <c r="I81" i="23"/>
  <c r="J81" i="23"/>
  <c r="K81" i="23"/>
  <c r="L81" i="23"/>
  <c r="M81" i="23"/>
  <c r="N81" i="23"/>
  <c r="D82" i="23"/>
  <c r="E82" i="23"/>
  <c r="A82" i="23" s="1"/>
  <c r="F82" i="23"/>
  <c r="G82" i="23"/>
  <c r="H82" i="23"/>
  <c r="I82" i="23"/>
  <c r="J82" i="23"/>
  <c r="K82" i="23"/>
  <c r="L82" i="23"/>
  <c r="M82" i="23"/>
  <c r="N82" i="23"/>
  <c r="D83" i="23"/>
  <c r="E83" i="23"/>
  <c r="A83" i="23" s="1"/>
  <c r="F83" i="23"/>
  <c r="G83" i="23"/>
  <c r="H83" i="23"/>
  <c r="I83" i="23"/>
  <c r="J83" i="23"/>
  <c r="K83" i="23"/>
  <c r="L83" i="23"/>
  <c r="M83" i="23"/>
  <c r="N83" i="23"/>
  <c r="D84" i="23"/>
  <c r="E84" i="23"/>
  <c r="A84" i="23" s="1"/>
  <c r="F84" i="23"/>
  <c r="G84" i="23"/>
  <c r="H84" i="23"/>
  <c r="I84" i="23"/>
  <c r="J84" i="23"/>
  <c r="K84" i="23"/>
  <c r="L84" i="23"/>
  <c r="M84" i="23"/>
  <c r="N84" i="23"/>
  <c r="D85" i="23"/>
  <c r="E85" i="23"/>
  <c r="A85" i="23" s="1"/>
  <c r="F85" i="23"/>
  <c r="G85" i="23"/>
  <c r="H85" i="23"/>
  <c r="I85" i="23"/>
  <c r="J85" i="23"/>
  <c r="K85" i="23"/>
  <c r="L85" i="23"/>
  <c r="M85" i="23"/>
  <c r="N85" i="23"/>
  <c r="D86" i="23"/>
  <c r="E86" i="23"/>
  <c r="A86" i="23" s="1"/>
  <c r="F86" i="23"/>
  <c r="G86" i="23"/>
  <c r="H86" i="23"/>
  <c r="I86" i="23"/>
  <c r="J86" i="23"/>
  <c r="K86" i="23"/>
  <c r="L86" i="23"/>
  <c r="M86" i="23"/>
  <c r="N86" i="23"/>
  <c r="D87" i="23"/>
  <c r="E87" i="23"/>
  <c r="A87" i="23" s="1"/>
  <c r="F87" i="23"/>
  <c r="G87" i="23"/>
  <c r="H87" i="23"/>
  <c r="I87" i="23"/>
  <c r="J87" i="23"/>
  <c r="K87" i="23"/>
  <c r="L87" i="23"/>
  <c r="M87" i="23"/>
  <c r="N87" i="23"/>
  <c r="D88" i="23"/>
  <c r="E88" i="23"/>
  <c r="A88" i="23" s="1"/>
  <c r="F88" i="23"/>
  <c r="G88" i="23"/>
  <c r="H88" i="23"/>
  <c r="I88" i="23"/>
  <c r="J88" i="23"/>
  <c r="K88" i="23"/>
  <c r="L88" i="23"/>
  <c r="M88" i="23"/>
  <c r="N88" i="23"/>
  <c r="D89" i="23"/>
  <c r="E89" i="23"/>
  <c r="A89" i="23" s="1"/>
  <c r="F89" i="23"/>
  <c r="G89" i="23"/>
  <c r="H89" i="23"/>
  <c r="I89" i="23"/>
  <c r="J89" i="23"/>
  <c r="K89" i="23"/>
  <c r="L89" i="23"/>
  <c r="M89" i="23"/>
  <c r="N89" i="23"/>
  <c r="D90" i="23"/>
  <c r="E90" i="23"/>
  <c r="A90" i="23" s="1"/>
  <c r="F90" i="23"/>
  <c r="G90" i="23"/>
  <c r="H90" i="23"/>
  <c r="I90" i="23"/>
  <c r="J90" i="23"/>
  <c r="K90" i="23"/>
  <c r="L90" i="23"/>
  <c r="M90" i="23"/>
  <c r="N90" i="23"/>
  <c r="D91" i="23"/>
  <c r="E91" i="23"/>
  <c r="A91" i="23" s="1"/>
  <c r="F91" i="23"/>
  <c r="G91" i="23"/>
  <c r="H91" i="23"/>
  <c r="I91" i="23"/>
  <c r="J91" i="23"/>
  <c r="K91" i="23"/>
  <c r="L91" i="23"/>
  <c r="M91" i="23"/>
  <c r="N91" i="23"/>
  <c r="D92" i="23"/>
  <c r="E92" i="23"/>
  <c r="A92" i="23" s="1"/>
  <c r="F92" i="23"/>
  <c r="G92" i="23"/>
  <c r="H92" i="23"/>
  <c r="I92" i="23"/>
  <c r="J92" i="23"/>
  <c r="K92" i="23"/>
  <c r="L92" i="23"/>
  <c r="M92" i="23"/>
  <c r="N92" i="23"/>
  <c r="D93" i="23"/>
  <c r="E93" i="23"/>
  <c r="A93" i="23" s="1"/>
  <c r="F93" i="23"/>
  <c r="G93" i="23"/>
  <c r="H93" i="23"/>
  <c r="I93" i="23"/>
  <c r="J93" i="23"/>
  <c r="K93" i="23"/>
  <c r="L93" i="23"/>
  <c r="M93" i="23"/>
  <c r="N93" i="23"/>
  <c r="D94" i="23"/>
  <c r="E94" i="23"/>
  <c r="A94" i="23" s="1"/>
  <c r="F94" i="23"/>
  <c r="G94" i="23"/>
  <c r="H94" i="23"/>
  <c r="I94" i="23"/>
  <c r="J94" i="23"/>
  <c r="K94" i="23"/>
  <c r="L94" i="23"/>
  <c r="M94" i="23"/>
  <c r="N94" i="23"/>
  <c r="D95" i="23"/>
  <c r="E95" i="23"/>
  <c r="A95" i="23" s="1"/>
  <c r="F95" i="23"/>
  <c r="G95" i="23"/>
  <c r="H95" i="23"/>
  <c r="I95" i="23"/>
  <c r="J95" i="23"/>
  <c r="K95" i="23"/>
  <c r="L95" i="23"/>
  <c r="M95" i="23"/>
  <c r="N95" i="23"/>
  <c r="D96" i="23"/>
  <c r="E96" i="23"/>
  <c r="A96" i="23" s="1"/>
  <c r="F96" i="23"/>
  <c r="G96" i="23"/>
  <c r="H96" i="23"/>
  <c r="I96" i="23"/>
  <c r="J96" i="23"/>
  <c r="K96" i="23"/>
  <c r="L96" i="23"/>
  <c r="M96" i="23"/>
  <c r="N96" i="23"/>
  <c r="D97" i="23"/>
  <c r="E97" i="23"/>
  <c r="A97" i="23" s="1"/>
  <c r="F97" i="23"/>
  <c r="G97" i="23"/>
  <c r="H97" i="23"/>
  <c r="I97" i="23"/>
  <c r="J97" i="23"/>
  <c r="K97" i="23"/>
  <c r="L97" i="23"/>
  <c r="M97" i="23"/>
  <c r="N97" i="23"/>
  <c r="D98" i="23"/>
  <c r="E98" i="23"/>
  <c r="A98" i="23" s="1"/>
  <c r="F98" i="23"/>
  <c r="G98" i="23"/>
  <c r="H98" i="23"/>
  <c r="I98" i="23"/>
  <c r="J98" i="23"/>
  <c r="K98" i="23"/>
  <c r="L98" i="23"/>
  <c r="M98" i="23"/>
  <c r="N98" i="23"/>
  <c r="D99" i="23"/>
  <c r="E99" i="23"/>
  <c r="A99" i="23" s="1"/>
  <c r="F99" i="23"/>
  <c r="G99" i="23"/>
  <c r="H99" i="23"/>
  <c r="I99" i="23"/>
  <c r="J99" i="23"/>
  <c r="K99" i="23"/>
  <c r="L99" i="23"/>
  <c r="M99" i="23"/>
  <c r="N99" i="23"/>
  <c r="D100" i="23"/>
  <c r="E100" i="23"/>
  <c r="A100" i="23" s="1"/>
  <c r="F100" i="23"/>
  <c r="G100" i="23"/>
  <c r="H100" i="23"/>
  <c r="I100" i="23"/>
  <c r="J100" i="23"/>
  <c r="K100" i="23"/>
  <c r="L100" i="23"/>
  <c r="M100" i="23"/>
  <c r="N100" i="23"/>
  <c r="D101" i="23"/>
  <c r="E101" i="23"/>
  <c r="A101" i="23" s="1"/>
  <c r="F101" i="23"/>
  <c r="G101" i="23"/>
  <c r="H101" i="23"/>
  <c r="I101" i="23"/>
  <c r="J101" i="23"/>
  <c r="K101" i="23"/>
  <c r="L101" i="23"/>
  <c r="M101" i="23"/>
  <c r="N101" i="23"/>
  <c r="G4" i="24"/>
  <c r="E4" i="30"/>
  <c r="F4" i="30"/>
  <c r="AL4" i="29"/>
  <c r="AK4" i="29"/>
  <c r="AI4" i="29"/>
  <c r="AH4" i="29"/>
  <c r="U4" i="29"/>
  <c r="T4" i="29"/>
  <c r="S4" i="29"/>
  <c r="R4" i="29"/>
  <c r="J4" i="29"/>
  <c r="Q4" i="29"/>
  <c r="P4" i="29"/>
  <c r="O4" i="29"/>
  <c r="L4" i="29"/>
  <c r="K4" i="29"/>
  <c r="AM4" i="29"/>
  <c r="G4" i="29"/>
  <c r="AD4" i="29"/>
  <c r="V4" i="29"/>
  <c r="M4" i="29"/>
  <c r="N4" i="29"/>
  <c r="E4" i="29"/>
  <c r="AC4" i="29"/>
  <c r="H4" i="29"/>
  <c r="C4" i="29"/>
  <c r="F4" i="29"/>
  <c r="B4" i="29" s="1"/>
  <c r="M4" i="26"/>
  <c r="O4" i="26"/>
  <c r="N4" i="26"/>
  <c r="K4" i="26"/>
  <c r="T4" i="26"/>
  <c r="G4" i="26"/>
  <c r="E4" i="26"/>
  <c r="P4" i="24"/>
  <c r="S4" i="21"/>
  <c r="BV4" i="21"/>
  <c r="K4" i="21"/>
  <c r="R4" i="21"/>
  <c r="G3" i="23"/>
  <c r="H3" i="23"/>
  <c r="I3" i="23"/>
  <c r="J3" i="23"/>
  <c r="K3" i="23"/>
  <c r="L3" i="23"/>
  <c r="M3" i="23"/>
  <c r="N3" i="23"/>
  <c r="E3" i="23"/>
  <c r="A3" i="23" s="1"/>
  <c r="D3" i="23"/>
  <c r="C4" i="28"/>
  <c r="B4" i="28" s="1"/>
  <c r="B9" i="30" l="1"/>
  <c r="B10" i="30"/>
  <c r="B11" i="30"/>
  <c r="B12" i="30"/>
  <c r="B6" i="30"/>
  <c r="B7" i="30"/>
  <c r="B8" i="30"/>
  <c r="B5" i="30"/>
  <c r="A32" i="23"/>
  <c r="A34" i="23"/>
  <c r="A25" i="23"/>
  <c r="A27" i="23"/>
  <c r="A29" i="23"/>
  <c r="A31" i="23"/>
  <c r="B23" i="29"/>
  <c r="A33" i="23"/>
  <c r="B24" i="29"/>
  <c r="A23" i="23"/>
  <c r="B25" i="29"/>
  <c r="A35" i="23"/>
  <c r="B26" i="29"/>
  <c r="A22" i="23"/>
  <c r="B27" i="29"/>
  <c r="B28" i="29"/>
  <c r="A24" i="23"/>
  <c r="B29" i="29"/>
  <c r="B30" i="29"/>
  <c r="A26" i="23"/>
  <c r="B31" i="29"/>
  <c r="B32" i="29"/>
  <c r="A28" i="23"/>
  <c r="B33" i="29"/>
  <c r="B34" i="29"/>
  <c r="A30" i="23"/>
  <c r="B35" i="29"/>
  <c r="B36" i="29"/>
  <c r="A8" i="23"/>
  <c r="B9" i="29"/>
  <c r="B12" i="29"/>
  <c r="B18" i="29"/>
  <c r="B15" i="29"/>
  <c r="B5" i="29"/>
  <c r="B6" i="29"/>
  <c r="B7" i="29"/>
  <c r="B8" i="29"/>
  <c r="B10" i="29"/>
  <c r="B11" i="29"/>
  <c r="B13" i="29"/>
  <c r="B14" i="29"/>
  <c r="B19" i="29"/>
  <c r="B16" i="29"/>
  <c r="B17" i="29"/>
  <c r="B20" i="29"/>
  <c r="B21" i="29"/>
  <c r="B22" i="29"/>
  <c r="A10" i="23"/>
  <c r="A16" i="23"/>
  <c r="A18" i="23"/>
  <c r="A5" i="23"/>
  <c r="A7" i="23"/>
  <c r="A9" i="23"/>
  <c r="A20" i="23"/>
  <c r="A11" i="23"/>
  <c r="A13" i="23"/>
  <c r="A15" i="23"/>
  <c r="A17" i="23"/>
  <c r="A14" i="23"/>
  <c r="A4" i="23"/>
  <c r="A19" i="23"/>
  <c r="A12" i="23"/>
  <c r="A6" i="23"/>
  <c r="A21" i="23"/>
  <c r="V20" i="32"/>
  <c r="W5" i="28" l="1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W30" i="28"/>
  <c r="W31" i="28"/>
  <c r="W32" i="28"/>
  <c r="W33" i="28"/>
  <c r="W34" i="28"/>
  <c r="W35" i="28"/>
  <c r="W36" i="28"/>
  <c r="W37" i="28"/>
  <c r="W38" i="28"/>
  <c r="W39" i="28"/>
  <c r="W40" i="28"/>
  <c r="W41" i="28"/>
  <c r="W42" i="28"/>
  <c r="W43" i="28"/>
  <c r="W44" i="28"/>
  <c r="W45" i="28"/>
  <c r="W46" i="28"/>
  <c r="W47" i="28"/>
  <c r="W48" i="28"/>
  <c r="W49" i="28"/>
  <c r="W5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71" i="28"/>
  <c r="W72" i="28"/>
  <c r="W73" i="28"/>
  <c r="W74" i="28"/>
  <c r="W75" i="28"/>
  <c r="W76" i="28"/>
  <c r="W77" i="28"/>
  <c r="W78" i="28"/>
  <c r="W79" i="28"/>
  <c r="W80" i="28"/>
  <c r="W81" i="28"/>
  <c r="W82" i="28"/>
  <c r="W83" i="28"/>
  <c r="W84" i="28"/>
  <c r="W85" i="28"/>
  <c r="W86" i="28"/>
  <c r="W87" i="28"/>
  <c r="W88" i="28"/>
  <c r="W89" i="28"/>
  <c r="W90" i="28"/>
  <c r="W91" i="28"/>
  <c r="W92" i="28"/>
  <c r="W93" i="28"/>
  <c r="W94" i="28"/>
  <c r="W95" i="28"/>
  <c r="W96" i="28"/>
  <c r="W97" i="28"/>
  <c r="W98" i="28"/>
  <c r="W99" i="28"/>
  <c r="W100" i="28"/>
  <c r="W101" i="28"/>
  <c r="W102" i="28"/>
  <c r="C5" i="28"/>
  <c r="E5" i="28"/>
  <c r="C6" i="28"/>
  <c r="E6" i="28"/>
  <c r="C7" i="28"/>
  <c r="E7" i="28"/>
  <c r="C8" i="28"/>
  <c r="E8" i="28"/>
  <c r="C9" i="28"/>
  <c r="E9" i="28"/>
  <c r="C10" i="28"/>
  <c r="E10" i="28"/>
  <c r="C11" i="28"/>
  <c r="E11" i="28"/>
  <c r="C12" i="28"/>
  <c r="E12" i="28"/>
  <c r="C13" i="28"/>
  <c r="E13" i="28"/>
  <c r="C14" i="28"/>
  <c r="E14" i="28"/>
  <c r="C15" i="28"/>
  <c r="E15" i="28"/>
  <c r="C16" i="28"/>
  <c r="E16" i="28"/>
  <c r="C17" i="28"/>
  <c r="E17" i="28"/>
  <c r="C18" i="28"/>
  <c r="E18" i="28"/>
  <c r="C19" i="28"/>
  <c r="E19" i="28"/>
  <c r="C20" i="28"/>
  <c r="E20" i="28"/>
  <c r="C21" i="28"/>
  <c r="E21" i="28"/>
  <c r="C22" i="28"/>
  <c r="E22" i="28"/>
  <c r="C23" i="28"/>
  <c r="E23" i="28"/>
  <c r="C24" i="28"/>
  <c r="E24" i="28"/>
  <c r="C25" i="28"/>
  <c r="E25" i="28"/>
  <c r="C26" i="28"/>
  <c r="E26" i="28"/>
  <c r="C27" i="28"/>
  <c r="E27" i="28"/>
  <c r="C28" i="28"/>
  <c r="E28" i="28"/>
  <c r="C29" i="28"/>
  <c r="E29" i="28"/>
  <c r="C30" i="28"/>
  <c r="E30" i="28"/>
  <c r="C31" i="28"/>
  <c r="D31" i="28"/>
  <c r="E31" i="28"/>
  <c r="C32" i="28"/>
  <c r="E32" i="28"/>
  <c r="C33" i="28"/>
  <c r="E33" i="28"/>
  <c r="C34" i="28"/>
  <c r="E34" i="28"/>
  <c r="C35" i="28"/>
  <c r="D35" i="28"/>
  <c r="E35" i="28"/>
  <c r="C36" i="28"/>
  <c r="B36" i="28" s="1"/>
  <c r="D36" i="28"/>
  <c r="E36" i="28"/>
  <c r="C37" i="28"/>
  <c r="B37" i="28" s="1"/>
  <c r="D37" i="28"/>
  <c r="E37" i="28"/>
  <c r="C38" i="28"/>
  <c r="B38" i="28" s="1"/>
  <c r="D38" i="28"/>
  <c r="E38" i="28"/>
  <c r="C39" i="28"/>
  <c r="B39" i="28" s="1"/>
  <c r="D39" i="28"/>
  <c r="E39" i="28"/>
  <c r="C40" i="28"/>
  <c r="B40" i="28" s="1"/>
  <c r="D40" i="28"/>
  <c r="E40" i="28"/>
  <c r="C41" i="28"/>
  <c r="B41" i="28" s="1"/>
  <c r="D41" i="28"/>
  <c r="E41" i="28"/>
  <c r="C42" i="28"/>
  <c r="B42" i="28" s="1"/>
  <c r="D42" i="28"/>
  <c r="E42" i="28"/>
  <c r="C43" i="28"/>
  <c r="B43" i="28" s="1"/>
  <c r="D43" i="28"/>
  <c r="E43" i="28"/>
  <c r="C44" i="28"/>
  <c r="B44" i="28" s="1"/>
  <c r="D44" i="28"/>
  <c r="E44" i="28"/>
  <c r="C45" i="28"/>
  <c r="B45" i="28" s="1"/>
  <c r="D45" i="28"/>
  <c r="E45" i="28"/>
  <c r="C46" i="28"/>
  <c r="B46" i="28" s="1"/>
  <c r="D46" i="28"/>
  <c r="E46" i="28"/>
  <c r="C47" i="28"/>
  <c r="B47" i="28" s="1"/>
  <c r="D47" i="28"/>
  <c r="E47" i="28"/>
  <c r="C48" i="28"/>
  <c r="B48" i="28" s="1"/>
  <c r="D48" i="28"/>
  <c r="E48" i="28"/>
  <c r="C49" i="28"/>
  <c r="B49" i="28" s="1"/>
  <c r="D49" i="28"/>
  <c r="E49" i="28"/>
  <c r="C50" i="28"/>
  <c r="B50" i="28" s="1"/>
  <c r="D50" i="28"/>
  <c r="E50" i="28"/>
  <c r="C51" i="28"/>
  <c r="B51" i="28" s="1"/>
  <c r="D51" i="28"/>
  <c r="E51" i="28"/>
  <c r="C52" i="28"/>
  <c r="B52" i="28" s="1"/>
  <c r="D52" i="28"/>
  <c r="E52" i="28"/>
  <c r="C53" i="28"/>
  <c r="B53" i="28" s="1"/>
  <c r="D53" i="28"/>
  <c r="E53" i="28"/>
  <c r="C54" i="28"/>
  <c r="B54" i="28" s="1"/>
  <c r="D54" i="28"/>
  <c r="E54" i="28"/>
  <c r="C55" i="28"/>
  <c r="B55" i="28" s="1"/>
  <c r="D55" i="28"/>
  <c r="E55" i="28"/>
  <c r="C56" i="28"/>
  <c r="B56" i="28" s="1"/>
  <c r="D56" i="28"/>
  <c r="E56" i="28"/>
  <c r="C57" i="28"/>
  <c r="B57" i="28" s="1"/>
  <c r="D57" i="28"/>
  <c r="E57" i="28"/>
  <c r="C58" i="28"/>
  <c r="B58" i="28" s="1"/>
  <c r="D58" i="28"/>
  <c r="E58" i="28"/>
  <c r="C59" i="28"/>
  <c r="B59" i="28" s="1"/>
  <c r="D59" i="28"/>
  <c r="E59" i="28"/>
  <c r="C60" i="28"/>
  <c r="B60" i="28" s="1"/>
  <c r="D60" i="28"/>
  <c r="E60" i="28"/>
  <c r="C61" i="28"/>
  <c r="B61" i="28" s="1"/>
  <c r="D61" i="28"/>
  <c r="E61" i="28"/>
  <c r="C62" i="28"/>
  <c r="B62" i="28" s="1"/>
  <c r="D62" i="28"/>
  <c r="E62" i="28"/>
  <c r="C63" i="28"/>
  <c r="B63" i="28" s="1"/>
  <c r="D63" i="28"/>
  <c r="E63" i="28"/>
  <c r="C64" i="28"/>
  <c r="B64" i="28" s="1"/>
  <c r="D64" i="28"/>
  <c r="E64" i="28"/>
  <c r="C65" i="28"/>
  <c r="B65" i="28" s="1"/>
  <c r="D65" i="28"/>
  <c r="E65" i="28"/>
  <c r="C66" i="28"/>
  <c r="B66" i="28" s="1"/>
  <c r="D66" i="28"/>
  <c r="E66" i="28"/>
  <c r="C67" i="28"/>
  <c r="B67" i="28" s="1"/>
  <c r="D67" i="28"/>
  <c r="E67" i="28"/>
  <c r="C68" i="28"/>
  <c r="B68" i="28" s="1"/>
  <c r="D68" i="28"/>
  <c r="E68" i="28"/>
  <c r="C69" i="28"/>
  <c r="B69" i="28" s="1"/>
  <c r="D69" i="28"/>
  <c r="E69" i="28"/>
  <c r="C70" i="28"/>
  <c r="B70" i="28" s="1"/>
  <c r="D70" i="28"/>
  <c r="E70" i="28"/>
  <c r="C71" i="28"/>
  <c r="B71" i="28" s="1"/>
  <c r="D71" i="28"/>
  <c r="E71" i="28"/>
  <c r="C72" i="28"/>
  <c r="B72" i="28" s="1"/>
  <c r="D72" i="28"/>
  <c r="E72" i="28"/>
  <c r="C73" i="28"/>
  <c r="B73" i="28" s="1"/>
  <c r="D73" i="28"/>
  <c r="E73" i="28"/>
  <c r="C74" i="28"/>
  <c r="B74" i="28" s="1"/>
  <c r="D74" i="28"/>
  <c r="E74" i="28"/>
  <c r="C75" i="28"/>
  <c r="B75" i="28" s="1"/>
  <c r="D75" i="28"/>
  <c r="E75" i="28"/>
  <c r="C76" i="28"/>
  <c r="B76" i="28" s="1"/>
  <c r="D76" i="28"/>
  <c r="E76" i="28"/>
  <c r="C77" i="28"/>
  <c r="B77" i="28" s="1"/>
  <c r="D77" i="28"/>
  <c r="E77" i="28"/>
  <c r="C78" i="28"/>
  <c r="B78" i="28" s="1"/>
  <c r="D78" i="28"/>
  <c r="E78" i="28"/>
  <c r="C79" i="28"/>
  <c r="B79" i="28" s="1"/>
  <c r="D79" i="28"/>
  <c r="E79" i="28"/>
  <c r="C80" i="28"/>
  <c r="B80" i="28" s="1"/>
  <c r="D80" i="28"/>
  <c r="E80" i="28"/>
  <c r="C81" i="28"/>
  <c r="B81" i="28" s="1"/>
  <c r="D81" i="28"/>
  <c r="E81" i="28"/>
  <c r="C82" i="28"/>
  <c r="B82" i="28" s="1"/>
  <c r="D82" i="28"/>
  <c r="E82" i="28"/>
  <c r="C83" i="28"/>
  <c r="B83" i="28" s="1"/>
  <c r="D83" i="28"/>
  <c r="E83" i="28"/>
  <c r="C84" i="28"/>
  <c r="B84" i="28" s="1"/>
  <c r="D84" i="28"/>
  <c r="E84" i="28"/>
  <c r="C85" i="28"/>
  <c r="B85" i="28" s="1"/>
  <c r="D85" i="28"/>
  <c r="E85" i="28"/>
  <c r="C86" i="28"/>
  <c r="B86" i="28" s="1"/>
  <c r="D86" i="28"/>
  <c r="E86" i="28"/>
  <c r="C87" i="28"/>
  <c r="B87" i="28" s="1"/>
  <c r="D87" i="28"/>
  <c r="E87" i="28"/>
  <c r="C88" i="28"/>
  <c r="B88" i="28" s="1"/>
  <c r="D88" i="28"/>
  <c r="E88" i="28"/>
  <c r="C89" i="28"/>
  <c r="B89" i="28" s="1"/>
  <c r="D89" i="28"/>
  <c r="E89" i="28"/>
  <c r="C90" i="28"/>
  <c r="B90" i="28" s="1"/>
  <c r="D90" i="28"/>
  <c r="E90" i="28"/>
  <c r="C91" i="28"/>
  <c r="B91" i="28" s="1"/>
  <c r="D91" i="28"/>
  <c r="E91" i="28"/>
  <c r="C92" i="28"/>
  <c r="B92" i="28" s="1"/>
  <c r="D92" i="28"/>
  <c r="E92" i="28"/>
  <c r="C93" i="28"/>
  <c r="B93" i="28" s="1"/>
  <c r="D93" i="28"/>
  <c r="E93" i="28"/>
  <c r="C94" i="28"/>
  <c r="B94" i="28" s="1"/>
  <c r="D94" i="28"/>
  <c r="E94" i="28"/>
  <c r="C95" i="28"/>
  <c r="B95" i="28" s="1"/>
  <c r="D95" i="28"/>
  <c r="E95" i="28"/>
  <c r="C96" i="28"/>
  <c r="B96" i="28" s="1"/>
  <c r="D96" i="28"/>
  <c r="E96" i="28"/>
  <c r="C97" i="28"/>
  <c r="B97" i="28" s="1"/>
  <c r="D97" i="28"/>
  <c r="E97" i="28"/>
  <c r="C98" i="28"/>
  <c r="B98" i="28" s="1"/>
  <c r="D98" i="28"/>
  <c r="E98" i="28"/>
  <c r="C99" i="28"/>
  <c r="B99" i="28" s="1"/>
  <c r="D99" i="28"/>
  <c r="E99" i="28"/>
  <c r="C100" i="28"/>
  <c r="B100" i="28" s="1"/>
  <c r="D100" i="28"/>
  <c r="E100" i="28"/>
  <c r="C101" i="28"/>
  <c r="B101" i="28" s="1"/>
  <c r="D101" i="28"/>
  <c r="E101" i="28"/>
  <c r="C102" i="28"/>
  <c r="B102" i="28" s="1"/>
  <c r="D102" i="28"/>
  <c r="E102" i="28"/>
  <c r="W4" i="28"/>
  <c r="E4" i="28"/>
  <c r="B35" i="28" l="1"/>
  <c r="B34" i="28"/>
  <c r="B33" i="28"/>
  <c r="B32" i="28"/>
  <c r="B30" i="28"/>
  <c r="B31" i="28"/>
  <c r="B29" i="28"/>
  <c r="B28" i="28"/>
  <c r="B27" i="28"/>
  <c r="B26" i="28"/>
  <c r="B23" i="28"/>
  <c r="B25" i="28"/>
  <c r="B22" i="28"/>
  <c r="B24" i="28"/>
  <c r="B6" i="28"/>
  <c r="B9" i="28"/>
  <c r="B8" i="28"/>
  <c r="B17" i="28"/>
  <c r="B7" i="28"/>
  <c r="B16" i="28"/>
  <c r="B5" i="28"/>
  <c r="B14" i="28"/>
  <c r="B13" i="28"/>
  <c r="B15" i="28"/>
  <c r="B12" i="28"/>
  <c r="B21" i="28"/>
  <c r="B18" i="28"/>
  <c r="B11" i="28"/>
  <c r="B20" i="28"/>
  <c r="B10" i="28"/>
  <c r="B19" i="28"/>
  <c r="C5" i="21"/>
  <c r="E5" i="21"/>
  <c r="F5" i="21"/>
  <c r="H5" i="21"/>
  <c r="I5" i="21"/>
  <c r="J5" i="21"/>
  <c r="L5" i="21"/>
  <c r="M5" i="21"/>
  <c r="N5" i="21"/>
  <c r="O5" i="21"/>
  <c r="P5" i="21"/>
  <c r="Q5" i="21"/>
  <c r="AB5" i="21"/>
  <c r="BG5" i="21"/>
  <c r="BU5" i="21"/>
  <c r="C6" i="21"/>
  <c r="E6" i="21"/>
  <c r="F6" i="21"/>
  <c r="G6" i="21"/>
  <c r="H6" i="21"/>
  <c r="I6" i="21"/>
  <c r="J6" i="21"/>
  <c r="L6" i="21"/>
  <c r="M6" i="21"/>
  <c r="N6" i="21"/>
  <c r="O6" i="21"/>
  <c r="P6" i="21"/>
  <c r="Q6" i="21"/>
  <c r="AB6" i="21"/>
  <c r="BG6" i="21"/>
  <c r="BU6" i="21"/>
  <c r="C7" i="21"/>
  <c r="E7" i="21"/>
  <c r="F7" i="21"/>
  <c r="G7" i="21"/>
  <c r="H7" i="21"/>
  <c r="I7" i="21"/>
  <c r="B7" i="21" s="1"/>
  <c r="J7" i="21"/>
  <c r="L7" i="21"/>
  <c r="M7" i="21"/>
  <c r="N7" i="21"/>
  <c r="O7" i="21"/>
  <c r="P7" i="21"/>
  <c r="Q7" i="21"/>
  <c r="AB7" i="21"/>
  <c r="BG7" i="21"/>
  <c r="BU7" i="21"/>
  <c r="C8" i="21"/>
  <c r="E8" i="21"/>
  <c r="F8" i="21"/>
  <c r="G8" i="21"/>
  <c r="H8" i="21"/>
  <c r="I8" i="21"/>
  <c r="B8" i="21" s="1"/>
  <c r="J8" i="21"/>
  <c r="L8" i="21"/>
  <c r="M8" i="21"/>
  <c r="N8" i="21"/>
  <c r="O8" i="21"/>
  <c r="P8" i="21"/>
  <c r="Q8" i="21"/>
  <c r="AB8" i="21"/>
  <c r="BG8" i="21"/>
  <c r="BU8" i="21"/>
  <c r="C9" i="21"/>
  <c r="E9" i="21"/>
  <c r="F9" i="21"/>
  <c r="G9" i="21"/>
  <c r="H9" i="21"/>
  <c r="I9" i="21"/>
  <c r="B9" i="21" s="1"/>
  <c r="J9" i="21"/>
  <c r="L9" i="21"/>
  <c r="M9" i="21"/>
  <c r="N9" i="21"/>
  <c r="O9" i="21"/>
  <c r="P9" i="21"/>
  <c r="Q9" i="21"/>
  <c r="AB9" i="21"/>
  <c r="BG9" i="21"/>
  <c r="BU9" i="21"/>
  <c r="C10" i="21"/>
  <c r="E10" i="21"/>
  <c r="F10" i="21"/>
  <c r="G10" i="21"/>
  <c r="H10" i="21"/>
  <c r="I10" i="21"/>
  <c r="B10" i="21" s="1"/>
  <c r="J10" i="21"/>
  <c r="L10" i="21"/>
  <c r="M10" i="21"/>
  <c r="N10" i="21"/>
  <c r="O10" i="21"/>
  <c r="P10" i="21"/>
  <c r="Q10" i="21"/>
  <c r="AB10" i="21"/>
  <c r="BG10" i="21"/>
  <c r="BU10" i="21"/>
  <c r="C11" i="21"/>
  <c r="E11" i="21"/>
  <c r="F11" i="21"/>
  <c r="G11" i="21"/>
  <c r="H11" i="21"/>
  <c r="I11" i="21"/>
  <c r="B11" i="21" s="1"/>
  <c r="J11" i="21"/>
  <c r="L11" i="21"/>
  <c r="M11" i="21"/>
  <c r="N11" i="21"/>
  <c r="O11" i="21"/>
  <c r="P11" i="21"/>
  <c r="Q11" i="21"/>
  <c r="AB11" i="21"/>
  <c r="BG11" i="21"/>
  <c r="BU11" i="21"/>
  <c r="C12" i="21"/>
  <c r="E12" i="21"/>
  <c r="F12" i="21"/>
  <c r="G12" i="21"/>
  <c r="H12" i="21"/>
  <c r="I12" i="21"/>
  <c r="B12" i="21" s="1"/>
  <c r="J12" i="21"/>
  <c r="L12" i="21"/>
  <c r="M12" i="21"/>
  <c r="N12" i="21"/>
  <c r="O12" i="21"/>
  <c r="P12" i="21"/>
  <c r="Q12" i="21"/>
  <c r="AB12" i="21"/>
  <c r="BG12" i="21"/>
  <c r="BU12" i="21"/>
  <c r="C13" i="21"/>
  <c r="E13" i="21"/>
  <c r="F13" i="21"/>
  <c r="G13" i="21"/>
  <c r="H13" i="21"/>
  <c r="I13" i="21"/>
  <c r="B13" i="21" s="1"/>
  <c r="J13" i="21"/>
  <c r="L13" i="21"/>
  <c r="M13" i="21"/>
  <c r="N13" i="21"/>
  <c r="O13" i="21"/>
  <c r="P13" i="21"/>
  <c r="Q13" i="21"/>
  <c r="AB13" i="21"/>
  <c r="BG13" i="21"/>
  <c r="BU13" i="21"/>
  <c r="C14" i="21"/>
  <c r="E14" i="21"/>
  <c r="F14" i="21"/>
  <c r="G14" i="21"/>
  <c r="H14" i="21"/>
  <c r="I14" i="21"/>
  <c r="B14" i="21" s="1"/>
  <c r="J14" i="21"/>
  <c r="L14" i="21"/>
  <c r="M14" i="21"/>
  <c r="N14" i="21"/>
  <c r="O14" i="21"/>
  <c r="P14" i="21"/>
  <c r="Q14" i="21"/>
  <c r="AB14" i="21"/>
  <c r="BG14" i="21"/>
  <c r="BU14" i="21"/>
  <c r="C15" i="21"/>
  <c r="E15" i="21"/>
  <c r="F15" i="21"/>
  <c r="G15" i="21"/>
  <c r="H15" i="21"/>
  <c r="I15" i="21"/>
  <c r="B15" i="21" s="1"/>
  <c r="J15" i="21"/>
  <c r="L15" i="21"/>
  <c r="M15" i="21"/>
  <c r="N15" i="21"/>
  <c r="O15" i="21"/>
  <c r="P15" i="21"/>
  <c r="Q15" i="21"/>
  <c r="AB15" i="21"/>
  <c r="BG15" i="21"/>
  <c r="BU15" i="21"/>
  <c r="C16" i="21"/>
  <c r="E16" i="21"/>
  <c r="F16" i="21"/>
  <c r="G16" i="21"/>
  <c r="H16" i="21"/>
  <c r="I16" i="21"/>
  <c r="B16" i="21" s="1"/>
  <c r="J16" i="21"/>
  <c r="L16" i="21"/>
  <c r="M16" i="21"/>
  <c r="N16" i="21"/>
  <c r="O16" i="21"/>
  <c r="P16" i="21"/>
  <c r="Q16" i="21"/>
  <c r="AB16" i="21"/>
  <c r="BG16" i="21"/>
  <c r="BU16" i="21"/>
  <c r="C17" i="21"/>
  <c r="E17" i="21"/>
  <c r="F17" i="21"/>
  <c r="G17" i="21"/>
  <c r="H17" i="21"/>
  <c r="I17" i="21"/>
  <c r="B17" i="21" s="1"/>
  <c r="J17" i="21"/>
  <c r="L17" i="21"/>
  <c r="M17" i="21"/>
  <c r="N17" i="21"/>
  <c r="O17" i="21"/>
  <c r="P17" i="21"/>
  <c r="Q17" i="21"/>
  <c r="AB17" i="21"/>
  <c r="BG17" i="21"/>
  <c r="BU17" i="21"/>
  <c r="C18" i="21"/>
  <c r="E18" i="21"/>
  <c r="F18" i="21"/>
  <c r="G18" i="21"/>
  <c r="H18" i="21"/>
  <c r="I18" i="21"/>
  <c r="B18" i="21" s="1"/>
  <c r="J18" i="21"/>
  <c r="L18" i="21"/>
  <c r="M18" i="21"/>
  <c r="N18" i="21"/>
  <c r="O18" i="21"/>
  <c r="P18" i="21"/>
  <c r="Q18" i="21"/>
  <c r="AB18" i="21"/>
  <c r="BG18" i="21"/>
  <c r="BU18" i="21"/>
  <c r="C19" i="21"/>
  <c r="E19" i="21"/>
  <c r="F19" i="21"/>
  <c r="G19" i="21"/>
  <c r="H19" i="21"/>
  <c r="I19" i="21"/>
  <c r="B19" i="21" s="1"/>
  <c r="J19" i="21"/>
  <c r="L19" i="21"/>
  <c r="M19" i="21"/>
  <c r="N19" i="21"/>
  <c r="O19" i="21"/>
  <c r="P19" i="21"/>
  <c r="Q19" i="21"/>
  <c r="AB19" i="21"/>
  <c r="BG19" i="21"/>
  <c r="BU19" i="21"/>
  <c r="C20" i="21"/>
  <c r="E20" i="21"/>
  <c r="F20" i="21"/>
  <c r="G20" i="21"/>
  <c r="H20" i="21"/>
  <c r="I20" i="21"/>
  <c r="B20" i="21" s="1"/>
  <c r="J20" i="21"/>
  <c r="L20" i="21"/>
  <c r="M20" i="21"/>
  <c r="N20" i="21"/>
  <c r="O20" i="21"/>
  <c r="P20" i="21"/>
  <c r="Q20" i="21"/>
  <c r="AB20" i="21"/>
  <c r="BG20" i="21"/>
  <c r="BU20" i="21"/>
  <c r="C21" i="21"/>
  <c r="E21" i="21"/>
  <c r="F21" i="21"/>
  <c r="G21" i="21"/>
  <c r="H21" i="21"/>
  <c r="I21" i="21"/>
  <c r="B21" i="21" s="1"/>
  <c r="J21" i="21"/>
  <c r="L21" i="21"/>
  <c r="M21" i="21"/>
  <c r="N21" i="21"/>
  <c r="O21" i="21"/>
  <c r="P21" i="21"/>
  <c r="Q21" i="21"/>
  <c r="AB21" i="21"/>
  <c r="BG21" i="21"/>
  <c r="BU21" i="21"/>
  <c r="C22" i="21"/>
  <c r="E22" i="21"/>
  <c r="F22" i="21"/>
  <c r="G22" i="21"/>
  <c r="H22" i="21"/>
  <c r="I22" i="21"/>
  <c r="B22" i="21" s="1"/>
  <c r="J22" i="21"/>
  <c r="L22" i="21"/>
  <c r="M22" i="21"/>
  <c r="N22" i="21"/>
  <c r="O22" i="21"/>
  <c r="P22" i="21"/>
  <c r="Q22" i="21"/>
  <c r="AB22" i="21"/>
  <c r="BG22" i="21"/>
  <c r="BU22" i="21"/>
  <c r="C23" i="21"/>
  <c r="E23" i="21"/>
  <c r="F23" i="21"/>
  <c r="G23" i="21"/>
  <c r="H23" i="21"/>
  <c r="I23" i="21"/>
  <c r="B23" i="21" s="1"/>
  <c r="J23" i="21"/>
  <c r="L23" i="21"/>
  <c r="M23" i="21"/>
  <c r="N23" i="21"/>
  <c r="O23" i="21"/>
  <c r="P23" i="21"/>
  <c r="Q23" i="21"/>
  <c r="AB23" i="21"/>
  <c r="BG23" i="21"/>
  <c r="BU23" i="21"/>
  <c r="C24" i="21"/>
  <c r="E24" i="21"/>
  <c r="F24" i="21"/>
  <c r="G24" i="21"/>
  <c r="H24" i="21"/>
  <c r="I24" i="21"/>
  <c r="B24" i="21" s="1"/>
  <c r="J24" i="21"/>
  <c r="L24" i="21"/>
  <c r="M24" i="21"/>
  <c r="N24" i="21"/>
  <c r="O24" i="21"/>
  <c r="P24" i="21"/>
  <c r="Q24" i="21"/>
  <c r="AB24" i="21"/>
  <c r="BG24" i="21"/>
  <c r="BU24" i="21"/>
  <c r="C25" i="21"/>
  <c r="E25" i="21"/>
  <c r="F25" i="21"/>
  <c r="G25" i="21"/>
  <c r="H25" i="21"/>
  <c r="I25" i="21"/>
  <c r="B25" i="21" s="1"/>
  <c r="J25" i="21"/>
  <c r="L25" i="21"/>
  <c r="M25" i="21"/>
  <c r="N25" i="21"/>
  <c r="O25" i="21"/>
  <c r="P25" i="21"/>
  <c r="Q25" i="21"/>
  <c r="AB25" i="21"/>
  <c r="BG25" i="21"/>
  <c r="BU25" i="21"/>
  <c r="C26" i="21"/>
  <c r="E26" i="21"/>
  <c r="F26" i="21"/>
  <c r="G26" i="21"/>
  <c r="H26" i="21"/>
  <c r="I26" i="21"/>
  <c r="B26" i="21" s="1"/>
  <c r="J26" i="21"/>
  <c r="L26" i="21"/>
  <c r="M26" i="21"/>
  <c r="N26" i="21"/>
  <c r="O26" i="21"/>
  <c r="P26" i="21"/>
  <c r="Q26" i="21"/>
  <c r="AB26" i="21"/>
  <c r="BG26" i="21"/>
  <c r="BU26" i="21"/>
  <c r="C27" i="21"/>
  <c r="E27" i="21"/>
  <c r="F27" i="21"/>
  <c r="G27" i="21"/>
  <c r="H27" i="21"/>
  <c r="I27" i="21"/>
  <c r="B27" i="21" s="1"/>
  <c r="J27" i="21"/>
  <c r="L27" i="21"/>
  <c r="M27" i="21"/>
  <c r="N27" i="21"/>
  <c r="O27" i="21"/>
  <c r="P27" i="21"/>
  <c r="Q27" i="21"/>
  <c r="AB27" i="21"/>
  <c r="BG27" i="21"/>
  <c r="BU27" i="21"/>
  <c r="C28" i="21"/>
  <c r="E28" i="21"/>
  <c r="F28" i="21"/>
  <c r="G28" i="21"/>
  <c r="H28" i="21"/>
  <c r="I28" i="21"/>
  <c r="B28" i="21" s="1"/>
  <c r="J28" i="21"/>
  <c r="L28" i="21"/>
  <c r="M28" i="21"/>
  <c r="N28" i="21"/>
  <c r="O28" i="21"/>
  <c r="P28" i="21"/>
  <c r="Q28" i="21"/>
  <c r="AB28" i="21"/>
  <c r="BG28" i="21"/>
  <c r="BU28" i="21"/>
  <c r="C29" i="21"/>
  <c r="E29" i="21"/>
  <c r="F29" i="21"/>
  <c r="G29" i="21"/>
  <c r="H29" i="21"/>
  <c r="I29" i="21"/>
  <c r="B29" i="21" s="1"/>
  <c r="J29" i="21"/>
  <c r="L29" i="21"/>
  <c r="M29" i="21"/>
  <c r="N29" i="21"/>
  <c r="O29" i="21"/>
  <c r="P29" i="21"/>
  <c r="Q29" i="21"/>
  <c r="AB29" i="21"/>
  <c r="BG29" i="21"/>
  <c r="BU29" i="21"/>
  <c r="C30" i="21"/>
  <c r="E30" i="21"/>
  <c r="F30" i="21"/>
  <c r="G30" i="21"/>
  <c r="H30" i="21"/>
  <c r="I30" i="21"/>
  <c r="B30" i="21" s="1"/>
  <c r="J30" i="21"/>
  <c r="L30" i="21"/>
  <c r="M30" i="21"/>
  <c r="N30" i="21"/>
  <c r="O30" i="21"/>
  <c r="P30" i="21"/>
  <c r="Q30" i="21"/>
  <c r="AB30" i="21"/>
  <c r="BG30" i="21"/>
  <c r="BU30" i="21"/>
  <c r="C31" i="21"/>
  <c r="E31" i="21"/>
  <c r="F31" i="21"/>
  <c r="G31" i="21"/>
  <c r="H31" i="21"/>
  <c r="I31" i="21"/>
  <c r="B31" i="21" s="1"/>
  <c r="J31" i="21"/>
  <c r="L31" i="21"/>
  <c r="M31" i="21"/>
  <c r="N31" i="21"/>
  <c r="O31" i="21"/>
  <c r="P31" i="21"/>
  <c r="Q31" i="21"/>
  <c r="AB31" i="21"/>
  <c r="BG31" i="21"/>
  <c r="BU31" i="21"/>
  <c r="C32" i="21"/>
  <c r="E32" i="21"/>
  <c r="F32" i="21"/>
  <c r="G32" i="21"/>
  <c r="H32" i="21"/>
  <c r="I32" i="21"/>
  <c r="B32" i="21" s="1"/>
  <c r="J32" i="21"/>
  <c r="L32" i="21"/>
  <c r="M32" i="21"/>
  <c r="N32" i="21"/>
  <c r="O32" i="21"/>
  <c r="P32" i="21"/>
  <c r="Q32" i="21"/>
  <c r="AB32" i="21"/>
  <c r="BG32" i="21"/>
  <c r="BU32" i="21"/>
  <c r="C33" i="21"/>
  <c r="E33" i="21"/>
  <c r="F33" i="21"/>
  <c r="G33" i="21"/>
  <c r="H33" i="21"/>
  <c r="I33" i="21"/>
  <c r="B33" i="21" s="1"/>
  <c r="J33" i="21"/>
  <c r="L33" i="21"/>
  <c r="M33" i="21"/>
  <c r="N33" i="21"/>
  <c r="O33" i="21"/>
  <c r="P33" i="21"/>
  <c r="Q33" i="21"/>
  <c r="AB33" i="21"/>
  <c r="BG33" i="21"/>
  <c r="BU33" i="21"/>
  <c r="C34" i="21"/>
  <c r="E34" i="21"/>
  <c r="F34" i="21"/>
  <c r="G34" i="21"/>
  <c r="H34" i="21"/>
  <c r="I34" i="21"/>
  <c r="B34" i="21" s="1"/>
  <c r="J34" i="21"/>
  <c r="L34" i="21"/>
  <c r="M34" i="21"/>
  <c r="N34" i="21"/>
  <c r="O34" i="21"/>
  <c r="P34" i="21"/>
  <c r="Q34" i="21"/>
  <c r="AB34" i="21"/>
  <c r="BG34" i="21"/>
  <c r="BU34" i="21"/>
  <c r="C35" i="21"/>
  <c r="E35" i="21"/>
  <c r="F35" i="21"/>
  <c r="G35" i="21"/>
  <c r="H35" i="21"/>
  <c r="I35" i="21"/>
  <c r="B35" i="21" s="1"/>
  <c r="J35" i="21"/>
  <c r="L35" i="21"/>
  <c r="M35" i="21"/>
  <c r="N35" i="21"/>
  <c r="O35" i="21"/>
  <c r="P35" i="21"/>
  <c r="Q35" i="21"/>
  <c r="AB35" i="21"/>
  <c r="BG35" i="21"/>
  <c r="BU35" i="21"/>
  <c r="C36" i="21"/>
  <c r="E36" i="21"/>
  <c r="F36" i="21"/>
  <c r="G36" i="21"/>
  <c r="H36" i="21"/>
  <c r="I36" i="21"/>
  <c r="B36" i="21" s="1"/>
  <c r="J36" i="21"/>
  <c r="L36" i="21"/>
  <c r="M36" i="21"/>
  <c r="N36" i="21"/>
  <c r="O36" i="21"/>
  <c r="P36" i="21"/>
  <c r="Q36" i="21"/>
  <c r="AB36" i="21"/>
  <c r="BG36" i="21"/>
  <c r="BU36" i="21"/>
  <c r="C37" i="21"/>
  <c r="E37" i="21"/>
  <c r="F37" i="21"/>
  <c r="G37" i="21"/>
  <c r="H37" i="21"/>
  <c r="I37" i="21"/>
  <c r="B37" i="21" s="1"/>
  <c r="J37" i="21"/>
  <c r="L37" i="21"/>
  <c r="M37" i="21"/>
  <c r="N37" i="21"/>
  <c r="O37" i="21"/>
  <c r="P37" i="21"/>
  <c r="Q37" i="21"/>
  <c r="AB37" i="21"/>
  <c r="BG37" i="21"/>
  <c r="BU37" i="21"/>
  <c r="C38" i="21"/>
  <c r="E38" i="21"/>
  <c r="F38" i="21"/>
  <c r="G38" i="21"/>
  <c r="H38" i="21"/>
  <c r="I38" i="21"/>
  <c r="B38" i="21" s="1"/>
  <c r="J38" i="21"/>
  <c r="L38" i="21"/>
  <c r="M38" i="21"/>
  <c r="N38" i="21"/>
  <c r="O38" i="21"/>
  <c r="P38" i="21"/>
  <c r="Q38" i="21"/>
  <c r="AB38" i="21"/>
  <c r="BG38" i="21"/>
  <c r="BU38" i="21"/>
  <c r="C39" i="21"/>
  <c r="E39" i="21"/>
  <c r="F39" i="21"/>
  <c r="G39" i="21"/>
  <c r="H39" i="21"/>
  <c r="I39" i="21"/>
  <c r="B39" i="21" s="1"/>
  <c r="J39" i="21"/>
  <c r="L39" i="21"/>
  <c r="M39" i="21"/>
  <c r="N39" i="21"/>
  <c r="O39" i="21"/>
  <c r="P39" i="21"/>
  <c r="Q39" i="21"/>
  <c r="AB39" i="21"/>
  <c r="BG39" i="21"/>
  <c r="BU39" i="21"/>
  <c r="C40" i="21"/>
  <c r="E40" i="21"/>
  <c r="F40" i="21"/>
  <c r="G40" i="21"/>
  <c r="H40" i="21"/>
  <c r="I40" i="21"/>
  <c r="B40" i="21" s="1"/>
  <c r="J40" i="21"/>
  <c r="L40" i="21"/>
  <c r="M40" i="21"/>
  <c r="N40" i="21"/>
  <c r="O40" i="21"/>
  <c r="P40" i="21"/>
  <c r="Q40" i="21"/>
  <c r="AB40" i="21"/>
  <c r="BG40" i="21"/>
  <c r="BU40" i="21"/>
  <c r="C41" i="21"/>
  <c r="E41" i="21"/>
  <c r="F41" i="21"/>
  <c r="G41" i="21"/>
  <c r="H41" i="21"/>
  <c r="I41" i="21"/>
  <c r="B41" i="21" s="1"/>
  <c r="J41" i="21"/>
  <c r="L41" i="21"/>
  <c r="M41" i="21"/>
  <c r="N41" i="21"/>
  <c r="O41" i="21"/>
  <c r="P41" i="21"/>
  <c r="Q41" i="21"/>
  <c r="AB41" i="21"/>
  <c r="BG41" i="21"/>
  <c r="BU41" i="21"/>
  <c r="C42" i="21"/>
  <c r="E42" i="21"/>
  <c r="F42" i="21"/>
  <c r="G42" i="21"/>
  <c r="H42" i="21"/>
  <c r="I42" i="21"/>
  <c r="B42" i="21" s="1"/>
  <c r="J42" i="21"/>
  <c r="L42" i="21"/>
  <c r="M42" i="21"/>
  <c r="N42" i="21"/>
  <c r="O42" i="21"/>
  <c r="P42" i="21"/>
  <c r="Q42" i="21"/>
  <c r="AB42" i="21"/>
  <c r="BG42" i="21"/>
  <c r="BU42" i="21"/>
  <c r="C43" i="21"/>
  <c r="E43" i="21"/>
  <c r="F43" i="21"/>
  <c r="G43" i="21"/>
  <c r="H43" i="21"/>
  <c r="I43" i="21"/>
  <c r="B43" i="21" s="1"/>
  <c r="J43" i="21"/>
  <c r="L43" i="21"/>
  <c r="M43" i="21"/>
  <c r="N43" i="21"/>
  <c r="O43" i="21"/>
  <c r="P43" i="21"/>
  <c r="Q43" i="21"/>
  <c r="AB43" i="21"/>
  <c r="BG43" i="21"/>
  <c r="BU43" i="21"/>
  <c r="C44" i="21"/>
  <c r="E44" i="21"/>
  <c r="F44" i="21"/>
  <c r="G44" i="21"/>
  <c r="H44" i="21"/>
  <c r="I44" i="21"/>
  <c r="B44" i="21" s="1"/>
  <c r="J44" i="21"/>
  <c r="L44" i="21"/>
  <c r="M44" i="21"/>
  <c r="N44" i="21"/>
  <c r="O44" i="21"/>
  <c r="P44" i="21"/>
  <c r="Q44" i="21"/>
  <c r="AB44" i="21"/>
  <c r="BG44" i="21"/>
  <c r="BU44" i="21"/>
  <c r="C45" i="21"/>
  <c r="E45" i="21"/>
  <c r="F45" i="21"/>
  <c r="G45" i="21"/>
  <c r="H45" i="21"/>
  <c r="I45" i="21"/>
  <c r="B45" i="21" s="1"/>
  <c r="J45" i="21"/>
  <c r="L45" i="21"/>
  <c r="M45" i="21"/>
  <c r="N45" i="21"/>
  <c r="O45" i="21"/>
  <c r="P45" i="21"/>
  <c r="Q45" i="21"/>
  <c r="AB45" i="21"/>
  <c r="BG45" i="21"/>
  <c r="BU45" i="21"/>
  <c r="C46" i="21"/>
  <c r="E46" i="21"/>
  <c r="F46" i="21"/>
  <c r="G46" i="21"/>
  <c r="H46" i="21"/>
  <c r="I46" i="21"/>
  <c r="B46" i="21" s="1"/>
  <c r="J46" i="21"/>
  <c r="L46" i="21"/>
  <c r="M46" i="21"/>
  <c r="N46" i="21"/>
  <c r="O46" i="21"/>
  <c r="P46" i="21"/>
  <c r="Q46" i="21"/>
  <c r="AB46" i="21"/>
  <c r="BG46" i="21"/>
  <c r="BU46" i="21"/>
  <c r="C47" i="21"/>
  <c r="E47" i="21"/>
  <c r="F47" i="21"/>
  <c r="G47" i="21"/>
  <c r="H47" i="21"/>
  <c r="I47" i="21"/>
  <c r="B47" i="21" s="1"/>
  <c r="J47" i="21"/>
  <c r="L47" i="21"/>
  <c r="M47" i="21"/>
  <c r="N47" i="21"/>
  <c r="O47" i="21"/>
  <c r="P47" i="21"/>
  <c r="Q47" i="21"/>
  <c r="AB47" i="21"/>
  <c r="BG47" i="21"/>
  <c r="BU47" i="21"/>
  <c r="C48" i="21"/>
  <c r="E48" i="21"/>
  <c r="F48" i="21"/>
  <c r="G48" i="21"/>
  <c r="H48" i="21"/>
  <c r="I48" i="21"/>
  <c r="B48" i="21" s="1"/>
  <c r="J48" i="21"/>
  <c r="L48" i="21"/>
  <c r="M48" i="21"/>
  <c r="N48" i="21"/>
  <c r="O48" i="21"/>
  <c r="P48" i="21"/>
  <c r="Q48" i="21"/>
  <c r="AB48" i="21"/>
  <c r="BG48" i="21"/>
  <c r="BU48" i="21"/>
  <c r="C49" i="21"/>
  <c r="E49" i="21"/>
  <c r="F49" i="21"/>
  <c r="G49" i="21"/>
  <c r="H49" i="21"/>
  <c r="I49" i="21"/>
  <c r="B49" i="21" s="1"/>
  <c r="J49" i="21"/>
  <c r="L49" i="21"/>
  <c r="M49" i="21"/>
  <c r="N49" i="21"/>
  <c r="O49" i="21"/>
  <c r="P49" i="21"/>
  <c r="Q49" i="21"/>
  <c r="AB49" i="21"/>
  <c r="BG49" i="21"/>
  <c r="BU49" i="21"/>
  <c r="C50" i="21"/>
  <c r="E50" i="21"/>
  <c r="F50" i="21"/>
  <c r="G50" i="21"/>
  <c r="H50" i="21"/>
  <c r="I50" i="21"/>
  <c r="B50" i="21" s="1"/>
  <c r="J50" i="21"/>
  <c r="L50" i="21"/>
  <c r="M50" i="21"/>
  <c r="N50" i="21"/>
  <c r="O50" i="21"/>
  <c r="P50" i="21"/>
  <c r="Q50" i="21"/>
  <c r="AB50" i="21"/>
  <c r="BG50" i="21"/>
  <c r="BU50" i="21"/>
  <c r="C51" i="21"/>
  <c r="E51" i="21"/>
  <c r="F51" i="21"/>
  <c r="G51" i="21"/>
  <c r="H51" i="21"/>
  <c r="I51" i="21"/>
  <c r="B51" i="21" s="1"/>
  <c r="J51" i="21"/>
  <c r="L51" i="21"/>
  <c r="M51" i="21"/>
  <c r="N51" i="21"/>
  <c r="O51" i="21"/>
  <c r="P51" i="21"/>
  <c r="Q51" i="21"/>
  <c r="AB51" i="21"/>
  <c r="BG51" i="21"/>
  <c r="BU51" i="21"/>
  <c r="C52" i="21"/>
  <c r="E52" i="21"/>
  <c r="F52" i="21"/>
  <c r="G52" i="21"/>
  <c r="H52" i="21"/>
  <c r="I52" i="21"/>
  <c r="B52" i="21" s="1"/>
  <c r="J52" i="21"/>
  <c r="L52" i="21"/>
  <c r="M52" i="21"/>
  <c r="N52" i="21"/>
  <c r="O52" i="21"/>
  <c r="P52" i="21"/>
  <c r="Q52" i="21"/>
  <c r="AB52" i="21"/>
  <c r="BG52" i="21"/>
  <c r="BU52" i="21"/>
  <c r="C53" i="21"/>
  <c r="E53" i="21"/>
  <c r="F53" i="21"/>
  <c r="G53" i="21"/>
  <c r="H53" i="21"/>
  <c r="I53" i="21"/>
  <c r="B53" i="21" s="1"/>
  <c r="J53" i="21"/>
  <c r="L53" i="21"/>
  <c r="M53" i="21"/>
  <c r="N53" i="21"/>
  <c r="O53" i="21"/>
  <c r="P53" i="21"/>
  <c r="Q53" i="21"/>
  <c r="AB53" i="21"/>
  <c r="BG53" i="21"/>
  <c r="BU53" i="21"/>
  <c r="C54" i="21"/>
  <c r="E54" i="21"/>
  <c r="F54" i="21"/>
  <c r="G54" i="21"/>
  <c r="H54" i="21"/>
  <c r="I54" i="21"/>
  <c r="B54" i="21" s="1"/>
  <c r="J54" i="21"/>
  <c r="L54" i="21"/>
  <c r="M54" i="21"/>
  <c r="N54" i="21"/>
  <c r="O54" i="21"/>
  <c r="P54" i="21"/>
  <c r="Q54" i="21"/>
  <c r="AB54" i="21"/>
  <c r="BG54" i="21"/>
  <c r="BU54" i="21"/>
  <c r="C55" i="21"/>
  <c r="E55" i="21"/>
  <c r="F55" i="21"/>
  <c r="G55" i="21"/>
  <c r="H55" i="21"/>
  <c r="I55" i="21"/>
  <c r="B55" i="21" s="1"/>
  <c r="J55" i="21"/>
  <c r="L55" i="21"/>
  <c r="M55" i="21"/>
  <c r="N55" i="21"/>
  <c r="O55" i="21"/>
  <c r="P55" i="21"/>
  <c r="Q55" i="21"/>
  <c r="AB55" i="21"/>
  <c r="BG55" i="21"/>
  <c r="BU55" i="21"/>
  <c r="C56" i="21"/>
  <c r="E56" i="21"/>
  <c r="F56" i="21"/>
  <c r="G56" i="21"/>
  <c r="H56" i="21"/>
  <c r="I56" i="21"/>
  <c r="B56" i="21" s="1"/>
  <c r="J56" i="21"/>
  <c r="L56" i="21"/>
  <c r="M56" i="21"/>
  <c r="N56" i="21"/>
  <c r="O56" i="21"/>
  <c r="P56" i="21"/>
  <c r="Q56" i="21"/>
  <c r="AB56" i="21"/>
  <c r="BG56" i="21"/>
  <c r="BU56" i="21"/>
  <c r="C57" i="21"/>
  <c r="E57" i="21"/>
  <c r="F57" i="21"/>
  <c r="G57" i="21"/>
  <c r="H57" i="21"/>
  <c r="I57" i="21"/>
  <c r="B57" i="21" s="1"/>
  <c r="J57" i="21"/>
  <c r="L57" i="21"/>
  <c r="M57" i="21"/>
  <c r="N57" i="21"/>
  <c r="O57" i="21"/>
  <c r="P57" i="21"/>
  <c r="Q57" i="21"/>
  <c r="AB57" i="21"/>
  <c r="BG57" i="21"/>
  <c r="BU57" i="21"/>
  <c r="C58" i="21"/>
  <c r="E58" i="21"/>
  <c r="F58" i="21"/>
  <c r="G58" i="21"/>
  <c r="H58" i="21"/>
  <c r="I58" i="21"/>
  <c r="B58" i="21" s="1"/>
  <c r="J58" i="21"/>
  <c r="L58" i="21"/>
  <c r="M58" i="21"/>
  <c r="N58" i="21"/>
  <c r="O58" i="21"/>
  <c r="P58" i="21"/>
  <c r="Q58" i="21"/>
  <c r="AB58" i="21"/>
  <c r="BG58" i="21"/>
  <c r="BU58" i="21"/>
  <c r="C59" i="21"/>
  <c r="E59" i="21"/>
  <c r="F59" i="21"/>
  <c r="G59" i="21"/>
  <c r="H59" i="21"/>
  <c r="I59" i="21"/>
  <c r="B59" i="21" s="1"/>
  <c r="J59" i="21"/>
  <c r="L59" i="21"/>
  <c r="M59" i="21"/>
  <c r="N59" i="21"/>
  <c r="O59" i="21"/>
  <c r="P59" i="21"/>
  <c r="Q59" i="21"/>
  <c r="AB59" i="21"/>
  <c r="BG59" i="21"/>
  <c r="BU59" i="21"/>
  <c r="C60" i="21"/>
  <c r="E60" i="21"/>
  <c r="F60" i="21"/>
  <c r="G60" i="21"/>
  <c r="H60" i="21"/>
  <c r="I60" i="21"/>
  <c r="B60" i="21" s="1"/>
  <c r="J60" i="21"/>
  <c r="L60" i="21"/>
  <c r="M60" i="21"/>
  <c r="N60" i="21"/>
  <c r="O60" i="21"/>
  <c r="P60" i="21"/>
  <c r="Q60" i="21"/>
  <c r="AB60" i="21"/>
  <c r="BG60" i="21"/>
  <c r="BU60" i="21"/>
  <c r="C61" i="21"/>
  <c r="E61" i="21"/>
  <c r="F61" i="21"/>
  <c r="G61" i="21"/>
  <c r="H61" i="21"/>
  <c r="I61" i="21"/>
  <c r="B61" i="21" s="1"/>
  <c r="J61" i="21"/>
  <c r="L61" i="21"/>
  <c r="M61" i="21"/>
  <c r="N61" i="21"/>
  <c r="O61" i="21"/>
  <c r="P61" i="21"/>
  <c r="Q61" i="21"/>
  <c r="AB61" i="21"/>
  <c r="BG61" i="21"/>
  <c r="BU61" i="21"/>
  <c r="C62" i="21"/>
  <c r="E62" i="21"/>
  <c r="F62" i="21"/>
  <c r="G62" i="21"/>
  <c r="H62" i="21"/>
  <c r="I62" i="21"/>
  <c r="B62" i="21" s="1"/>
  <c r="J62" i="21"/>
  <c r="L62" i="21"/>
  <c r="M62" i="21"/>
  <c r="N62" i="21"/>
  <c r="O62" i="21"/>
  <c r="P62" i="21"/>
  <c r="Q62" i="21"/>
  <c r="AB62" i="21"/>
  <c r="BG62" i="21"/>
  <c r="BU62" i="21"/>
  <c r="C63" i="21"/>
  <c r="E63" i="21"/>
  <c r="F63" i="21"/>
  <c r="G63" i="21"/>
  <c r="H63" i="21"/>
  <c r="I63" i="21"/>
  <c r="B63" i="21" s="1"/>
  <c r="J63" i="21"/>
  <c r="L63" i="21"/>
  <c r="M63" i="21"/>
  <c r="N63" i="21"/>
  <c r="O63" i="21"/>
  <c r="P63" i="21"/>
  <c r="Q63" i="21"/>
  <c r="AB63" i="21"/>
  <c r="BG63" i="21"/>
  <c r="BU63" i="21"/>
  <c r="C64" i="21"/>
  <c r="E64" i="21"/>
  <c r="F64" i="21"/>
  <c r="G64" i="21"/>
  <c r="H64" i="21"/>
  <c r="I64" i="21"/>
  <c r="B64" i="21" s="1"/>
  <c r="J64" i="21"/>
  <c r="L64" i="21"/>
  <c r="M64" i="21"/>
  <c r="N64" i="21"/>
  <c r="O64" i="21"/>
  <c r="P64" i="21"/>
  <c r="Q64" i="21"/>
  <c r="AB64" i="21"/>
  <c r="BG64" i="21"/>
  <c r="BU64" i="21"/>
  <c r="C65" i="21"/>
  <c r="E65" i="21"/>
  <c r="F65" i="21"/>
  <c r="G65" i="21"/>
  <c r="H65" i="21"/>
  <c r="I65" i="21"/>
  <c r="B65" i="21" s="1"/>
  <c r="J65" i="21"/>
  <c r="L65" i="21"/>
  <c r="M65" i="21"/>
  <c r="N65" i="21"/>
  <c r="O65" i="21"/>
  <c r="P65" i="21"/>
  <c r="Q65" i="21"/>
  <c r="AB65" i="21"/>
  <c r="BG65" i="21"/>
  <c r="BU65" i="21"/>
  <c r="C66" i="21"/>
  <c r="E66" i="21"/>
  <c r="F66" i="21"/>
  <c r="G66" i="21"/>
  <c r="H66" i="21"/>
  <c r="I66" i="21"/>
  <c r="B66" i="21" s="1"/>
  <c r="J66" i="21"/>
  <c r="L66" i="21"/>
  <c r="M66" i="21"/>
  <c r="N66" i="21"/>
  <c r="O66" i="21"/>
  <c r="P66" i="21"/>
  <c r="Q66" i="21"/>
  <c r="AB66" i="21"/>
  <c r="BG66" i="21"/>
  <c r="BU66" i="21"/>
  <c r="C67" i="21"/>
  <c r="E67" i="21"/>
  <c r="F67" i="21"/>
  <c r="G67" i="21"/>
  <c r="H67" i="21"/>
  <c r="I67" i="21"/>
  <c r="B67" i="21" s="1"/>
  <c r="J67" i="21"/>
  <c r="L67" i="21"/>
  <c r="M67" i="21"/>
  <c r="N67" i="21"/>
  <c r="O67" i="21"/>
  <c r="P67" i="21"/>
  <c r="Q67" i="21"/>
  <c r="AB67" i="21"/>
  <c r="BG67" i="21"/>
  <c r="BU67" i="21"/>
  <c r="C68" i="21"/>
  <c r="E68" i="21"/>
  <c r="F68" i="21"/>
  <c r="G68" i="21"/>
  <c r="H68" i="21"/>
  <c r="I68" i="21"/>
  <c r="B68" i="21" s="1"/>
  <c r="J68" i="21"/>
  <c r="L68" i="21"/>
  <c r="M68" i="21"/>
  <c r="N68" i="21"/>
  <c r="O68" i="21"/>
  <c r="P68" i="21"/>
  <c r="Q68" i="21"/>
  <c r="AB68" i="21"/>
  <c r="BG68" i="21"/>
  <c r="BU68" i="21"/>
  <c r="C69" i="21"/>
  <c r="E69" i="21"/>
  <c r="F69" i="21"/>
  <c r="G69" i="21"/>
  <c r="H69" i="21"/>
  <c r="I69" i="21"/>
  <c r="B69" i="21" s="1"/>
  <c r="J69" i="21"/>
  <c r="L69" i="21"/>
  <c r="M69" i="21"/>
  <c r="N69" i="21"/>
  <c r="O69" i="21"/>
  <c r="P69" i="21"/>
  <c r="Q69" i="21"/>
  <c r="AB69" i="21"/>
  <c r="BG69" i="21"/>
  <c r="BU69" i="21"/>
  <c r="C70" i="21"/>
  <c r="E70" i="21"/>
  <c r="F70" i="21"/>
  <c r="G70" i="21"/>
  <c r="H70" i="21"/>
  <c r="I70" i="21"/>
  <c r="B70" i="21" s="1"/>
  <c r="J70" i="21"/>
  <c r="L70" i="21"/>
  <c r="M70" i="21"/>
  <c r="N70" i="21"/>
  <c r="O70" i="21"/>
  <c r="P70" i="21"/>
  <c r="Q70" i="21"/>
  <c r="AB70" i="21"/>
  <c r="BG70" i="21"/>
  <c r="BU70" i="21"/>
  <c r="C71" i="21"/>
  <c r="E71" i="21"/>
  <c r="F71" i="21"/>
  <c r="G71" i="21"/>
  <c r="H71" i="21"/>
  <c r="I71" i="21"/>
  <c r="B71" i="21" s="1"/>
  <c r="J71" i="21"/>
  <c r="L71" i="21"/>
  <c r="M71" i="21"/>
  <c r="N71" i="21"/>
  <c r="O71" i="21"/>
  <c r="P71" i="21"/>
  <c r="Q71" i="21"/>
  <c r="AB71" i="21"/>
  <c r="BG71" i="21"/>
  <c r="BU71" i="21"/>
  <c r="C72" i="21"/>
  <c r="E72" i="21"/>
  <c r="F72" i="21"/>
  <c r="G72" i="21"/>
  <c r="H72" i="21"/>
  <c r="I72" i="21"/>
  <c r="B72" i="21" s="1"/>
  <c r="J72" i="21"/>
  <c r="L72" i="21"/>
  <c r="M72" i="21"/>
  <c r="N72" i="21"/>
  <c r="O72" i="21"/>
  <c r="P72" i="21"/>
  <c r="Q72" i="21"/>
  <c r="AB72" i="21"/>
  <c r="BG72" i="21"/>
  <c r="BU72" i="21"/>
  <c r="C73" i="21"/>
  <c r="E73" i="21"/>
  <c r="F73" i="21"/>
  <c r="G73" i="21"/>
  <c r="H73" i="21"/>
  <c r="I73" i="21"/>
  <c r="B73" i="21" s="1"/>
  <c r="J73" i="21"/>
  <c r="L73" i="21"/>
  <c r="M73" i="21"/>
  <c r="N73" i="21"/>
  <c r="O73" i="21"/>
  <c r="P73" i="21"/>
  <c r="Q73" i="21"/>
  <c r="AB73" i="21"/>
  <c r="BG73" i="21"/>
  <c r="BU73" i="21"/>
  <c r="C74" i="21"/>
  <c r="E74" i="21"/>
  <c r="F74" i="21"/>
  <c r="G74" i="21"/>
  <c r="H74" i="21"/>
  <c r="I74" i="21"/>
  <c r="B74" i="21" s="1"/>
  <c r="J74" i="21"/>
  <c r="L74" i="21"/>
  <c r="M74" i="21"/>
  <c r="N74" i="21"/>
  <c r="O74" i="21"/>
  <c r="P74" i="21"/>
  <c r="Q74" i="21"/>
  <c r="AB74" i="21"/>
  <c r="BG74" i="21"/>
  <c r="BU74" i="21"/>
  <c r="C75" i="21"/>
  <c r="E75" i="21"/>
  <c r="F75" i="21"/>
  <c r="G75" i="21"/>
  <c r="H75" i="21"/>
  <c r="I75" i="21"/>
  <c r="B75" i="21" s="1"/>
  <c r="J75" i="21"/>
  <c r="L75" i="21"/>
  <c r="M75" i="21"/>
  <c r="N75" i="21"/>
  <c r="O75" i="21"/>
  <c r="P75" i="21"/>
  <c r="Q75" i="21"/>
  <c r="AB75" i="21"/>
  <c r="BG75" i="21"/>
  <c r="BU75" i="21"/>
  <c r="C76" i="21"/>
  <c r="E76" i="21"/>
  <c r="F76" i="21"/>
  <c r="G76" i="21"/>
  <c r="H76" i="21"/>
  <c r="I76" i="21"/>
  <c r="B76" i="21" s="1"/>
  <c r="J76" i="21"/>
  <c r="L76" i="21"/>
  <c r="M76" i="21"/>
  <c r="N76" i="21"/>
  <c r="O76" i="21"/>
  <c r="P76" i="21"/>
  <c r="Q76" i="21"/>
  <c r="AB76" i="21"/>
  <c r="BG76" i="21"/>
  <c r="BU76" i="21"/>
  <c r="C77" i="21"/>
  <c r="E77" i="21"/>
  <c r="F77" i="21"/>
  <c r="G77" i="21"/>
  <c r="H77" i="21"/>
  <c r="I77" i="21"/>
  <c r="B77" i="21" s="1"/>
  <c r="J77" i="21"/>
  <c r="L77" i="21"/>
  <c r="M77" i="21"/>
  <c r="N77" i="21"/>
  <c r="O77" i="21"/>
  <c r="P77" i="21"/>
  <c r="Q77" i="21"/>
  <c r="AB77" i="21"/>
  <c r="BG77" i="21"/>
  <c r="BU77" i="21"/>
  <c r="C78" i="21"/>
  <c r="E78" i="21"/>
  <c r="F78" i="21"/>
  <c r="G78" i="21"/>
  <c r="H78" i="21"/>
  <c r="I78" i="21"/>
  <c r="B78" i="21" s="1"/>
  <c r="J78" i="21"/>
  <c r="L78" i="21"/>
  <c r="M78" i="21"/>
  <c r="N78" i="21"/>
  <c r="O78" i="21"/>
  <c r="P78" i="21"/>
  <c r="Q78" i="21"/>
  <c r="AB78" i="21"/>
  <c r="BG78" i="21"/>
  <c r="BU78" i="21"/>
  <c r="C79" i="21"/>
  <c r="E79" i="21"/>
  <c r="F79" i="21"/>
  <c r="G79" i="21"/>
  <c r="H79" i="21"/>
  <c r="I79" i="21"/>
  <c r="B79" i="21" s="1"/>
  <c r="J79" i="21"/>
  <c r="L79" i="21"/>
  <c r="M79" i="21"/>
  <c r="N79" i="21"/>
  <c r="O79" i="21"/>
  <c r="P79" i="21"/>
  <c r="Q79" i="21"/>
  <c r="AB79" i="21"/>
  <c r="BG79" i="21"/>
  <c r="BU79" i="21"/>
  <c r="C80" i="21"/>
  <c r="E80" i="21"/>
  <c r="F80" i="21"/>
  <c r="G80" i="21"/>
  <c r="H80" i="21"/>
  <c r="I80" i="21"/>
  <c r="B80" i="21" s="1"/>
  <c r="J80" i="21"/>
  <c r="L80" i="21"/>
  <c r="M80" i="21"/>
  <c r="N80" i="21"/>
  <c r="O80" i="21"/>
  <c r="P80" i="21"/>
  <c r="Q80" i="21"/>
  <c r="AB80" i="21"/>
  <c r="BG80" i="21"/>
  <c r="BU80" i="21"/>
  <c r="C81" i="21"/>
  <c r="E81" i="21"/>
  <c r="F81" i="21"/>
  <c r="G81" i="21"/>
  <c r="H81" i="21"/>
  <c r="I81" i="21"/>
  <c r="B81" i="21" s="1"/>
  <c r="J81" i="21"/>
  <c r="L81" i="21"/>
  <c r="M81" i="21"/>
  <c r="N81" i="21"/>
  <c r="O81" i="21"/>
  <c r="P81" i="21"/>
  <c r="Q81" i="21"/>
  <c r="AB81" i="21"/>
  <c r="BG81" i="21"/>
  <c r="BU81" i="21"/>
  <c r="C82" i="21"/>
  <c r="E82" i="21"/>
  <c r="F82" i="21"/>
  <c r="G82" i="21"/>
  <c r="H82" i="21"/>
  <c r="I82" i="21"/>
  <c r="B82" i="21" s="1"/>
  <c r="J82" i="21"/>
  <c r="L82" i="21"/>
  <c r="M82" i="21"/>
  <c r="N82" i="21"/>
  <c r="O82" i="21"/>
  <c r="P82" i="21"/>
  <c r="Q82" i="21"/>
  <c r="AB82" i="21"/>
  <c r="BG82" i="21"/>
  <c r="BU82" i="21"/>
  <c r="C83" i="21"/>
  <c r="E83" i="21"/>
  <c r="F83" i="21"/>
  <c r="G83" i="21"/>
  <c r="H83" i="21"/>
  <c r="I83" i="21"/>
  <c r="B83" i="21" s="1"/>
  <c r="J83" i="21"/>
  <c r="L83" i="21"/>
  <c r="M83" i="21"/>
  <c r="N83" i="21"/>
  <c r="O83" i="21"/>
  <c r="P83" i="21"/>
  <c r="Q83" i="21"/>
  <c r="AB83" i="21"/>
  <c r="BG83" i="21"/>
  <c r="BU83" i="21"/>
  <c r="C84" i="21"/>
  <c r="E84" i="21"/>
  <c r="F84" i="21"/>
  <c r="G84" i="21"/>
  <c r="H84" i="21"/>
  <c r="I84" i="21"/>
  <c r="B84" i="21" s="1"/>
  <c r="J84" i="21"/>
  <c r="L84" i="21"/>
  <c r="M84" i="21"/>
  <c r="N84" i="21"/>
  <c r="O84" i="21"/>
  <c r="P84" i="21"/>
  <c r="Q84" i="21"/>
  <c r="AB84" i="21"/>
  <c r="BG84" i="21"/>
  <c r="BU84" i="21"/>
  <c r="C85" i="21"/>
  <c r="E85" i="21"/>
  <c r="F85" i="21"/>
  <c r="G85" i="21"/>
  <c r="H85" i="21"/>
  <c r="I85" i="21"/>
  <c r="B85" i="21" s="1"/>
  <c r="J85" i="21"/>
  <c r="L85" i="21"/>
  <c r="M85" i="21"/>
  <c r="N85" i="21"/>
  <c r="O85" i="21"/>
  <c r="P85" i="21"/>
  <c r="Q85" i="21"/>
  <c r="AB85" i="21"/>
  <c r="BG85" i="21"/>
  <c r="BU85" i="21"/>
  <c r="C86" i="21"/>
  <c r="E86" i="21"/>
  <c r="F86" i="21"/>
  <c r="G86" i="21"/>
  <c r="H86" i="21"/>
  <c r="I86" i="21"/>
  <c r="B86" i="21" s="1"/>
  <c r="J86" i="21"/>
  <c r="L86" i="21"/>
  <c r="M86" i="21"/>
  <c r="N86" i="21"/>
  <c r="O86" i="21"/>
  <c r="P86" i="21"/>
  <c r="Q86" i="21"/>
  <c r="AB86" i="21"/>
  <c r="BG86" i="21"/>
  <c r="BU86" i="21"/>
  <c r="C87" i="21"/>
  <c r="E87" i="21"/>
  <c r="F87" i="21"/>
  <c r="G87" i="21"/>
  <c r="H87" i="21"/>
  <c r="I87" i="21"/>
  <c r="B87" i="21" s="1"/>
  <c r="J87" i="21"/>
  <c r="L87" i="21"/>
  <c r="M87" i="21"/>
  <c r="N87" i="21"/>
  <c r="O87" i="21"/>
  <c r="P87" i="21"/>
  <c r="Q87" i="21"/>
  <c r="AB87" i="21"/>
  <c r="BG87" i="21"/>
  <c r="BU87" i="21"/>
  <c r="C88" i="21"/>
  <c r="E88" i="21"/>
  <c r="F88" i="21"/>
  <c r="G88" i="21"/>
  <c r="H88" i="21"/>
  <c r="I88" i="21"/>
  <c r="B88" i="21" s="1"/>
  <c r="J88" i="21"/>
  <c r="L88" i="21"/>
  <c r="M88" i="21"/>
  <c r="N88" i="21"/>
  <c r="O88" i="21"/>
  <c r="P88" i="21"/>
  <c r="Q88" i="21"/>
  <c r="AB88" i="21"/>
  <c r="BG88" i="21"/>
  <c r="BU88" i="21"/>
  <c r="C89" i="21"/>
  <c r="E89" i="21"/>
  <c r="F89" i="21"/>
  <c r="G89" i="21"/>
  <c r="H89" i="21"/>
  <c r="I89" i="21"/>
  <c r="B89" i="21" s="1"/>
  <c r="J89" i="21"/>
  <c r="L89" i="21"/>
  <c r="M89" i="21"/>
  <c r="N89" i="21"/>
  <c r="O89" i="21"/>
  <c r="P89" i="21"/>
  <c r="Q89" i="21"/>
  <c r="AB89" i="21"/>
  <c r="BG89" i="21"/>
  <c r="BU89" i="21"/>
  <c r="C90" i="21"/>
  <c r="E90" i="21"/>
  <c r="F90" i="21"/>
  <c r="G90" i="21"/>
  <c r="H90" i="21"/>
  <c r="I90" i="21"/>
  <c r="B90" i="21" s="1"/>
  <c r="J90" i="21"/>
  <c r="L90" i="21"/>
  <c r="M90" i="21"/>
  <c r="N90" i="21"/>
  <c r="O90" i="21"/>
  <c r="P90" i="21"/>
  <c r="Q90" i="21"/>
  <c r="AB90" i="21"/>
  <c r="BG90" i="21"/>
  <c r="BU90" i="21"/>
  <c r="C91" i="21"/>
  <c r="E91" i="21"/>
  <c r="F91" i="21"/>
  <c r="G91" i="21"/>
  <c r="H91" i="21"/>
  <c r="I91" i="21"/>
  <c r="B91" i="21" s="1"/>
  <c r="J91" i="21"/>
  <c r="L91" i="21"/>
  <c r="M91" i="21"/>
  <c r="N91" i="21"/>
  <c r="O91" i="21"/>
  <c r="P91" i="21"/>
  <c r="Q91" i="21"/>
  <c r="AB91" i="21"/>
  <c r="BG91" i="21"/>
  <c r="BU91" i="21"/>
  <c r="C92" i="21"/>
  <c r="E92" i="21"/>
  <c r="F92" i="21"/>
  <c r="G92" i="21"/>
  <c r="H92" i="21"/>
  <c r="I92" i="21"/>
  <c r="B92" i="21" s="1"/>
  <c r="J92" i="21"/>
  <c r="L92" i="21"/>
  <c r="M92" i="21"/>
  <c r="N92" i="21"/>
  <c r="O92" i="21"/>
  <c r="P92" i="21"/>
  <c r="Q92" i="21"/>
  <c r="AB92" i="21"/>
  <c r="BG92" i="21"/>
  <c r="BU92" i="21"/>
  <c r="C93" i="21"/>
  <c r="E93" i="21"/>
  <c r="F93" i="21"/>
  <c r="G93" i="21"/>
  <c r="H93" i="21"/>
  <c r="I93" i="21"/>
  <c r="B93" i="21" s="1"/>
  <c r="J93" i="21"/>
  <c r="L93" i="21"/>
  <c r="M93" i="21"/>
  <c r="N93" i="21"/>
  <c r="O93" i="21"/>
  <c r="P93" i="21"/>
  <c r="Q93" i="21"/>
  <c r="AB93" i="21"/>
  <c r="BG93" i="21"/>
  <c r="BU93" i="21"/>
  <c r="C94" i="21"/>
  <c r="E94" i="21"/>
  <c r="F94" i="21"/>
  <c r="G94" i="21"/>
  <c r="H94" i="21"/>
  <c r="I94" i="21"/>
  <c r="B94" i="21" s="1"/>
  <c r="J94" i="21"/>
  <c r="L94" i="21"/>
  <c r="M94" i="21"/>
  <c r="N94" i="21"/>
  <c r="O94" i="21"/>
  <c r="P94" i="21"/>
  <c r="Q94" i="21"/>
  <c r="AB94" i="21"/>
  <c r="BG94" i="21"/>
  <c r="BU94" i="21"/>
  <c r="C95" i="21"/>
  <c r="E95" i="21"/>
  <c r="F95" i="21"/>
  <c r="G95" i="21"/>
  <c r="H95" i="21"/>
  <c r="I95" i="21"/>
  <c r="B95" i="21" s="1"/>
  <c r="J95" i="21"/>
  <c r="L95" i="21"/>
  <c r="M95" i="21"/>
  <c r="N95" i="21"/>
  <c r="O95" i="21"/>
  <c r="P95" i="21"/>
  <c r="Q95" i="21"/>
  <c r="AB95" i="21"/>
  <c r="BG95" i="21"/>
  <c r="BU95" i="21"/>
  <c r="C96" i="21"/>
  <c r="E96" i="21"/>
  <c r="F96" i="21"/>
  <c r="G96" i="21"/>
  <c r="H96" i="21"/>
  <c r="I96" i="21"/>
  <c r="B96" i="21" s="1"/>
  <c r="J96" i="21"/>
  <c r="L96" i="21"/>
  <c r="M96" i="21"/>
  <c r="N96" i="21"/>
  <c r="O96" i="21"/>
  <c r="P96" i="21"/>
  <c r="Q96" i="21"/>
  <c r="AB96" i="21"/>
  <c r="BG96" i="21"/>
  <c r="BU96" i="21"/>
  <c r="C97" i="21"/>
  <c r="E97" i="21"/>
  <c r="F97" i="21"/>
  <c r="G97" i="21"/>
  <c r="H97" i="21"/>
  <c r="I97" i="21"/>
  <c r="B97" i="21" s="1"/>
  <c r="J97" i="21"/>
  <c r="L97" i="21"/>
  <c r="M97" i="21"/>
  <c r="N97" i="21"/>
  <c r="O97" i="21"/>
  <c r="P97" i="21"/>
  <c r="Q97" i="21"/>
  <c r="AB97" i="21"/>
  <c r="BG97" i="21"/>
  <c r="BU97" i="21"/>
  <c r="C98" i="21"/>
  <c r="E98" i="21"/>
  <c r="F98" i="21"/>
  <c r="G98" i="21"/>
  <c r="H98" i="21"/>
  <c r="I98" i="21"/>
  <c r="B98" i="21" s="1"/>
  <c r="J98" i="21"/>
  <c r="L98" i="21"/>
  <c r="M98" i="21"/>
  <c r="N98" i="21"/>
  <c r="O98" i="21"/>
  <c r="P98" i="21"/>
  <c r="Q98" i="21"/>
  <c r="AB98" i="21"/>
  <c r="BG98" i="21"/>
  <c r="BU98" i="21"/>
  <c r="C99" i="21"/>
  <c r="E99" i="21"/>
  <c r="F99" i="21"/>
  <c r="G99" i="21"/>
  <c r="H99" i="21"/>
  <c r="I99" i="21"/>
  <c r="B99" i="21" s="1"/>
  <c r="J99" i="21"/>
  <c r="L99" i="21"/>
  <c r="M99" i="21"/>
  <c r="N99" i="21"/>
  <c r="O99" i="21"/>
  <c r="P99" i="21"/>
  <c r="Q99" i="21"/>
  <c r="AB99" i="21"/>
  <c r="BG99" i="21"/>
  <c r="BU99" i="21"/>
  <c r="C100" i="21"/>
  <c r="E100" i="21"/>
  <c r="F100" i="21"/>
  <c r="G100" i="21"/>
  <c r="H100" i="21"/>
  <c r="I100" i="21"/>
  <c r="B100" i="21" s="1"/>
  <c r="J100" i="21"/>
  <c r="L100" i="21"/>
  <c r="M100" i="21"/>
  <c r="N100" i="21"/>
  <c r="O100" i="21"/>
  <c r="P100" i="21"/>
  <c r="Q100" i="21"/>
  <c r="AB100" i="21"/>
  <c r="BG100" i="21"/>
  <c r="BU100" i="21"/>
  <c r="C101" i="21"/>
  <c r="E101" i="21"/>
  <c r="F101" i="21"/>
  <c r="G101" i="21"/>
  <c r="H101" i="21"/>
  <c r="I101" i="21"/>
  <c r="B101" i="21" s="1"/>
  <c r="J101" i="21"/>
  <c r="L101" i="21"/>
  <c r="M101" i="21"/>
  <c r="N101" i="21"/>
  <c r="O101" i="21"/>
  <c r="P101" i="21"/>
  <c r="Q101" i="21"/>
  <c r="AB101" i="21"/>
  <c r="BG101" i="21"/>
  <c r="BU101" i="21"/>
  <c r="C102" i="21"/>
  <c r="E102" i="21"/>
  <c r="F102" i="21"/>
  <c r="G102" i="21"/>
  <c r="H102" i="21"/>
  <c r="I102" i="21"/>
  <c r="B102" i="21" s="1"/>
  <c r="J102" i="21"/>
  <c r="L102" i="21"/>
  <c r="M102" i="21"/>
  <c r="N102" i="21"/>
  <c r="O102" i="21"/>
  <c r="P102" i="21"/>
  <c r="Q102" i="21"/>
  <c r="AB102" i="21"/>
  <c r="BG102" i="21"/>
  <c r="BU102" i="21"/>
  <c r="BG4" i="21"/>
  <c r="AB4" i="21"/>
  <c r="N4" i="21"/>
  <c r="L4" i="21"/>
  <c r="E4" i="21"/>
  <c r="Q4" i="21"/>
  <c r="P4" i="21"/>
  <c r="M4" i="21"/>
  <c r="C4" i="21"/>
  <c r="BU4" i="21"/>
  <c r="O4" i="21"/>
  <c r="J4" i="21"/>
  <c r="H4" i="21"/>
  <c r="I4" i="21"/>
  <c r="B4" i="21" s="1"/>
  <c r="F4" i="21"/>
  <c r="B6" i="21" l="1"/>
  <c r="B5" i="21"/>
  <c r="A34" i="41" l="1"/>
  <c r="A3" i="41"/>
  <c r="F35" i="40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H5" i="24" l="1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V3" i="32"/>
  <c r="V4" i="32"/>
  <c r="V5" i="32"/>
  <c r="V6" i="32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1" i="32"/>
  <c r="V22" i="32"/>
  <c r="V23" i="32"/>
  <c r="V24" i="32"/>
  <c r="V25" i="32"/>
  <c r="V26" i="32"/>
  <c r="V27" i="32"/>
  <c r="V28" i="32"/>
  <c r="V29" i="32"/>
  <c r="V30" i="32"/>
  <c r="W30" i="32" s="1"/>
  <c r="V31" i="32"/>
  <c r="W31" i="32" s="1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W33" i="32"/>
  <c r="W34" i="32"/>
  <c r="W35" i="32"/>
  <c r="W36" i="32"/>
  <c r="W37" i="32"/>
  <c r="W38" i="32"/>
  <c r="W39" i="32"/>
  <c r="W40" i="32"/>
  <c r="W41" i="32"/>
  <c r="W42" i="32"/>
  <c r="W43" i="32"/>
  <c r="W44" i="32"/>
  <c r="W45" i="32"/>
  <c r="W46" i="32"/>
  <c r="W47" i="32"/>
  <c r="W48" i="32"/>
  <c r="W49" i="32"/>
  <c r="W50" i="32"/>
  <c r="W51" i="32"/>
  <c r="W52" i="32"/>
  <c r="W53" i="32"/>
  <c r="W54" i="32"/>
  <c r="W55" i="32"/>
  <c r="W56" i="32"/>
  <c r="W57" i="32"/>
  <c r="W58" i="32"/>
  <c r="W59" i="32"/>
  <c r="W60" i="32"/>
  <c r="W61" i="32"/>
  <c r="W62" i="32"/>
  <c r="W63" i="32"/>
  <c r="W64" i="32"/>
  <c r="W65" i="32"/>
  <c r="W66" i="32"/>
  <c r="W67" i="32"/>
  <c r="W68" i="32"/>
  <c r="W69" i="32"/>
  <c r="W70" i="32"/>
  <c r="W71" i="32"/>
  <c r="W72" i="32"/>
  <c r="W73" i="32"/>
  <c r="W74" i="32"/>
  <c r="W75" i="32"/>
  <c r="W76" i="32"/>
  <c r="W77" i="32"/>
  <c r="W78" i="32"/>
  <c r="W79" i="32"/>
  <c r="W80" i="32"/>
  <c r="W81" i="32"/>
  <c r="W82" i="32"/>
  <c r="W83" i="32"/>
  <c r="W84" i="32"/>
  <c r="W85" i="32"/>
  <c r="W86" i="32"/>
  <c r="W87" i="32"/>
  <c r="W88" i="32"/>
  <c r="W89" i="32"/>
  <c r="W90" i="32"/>
  <c r="W91" i="32"/>
  <c r="W92" i="32"/>
  <c r="W93" i="32"/>
  <c r="W94" i="32"/>
  <c r="W95" i="32"/>
  <c r="W96" i="32"/>
  <c r="W97" i="32"/>
  <c r="W98" i="32"/>
  <c r="W99" i="32"/>
  <c r="W100" i="32"/>
  <c r="V2" i="32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W88" i="24"/>
  <c r="W89" i="24"/>
  <c r="W90" i="24"/>
  <c r="W91" i="24"/>
  <c r="W92" i="24"/>
  <c r="W93" i="24"/>
  <c r="W94" i="24"/>
  <c r="W95" i="24"/>
  <c r="W96" i="24"/>
  <c r="W97" i="24"/>
  <c r="W98" i="24"/>
  <c r="W99" i="24"/>
  <c r="W100" i="24"/>
  <c r="W101" i="24"/>
  <c r="W102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C7" i="24"/>
  <c r="D7" i="24"/>
  <c r="F7" i="24"/>
  <c r="C8" i="24"/>
  <c r="D8" i="24"/>
  <c r="F8" i="24"/>
  <c r="C9" i="24"/>
  <c r="D9" i="24"/>
  <c r="F9" i="24"/>
  <c r="C10" i="24"/>
  <c r="D10" i="24"/>
  <c r="F10" i="24"/>
  <c r="B10" i="24"/>
  <c r="C11" i="24"/>
  <c r="D11" i="24"/>
  <c r="F11" i="24"/>
  <c r="B11" i="24"/>
  <c r="C12" i="24"/>
  <c r="D12" i="24"/>
  <c r="F12" i="24"/>
  <c r="B12" i="24"/>
  <c r="C13" i="24"/>
  <c r="D13" i="24"/>
  <c r="F13" i="24"/>
  <c r="B13" i="24"/>
  <c r="C14" i="24"/>
  <c r="D14" i="24"/>
  <c r="F14" i="24"/>
  <c r="B14" i="24"/>
  <c r="C15" i="24"/>
  <c r="D15" i="24"/>
  <c r="F15" i="24"/>
  <c r="B15" i="24"/>
  <c r="C16" i="24"/>
  <c r="D16" i="24"/>
  <c r="F16" i="24"/>
  <c r="B16" i="24"/>
  <c r="C17" i="24"/>
  <c r="D17" i="24"/>
  <c r="F17" i="24"/>
  <c r="B17" i="24"/>
  <c r="C18" i="24"/>
  <c r="D18" i="24"/>
  <c r="F18" i="24"/>
  <c r="B18" i="24"/>
  <c r="C19" i="24"/>
  <c r="D19" i="24"/>
  <c r="F19" i="24"/>
  <c r="B19" i="24"/>
  <c r="C20" i="24"/>
  <c r="D20" i="24"/>
  <c r="F20" i="24"/>
  <c r="B20" i="24"/>
  <c r="C21" i="24"/>
  <c r="D21" i="24"/>
  <c r="F21" i="24"/>
  <c r="B21" i="24"/>
  <c r="C22" i="24"/>
  <c r="D22" i="24"/>
  <c r="F22" i="24"/>
  <c r="B22" i="24"/>
  <c r="C23" i="24"/>
  <c r="D23" i="24"/>
  <c r="F23" i="24"/>
  <c r="B23" i="24"/>
  <c r="C24" i="24"/>
  <c r="D24" i="24"/>
  <c r="F24" i="24"/>
  <c r="B24" i="24"/>
  <c r="C25" i="24"/>
  <c r="D25" i="24"/>
  <c r="F25" i="24"/>
  <c r="B25" i="24"/>
  <c r="C26" i="24"/>
  <c r="D26" i="24"/>
  <c r="F26" i="24"/>
  <c r="B26" i="24"/>
  <c r="C27" i="24"/>
  <c r="D27" i="24"/>
  <c r="F27" i="24"/>
  <c r="B27" i="24"/>
  <c r="C28" i="24"/>
  <c r="D28" i="24"/>
  <c r="F28" i="24"/>
  <c r="B28" i="24"/>
  <c r="C29" i="24"/>
  <c r="D29" i="24"/>
  <c r="F29" i="24"/>
  <c r="B29" i="24"/>
  <c r="C30" i="24"/>
  <c r="D30" i="24"/>
  <c r="F30" i="24"/>
  <c r="B30" i="24"/>
  <c r="C31" i="24"/>
  <c r="D31" i="24"/>
  <c r="F31" i="24"/>
  <c r="B31" i="24"/>
  <c r="C32" i="24"/>
  <c r="D32" i="24"/>
  <c r="F32" i="24"/>
  <c r="B32" i="24"/>
  <c r="C33" i="24"/>
  <c r="D33" i="24"/>
  <c r="F33" i="24"/>
  <c r="B33" i="24"/>
  <c r="C34" i="24"/>
  <c r="D34" i="24"/>
  <c r="F34" i="24"/>
  <c r="B34" i="24"/>
  <c r="C35" i="24"/>
  <c r="D35" i="24"/>
  <c r="F35" i="24"/>
  <c r="B35" i="24"/>
  <c r="C36" i="24"/>
  <c r="D36" i="24"/>
  <c r="F36" i="24"/>
  <c r="B36" i="24"/>
  <c r="C37" i="24"/>
  <c r="D37" i="24"/>
  <c r="F37" i="24"/>
  <c r="B37" i="24"/>
  <c r="C38" i="24"/>
  <c r="D38" i="24"/>
  <c r="F38" i="24"/>
  <c r="B38" i="24"/>
  <c r="C39" i="24"/>
  <c r="D39" i="24"/>
  <c r="F39" i="24"/>
  <c r="B39" i="24"/>
  <c r="C40" i="24"/>
  <c r="D40" i="24"/>
  <c r="F40" i="24"/>
  <c r="B40" i="24"/>
  <c r="C41" i="24"/>
  <c r="D41" i="24"/>
  <c r="F41" i="24"/>
  <c r="B41" i="24"/>
  <c r="C42" i="24"/>
  <c r="D42" i="24"/>
  <c r="F42" i="24"/>
  <c r="B42" i="24"/>
  <c r="C43" i="24"/>
  <c r="D43" i="24"/>
  <c r="F43" i="24"/>
  <c r="B43" i="24"/>
  <c r="C44" i="24"/>
  <c r="D44" i="24"/>
  <c r="F44" i="24"/>
  <c r="B44" i="24"/>
  <c r="C45" i="24"/>
  <c r="D45" i="24"/>
  <c r="F45" i="24"/>
  <c r="B45" i="24"/>
  <c r="C46" i="24"/>
  <c r="D46" i="24"/>
  <c r="F46" i="24"/>
  <c r="B46" i="24"/>
  <c r="C47" i="24"/>
  <c r="D47" i="24"/>
  <c r="F47" i="24"/>
  <c r="B47" i="24"/>
  <c r="C48" i="24"/>
  <c r="D48" i="24"/>
  <c r="F48" i="24"/>
  <c r="B48" i="24"/>
  <c r="C49" i="24"/>
  <c r="D49" i="24"/>
  <c r="F49" i="24"/>
  <c r="B49" i="24"/>
  <c r="C50" i="24"/>
  <c r="D50" i="24"/>
  <c r="F50" i="24"/>
  <c r="B50" i="24"/>
  <c r="C51" i="24"/>
  <c r="D51" i="24"/>
  <c r="F51" i="24"/>
  <c r="B51" i="24"/>
  <c r="C52" i="24"/>
  <c r="D52" i="24"/>
  <c r="F52" i="24"/>
  <c r="B52" i="24"/>
  <c r="C53" i="24"/>
  <c r="D53" i="24"/>
  <c r="F53" i="24"/>
  <c r="B53" i="24"/>
  <c r="C54" i="24"/>
  <c r="D54" i="24"/>
  <c r="F54" i="24"/>
  <c r="B54" i="24"/>
  <c r="C55" i="24"/>
  <c r="D55" i="24"/>
  <c r="F55" i="24"/>
  <c r="B55" i="24"/>
  <c r="C56" i="24"/>
  <c r="D56" i="24"/>
  <c r="F56" i="24"/>
  <c r="B56" i="24"/>
  <c r="C57" i="24"/>
  <c r="D57" i="24"/>
  <c r="F57" i="24"/>
  <c r="B57" i="24"/>
  <c r="C58" i="24"/>
  <c r="D58" i="24"/>
  <c r="F58" i="24"/>
  <c r="B58" i="24"/>
  <c r="C59" i="24"/>
  <c r="D59" i="24"/>
  <c r="F59" i="24"/>
  <c r="B59" i="24"/>
  <c r="C60" i="24"/>
  <c r="D60" i="24"/>
  <c r="F60" i="24"/>
  <c r="B60" i="24"/>
  <c r="C61" i="24"/>
  <c r="D61" i="24"/>
  <c r="F61" i="24"/>
  <c r="B61" i="24"/>
  <c r="C62" i="24"/>
  <c r="D62" i="24"/>
  <c r="F62" i="24"/>
  <c r="B62" i="24"/>
  <c r="C63" i="24"/>
  <c r="D63" i="24"/>
  <c r="F63" i="24"/>
  <c r="B63" i="24"/>
  <c r="C64" i="24"/>
  <c r="D64" i="24"/>
  <c r="F64" i="24"/>
  <c r="B64" i="24"/>
  <c r="C65" i="24"/>
  <c r="D65" i="24"/>
  <c r="F65" i="24"/>
  <c r="B65" i="24"/>
  <c r="C66" i="24"/>
  <c r="D66" i="24"/>
  <c r="F66" i="24"/>
  <c r="B66" i="24"/>
  <c r="C67" i="24"/>
  <c r="D67" i="24"/>
  <c r="F67" i="24"/>
  <c r="B67" i="24"/>
  <c r="C68" i="24"/>
  <c r="D68" i="24"/>
  <c r="F68" i="24"/>
  <c r="B68" i="24"/>
  <c r="C69" i="24"/>
  <c r="D69" i="24"/>
  <c r="F69" i="24"/>
  <c r="B69" i="24"/>
  <c r="C70" i="24"/>
  <c r="D70" i="24"/>
  <c r="F70" i="24"/>
  <c r="B70" i="24"/>
  <c r="C71" i="24"/>
  <c r="D71" i="24"/>
  <c r="F71" i="24"/>
  <c r="B71" i="24"/>
  <c r="C72" i="24"/>
  <c r="D72" i="24"/>
  <c r="F72" i="24"/>
  <c r="B72" i="24"/>
  <c r="C73" i="24"/>
  <c r="D73" i="24"/>
  <c r="F73" i="24"/>
  <c r="B73" i="24"/>
  <c r="C74" i="24"/>
  <c r="D74" i="24"/>
  <c r="F74" i="24"/>
  <c r="B74" i="24"/>
  <c r="C75" i="24"/>
  <c r="D75" i="24"/>
  <c r="F75" i="24"/>
  <c r="B75" i="24"/>
  <c r="C76" i="24"/>
  <c r="D76" i="24"/>
  <c r="F76" i="24"/>
  <c r="B76" i="24"/>
  <c r="C77" i="24"/>
  <c r="D77" i="24"/>
  <c r="F77" i="24"/>
  <c r="B77" i="24"/>
  <c r="C78" i="24"/>
  <c r="D78" i="24"/>
  <c r="F78" i="24"/>
  <c r="B78" i="24"/>
  <c r="C79" i="24"/>
  <c r="D79" i="24"/>
  <c r="F79" i="24"/>
  <c r="B79" i="24"/>
  <c r="C80" i="24"/>
  <c r="D80" i="24"/>
  <c r="F80" i="24"/>
  <c r="B80" i="24"/>
  <c r="C81" i="24"/>
  <c r="D81" i="24"/>
  <c r="F81" i="24"/>
  <c r="B81" i="24"/>
  <c r="C82" i="24"/>
  <c r="D82" i="24"/>
  <c r="F82" i="24"/>
  <c r="B82" i="24"/>
  <c r="C83" i="24"/>
  <c r="D83" i="24"/>
  <c r="F83" i="24"/>
  <c r="B83" i="24"/>
  <c r="C84" i="24"/>
  <c r="D84" i="24"/>
  <c r="F84" i="24"/>
  <c r="B84" i="24"/>
  <c r="C85" i="24"/>
  <c r="D85" i="24"/>
  <c r="F85" i="24"/>
  <c r="B85" i="24"/>
  <c r="C86" i="24"/>
  <c r="D86" i="24"/>
  <c r="F86" i="24"/>
  <c r="B86" i="24"/>
  <c r="C87" i="24"/>
  <c r="D87" i="24"/>
  <c r="F87" i="24"/>
  <c r="B87" i="24"/>
  <c r="C88" i="24"/>
  <c r="D88" i="24"/>
  <c r="F88" i="24"/>
  <c r="B88" i="24"/>
  <c r="C89" i="24"/>
  <c r="D89" i="24"/>
  <c r="F89" i="24"/>
  <c r="B89" i="24"/>
  <c r="C90" i="24"/>
  <c r="D90" i="24"/>
  <c r="F90" i="24"/>
  <c r="B90" i="24"/>
  <c r="C91" i="24"/>
  <c r="D91" i="24"/>
  <c r="F91" i="24"/>
  <c r="B91" i="24"/>
  <c r="C92" i="24"/>
  <c r="D92" i="24"/>
  <c r="F92" i="24"/>
  <c r="B92" i="24"/>
  <c r="C93" i="24"/>
  <c r="D93" i="24"/>
  <c r="F93" i="24"/>
  <c r="B93" i="24"/>
  <c r="C94" i="24"/>
  <c r="D94" i="24"/>
  <c r="F94" i="24"/>
  <c r="B94" i="24"/>
  <c r="C95" i="24"/>
  <c r="D95" i="24"/>
  <c r="F95" i="24"/>
  <c r="B95" i="24"/>
  <c r="C96" i="24"/>
  <c r="D96" i="24"/>
  <c r="F96" i="24"/>
  <c r="B96" i="24"/>
  <c r="C97" i="24"/>
  <c r="D97" i="24"/>
  <c r="F97" i="24"/>
  <c r="B97" i="24"/>
  <c r="C98" i="24"/>
  <c r="D98" i="24"/>
  <c r="F98" i="24"/>
  <c r="B98" i="24"/>
  <c r="C99" i="24"/>
  <c r="D99" i="24"/>
  <c r="F99" i="24"/>
  <c r="B99" i="24"/>
  <c r="C100" i="24"/>
  <c r="D100" i="24"/>
  <c r="F100" i="24"/>
  <c r="B100" i="24"/>
  <c r="C101" i="24"/>
  <c r="D101" i="24"/>
  <c r="F101" i="24"/>
  <c r="B101" i="24"/>
  <c r="C102" i="24"/>
  <c r="D102" i="24"/>
  <c r="F102" i="24"/>
  <c r="B102" i="24"/>
  <c r="C5" i="24"/>
  <c r="D5" i="24"/>
  <c r="F5" i="24"/>
  <c r="M5" i="24"/>
  <c r="W5" i="24"/>
  <c r="C6" i="24"/>
  <c r="D6" i="24"/>
  <c r="F6" i="24"/>
  <c r="M6" i="24"/>
  <c r="B7" i="40" l="1"/>
  <c r="E48" i="41"/>
  <c r="E48" i="37"/>
  <c r="F31" i="23"/>
  <c r="C34" i="30"/>
  <c r="D34" i="29"/>
  <c r="D32" i="28"/>
  <c r="W29" i="32"/>
  <c r="C31" i="30"/>
  <c r="D31" i="29"/>
  <c r="D29" i="28"/>
  <c r="W28" i="32"/>
  <c r="D30" i="29"/>
  <c r="C30" i="30"/>
  <c r="D28" i="28"/>
  <c r="C27" i="30"/>
  <c r="D27" i="29"/>
  <c r="D25" i="28"/>
  <c r="W24" i="32"/>
  <c r="C26" i="30"/>
  <c r="D26" i="29"/>
  <c r="D24" i="28"/>
  <c r="W23" i="32"/>
  <c r="C25" i="30"/>
  <c r="D25" i="29"/>
  <c r="D23" i="28"/>
  <c r="W22" i="32"/>
  <c r="C24" i="30"/>
  <c r="D24" i="29"/>
  <c r="D22" i="28"/>
  <c r="E52" i="41"/>
  <c r="E52" i="37"/>
  <c r="F35" i="23"/>
  <c r="W21" i="32"/>
  <c r="D23" i="29"/>
  <c r="C23" i="30"/>
  <c r="G5" i="21"/>
  <c r="E51" i="37"/>
  <c r="E51" i="41"/>
  <c r="F34" i="23"/>
  <c r="D21" i="29"/>
  <c r="C21" i="30"/>
  <c r="W32" i="32"/>
  <c r="E5" i="24"/>
  <c r="W25" i="32"/>
  <c r="W26" i="32"/>
  <c r="C28" i="30"/>
  <c r="D28" i="29"/>
  <c r="D26" i="28"/>
  <c r="C32" i="30"/>
  <c r="D32" i="29"/>
  <c r="D30" i="28"/>
  <c r="W27" i="32"/>
  <c r="C29" i="30"/>
  <c r="D29" i="29"/>
  <c r="D27" i="28"/>
  <c r="D36" i="29"/>
  <c r="C36" i="30"/>
  <c r="D34" i="28"/>
  <c r="C35" i="30"/>
  <c r="D35" i="29"/>
  <c r="D33" i="28"/>
  <c r="D4" i="28"/>
  <c r="C5" i="30"/>
  <c r="D5" i="29"/>
  <c r="D20" i="29"/>
  <c r="C20" i="30"/>
  <c r="C19" i="30"/>
  <c r="D19" i="29"/>
  <c r="D17" i="29"/>
  <c r="C17" i="30"/>
  <c r="D16" i="29"/>
  <c r="C16" i="30"/>
  <c r="D15" i="29"/>
  <c r="C15" i="30"/>
  <c r="D14" i="29"/>
  <c r="C14" i="30"/>
  <c r="D13" i="29"/>
  <c r="C13" i="30"/>
  <c r="D18" i="29"/>
  <c r="C18" i="30"/>
  <c r="D22" i="29"/>
  <c r="C22" i="30"/>
  <c r="G4" i="21"/>
  <c r="D4" i="29"/>
  <c r="C4" i="30"/>
  <c r="C12" i="30"/>
  <c r="D12" i="29"/>
  <c r="D11" i="29"/>
  <c r="C11" i="30"/>
  <c r="D9" i="28"/>
  <c r="D10" i="29"/>
  <c r="C10" i="30"/>
  <c r="D8" i="28"/>
  <c r="D9" i="29"/>
  <c r="C9" i="30"/>
  <c r="D7" i="28"/>
  <c r="D8" i="29"/>
  <c r="C8" i="30"/>
  <c r="D6" i="28"/>
  <c r="D7" i="29"/>
  <c r="C7" i="30"/>
  <c r="W4" i="32"/>
  <c r="D6" i="29"/>
  <c r="C6" i="30"/>
  <c r="W6" i="32"/>
  <c r="W5" i="32"/>
  <c r="W8" i="32"/>
  <c r="W3" i="32"/>
  <c r="W7" i="32"/>
  <c r="W18" i="32"/>
  <c r="D19" i="28"/>
  <c r="W17" i="32"/>
  <c r="D18" i="28"/>
  <c r="W19" i="32"/>
  <c r="D20" i="28"/>
  <c r="W16" i="32"/>
  <c r="D17" i="28"/>
  <c r="W15" i="32"/>
  <c r="D16" i="28"/>
  <c r="W13" i="32"/>
  <c r="D14" i="28"/>
  <c r="W12" i="32"/>
  <c r="D13" i="28"/>
  <c r="W10" i="32"/>
  <c r="D11" i="28"/>
  <c r="W9" i="32"/>
  <c r="D10" i="28"/>
  <c r="W14" i="32"/>
  <c r="D15" i="28"/>
  <c r="D5" i="28"/>
  <c r="W20" i="32"/>
  <c r="D21" i="28"/>
  <c r="W11" i="32"/>
  <c r="D12" i="28"/>
  <c r="W2" i="32"/>
  <c r="E4" i="24"/>
  <c r="E6" i="24"/>
  <c r="C4" i="24"/>
  <c r="W4" i="24"/>
  <c r="M4" i="24"/>
  <c r="D4" i="24"/>
  <c r="H4" i="24"/>
  <c r="F4" i="24"/>
  <c r="E10" i="37" l="1"/>
  <c r="E10" i="41"/>
  <c r="E11" i="41"/>
  <c r="E11" i="37"/>
  <c r="E43" i="37"/>
  <c r="E43" i="41"/>
  <c r="F26" i="23"/>
  <c r="E40" i="41"/>
  <c r="E40" i="37"/>
  <c r="F23" i="23"/>
  <c r="E44" i="41"/>
  <c r="E44" i="37"/>
  <c r="F27" i="23"/>
  <c r="F12" i="23"/>
  <c r="E19" i="41"/>
  <c r="E19" i="37"/>
  <c r="F8" i="23"/>
  <c r="E14" i="41"/>
  <c r="E14" i="37"/>
  <c r="F9" i="23"/>
  <c r="E15" i="41"/>
  <c r="E15" i="37"/>
  <c r="F6" i="23"/>
  <c r="E12" i="37"/>
  <c r="E12" i="41"/>
  <c r="E45" i="41"/>
  <c r="E45" i="37"/>
  <c r="F28" i="23"/>
  <c r="C7" i="40"/>
  <c r="E9" i="37"/>
  <c r="E9" i="41"/>
  <c r="E47" i="37"/>
  <c r="E47" i="41"/>
  <c r="F30" i="23"/>
  <c r="F21" i="23"/>
  <c r="E18" i="41"/>
  <c r="E18" i="37"/>
  <c r="F7" i="23"/>
  <c r="E13" i="37"/>
  <c r="E13" i="41"/>
  <c r="F10" i="23"/>
  <c r="E16" i="41"/>
  <c r="E16" i="37"/>
  <c r="E50" i="41"/>
  <c r="E50" i="37"/>
  <c r="F33" i="23"/>
  <c r="F15" i="23"/>
  <c r="E22" i="41"/>
  <c r="E22" i="37"/>
  <c r="F20" i="23"/>
  <c r="E27" i="37"/>
  <c r="E27" i="41"/>
  <c r="E41" i="37"/>
  <c r="E41" i="41"/>
  <c r="F24" i="23"/>
  <c r="F14" i="23"/>
  <c r="E21" i="41"/>
  <c r="E21" i="37"/>
  <c r="F11" i="23"/>
  <c r="E17" i="37"/>
  <c r="E17" i="41"/>
  <c r="E28" i="37"/>
  <c r="E28" i="41"/>
  <c r="F22" i="23"/>
  <c r="I5" i="24"/>
  <c r="E46" i="37"/>
  <c r="E46" i="41"/>
  <c r="F29" i="23"/>
  <c r="F16" i="23"/>
  <c r="E23" i="37"/>
  <c r="E23" i="41"/>
  <c r="F17" i="23"/>
  <c r="E24" i="41"/>
  <c r="E24" i="37"/>
  <c r="F13" i="23"/>
  <c r="E20" i="41"/>
  <c r="E20" i="37"/>
  <c r="E42" i="37"/>
  <c r="E42" i="41"/>
  <c r="F25" i="23"/>
  <c r="F19" i="23"/>
  <c r="E26" i="37"/>
  <c r="E26" i="41"/>
  <c r="F18" i="23"/>
  <c r="E25" i="41"/>
  <c r="E25" i="37"/>
  <c r="F4" i="23"/>
  <c r="F5" i="23"/>
  <c r="I4" i="24"/>
  <c r="F3" i="23"/>
  <c r="B9" i="24"/>
  <c r="B8" i="24"/>
  <c r="B7" i="24"/>
  <c r="B5" i="24"/>
  <c r="B6" i="24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E4" i="27" l="1"/>
  <c r="E5" i="27"/>
  <c r="I2" i="32" l="1"/>
  <c r="C3" i="40" l="1"/>
  <c r="F3" i="40"/>
  <c r="B4" i="24"/>
  <c r="N61" i="37" l="1"/>
  <c r="N34" i="37"/>
  <c r="N30" i="37"/>
  <c r="N3" i="37"/>
  <c r="CL20" i="32" l="1"/>
  <c r="CL21" i="32"/>
  <c r="CL22" i="32"/>
  <c r="CL23" i="32"/>
  <c r="CL24" i="32"/>
  <c r="CL25" i="32"/>
  <c r="CL26" i="32"/>
  <c r="CL27" i="32"/>
  <c r="CL28" i="32"/>
  <c r="CL29" i="32"/>
  <c r="CL30" i="32"/>
  <c r="CL31" i="32"/>
  <c r="CL32" i="32"/>
  <c r="CL33" i="32"/>
  <c r="CL34" i="32"/>
  <c r="CL35" i="32"/>
  <c r="CL36" i="32"/>
  <c r="CL37" i="32"/>
  <c r="CL38" i="32"/>
  <c r="CL39" i="32"/>
  <c r="CL40" i="32"/>
  <c r="CL41" i="32"/>
  <c r="CL42" i="32"/>
  <c r="CL43" i="32"/>
  <c r="CL44" i="32"/>
  <c r="CL45" i="32"/>
  <c r="CL46" i="32"/>
  <c r="CL47" i="32"/>
  <c r="CL48" i="32"/>
  <c r="CL49" i="32"/>
  <c r="CL50" i="32"/>
  <c r="CL51" i="32"/>
  <c r="CL52" i="32"/>
  <c r="CL53" i="32"/>
  <c r="CL54" i="32"/>
  <c r="CL55" i="32"/>
  <c r="CL56" i="32"/>
  <c r="CL57" i="32"/>
  <c r="CL58" i="32"/>
  <c r="CL59" i="32"/>
  <c r="CL60" i="32"/>
  <c r="CL61" i="32"/>
  <c r="CL62" i="32"/>
  <c r="CL63" i="32"/>
  <c r="CL64" i="32"/>
  <c r="CL65" i="32"/>
  <c r="CL66" i="32"/>
  <c r="CL67" i="32"/>
  <c r="CL68" i="32"/>
  <c r="CL69" i="32"/>
  <c r="CL70" i="32"/>
  <c r="CL71" i="32"/>
  <c r="CL72" i="32"/>
  <c r="CL73" i="32"/>
  <c r="CL74" i="32"/>
  <c r="CL75" i="32"/>
  <c r="CL76" i="32"/>
  <c r="CL77" i="32"/>
  <c r="CL78" i="32"/>
  <c r="CL79" i="32"/>
  <c r="CL80" i="32"/>
  <c r="CL81" i="32"/>
  <c r="CL82" i="32"/>
  <c r="CL83" i="32"/>
  <c r="CL84" i="32"/>
  <c r="CL85" i="32"/>
  <c r="CL86" i="32"/>
  <c r="CL87" i="32"/>
  <c r="CL88" i="32"/>
  <c r="CL89" i="32"/>
  <c r="CL90" i="32"/>
  <c r="CL91" i="32"/>
  <c r="CL92" i="32"/>
  <c r="CL93" i="32"/>
  <c r="CL94" i="32"/>
  <c r="CL95" i="32"/>
  <c r="CL96" i="32"/>
  <c r="CL97" i="32"/>
  <c r="CL98" i="32"/>
  <c r="CL99" i="32"/>
  <c r="CL100" i="32"/>
  <c r="CL3" i="32"/>
  <c r="CL4" i="32"/>
  <c r="CL5" i="32"/>
  <c r="CL6" i="32"/>
  <c r="CL7" i="32"/>
  <c r="CL8" i="32"/>
  <c r="CL9" i="32"/>
  <c r="CL10" i="32"/>
  <c r="CL11" i="32"/>
  <c r="CL12" i="32"/>
  <c r="CL13" i="32"/>
  <c r="CL14" i="32"/>
  <c r="CL15" i="32"/>
  <c r="CL16" i="32"/>
  <c r="CL17" i="32"/>
  <c r="CL18" i="32"/>
  <c r="CL19" i="32"/>
  <c r="CL2" i="32"/>
  <c r="B9" i="41" s="1"/>
  <c r="I3" i="32"/>
  <c r="I4" i="32"/>
  <c r="I5" i="32"/>
  <c r="I6" i="32"/>
  <c r="I7" i="32"/>
  <c r="I8" i="32"/>
  <c r="I9" i="32"/>
  <c r="I10" i="32"/>
  <c r="I11" i="32"/>
  <c r="I12" i="32"/>
  <c r="B12" i="41" l="1"/>
  <c r="B12" i="37"/>
  <c r="B10" i="41"/>
  <c r="B10" i="37"/>
  <c r="B52" i="37"/>
  <c r="B52" i="41"/>
  <c r="B24" i="41"/>
  <c r="B24" i="37"/>
  <c r="B46" i="37"/>
  <c r="B46" i="41"/>
  <c r="B18" i="37"/>
  <c r="B18" i="41"/>
  <c r="B11" i="41"/>
  <c r="B11" i="37"/>
  <c r="B51" i="37"/>
  <c r="B51" i="41"/>
  <c r="B22" i="37"/>
  <c r="B22" i="41"/>
  <c r="B21" i="41"/>
  <c r="B21" i="37"/>
  <c r="B19" i="37"/>
  <c r="B19" i="41"/>
  <c r="B44" i="41"/>
  <c r="B44" i="37"/>
  <c r="B42" i="37"/>
  <c r="B42" i="41"/>
  <c r="B26" i="41"/>
  <c r="B26" i="37"/>
  <c r="B25" i="37"/>
  <c r="B25" i="41"/>
  <c r="B50" i="41"/>
  <c r="B50" i="37"/>
  <c r="B23" i="37"/>
  <c r="B23" i="41"/>
  <c r="B48" i="37"/>
  <c r="B48" i="41"/>
  <c r="B47" i="37"/>
  <c r="B47" i="41"/>
  <c r="B20" i="41"/>
  <c r="B20" i="37"/>
  <c r="B45" i="37"/>
  <c r="B45" i="41"/>
  <c r="B43" i="41"/>
  <c r="B43" i="37"/>
  <c r="B17" i="37"/>
  <c r="B17" i="41"/>
  <c r="B16" i="37"/>
  <c r="B16" i="41"/>
  <c r="B41" i="41"/>
  <c r="B41" i="37"/>
  <c r="B15" i="41"/>
  <c r="B15" i="37"/>
  <c r="B40" i="37"/>
  <c r="B40" i="41"/>
  <c r="B14" i="41"/>
  <c r="B14" i="37"/>
  <c r="B28" i="37"/>
  <c r="B28" i="41"/>
  <c r="B13" i="37"/>
  <c r="B13" i="41"/>
  <c r="B27" i="37"/>
  <c r="B27" i="41"/>
  <c r="G25" i="40"/>
  <c r="B9" i="37"/>
  <c r="A34" i="37"/>
  <c r="A3" i="37"/>
  <c r="CZ6" i="32"/>
  <c r="CZ7" i="32"/>
  <c r="CZ8" i="32"/>
  <c r="CZ9" i="32"/>
  <c r="CZ10" i="32"/>
  <c r="CZ11" i="32"/>
  <c r="CZ12" i="32"/>
  <c r="CZ13" i="32"/>
  <c r="CZ14" i="32"/>
  <c r="CZ15" i="32"/>
  <c r="CZ16" i="32"/>
  <c r="CZ17" i="32"/>
  <c r="CZ18" i="32"/>
  <c r="CZ19" i="32"/>
  <c r="CZ20" i="32"/>
  <c r="CZ21" i="32"/>
  <c r="CZ22" i="32"/>
  <c r="CZ23" i="32"/>
  <c r="CZ24" i="32"/>
  <c r="CZ25" i="32"/>
  <c r="CZ26" i="32"/>
  <c r="CZ27" i="32"/>
  <c r="CZ28" i="32"/>
  <c r="CZ29" i="32"/>
  <c r="CZ30" i="32"/>
  <c r="CZ31" i="32"/>
  <c r="CZ32" i="32"/>
  <c r="CZ33" i="32"/>
  <c r="CZ34" i="32"/>
  <c r="CZ35" i="32"/>
  <c r="CZ36" i="32"/>
  <c r="CZ37" i="32"/>
  <c r="CZ38" i="32"/>
  <c r="CZ39" i="32"/>
  <c r="CZ40" i="32"/>
  <c r="CZ41" i="32"/>
  <c r="CZ42" i="32"/>
  <c r="CZ43" i="32"/>
  <c r="CZ44" i="32"/>
  <c r="CZ45" i="32"/>
  <c r="CZ46" i="32"/>
  <c r="CZ47" i="32"/>
  <c r="CZ48" i="32"/>
  <c r="CZ49" i="32"/>
  <c r="CZ50" i="32"/>
  <c r="CZ51" i="32"/>
  <c r="CZ52" i="32"/>
  <c r="CZ53" i="32"/>
  <c r="CZ54" i="32"/>
  <c r="CZ55" i="32"/>
  <c r="CZ56" i="32"/>
  <c r="CZ57" i="32"/>
  <c r="CZ58" i="32"/>
  <c r="CZ59" i="32"/>
  <c r="CZ60" i="32"/>
  <c r="CZ61" i="32"/>
  <c r="CZ62" i="32"/>
  <c r="CZ63" i="32"/>
  <c r="CZ64" i="32"/>
  <c r="CZ65" i="32"/>
  <c r="CZ66" i="32"/>
  <c r="CZ67" i="32"/>
  <c r="CZ68" i="32"/>
  <c r="CZ69" i="32"/>
  <c r="CZ70" i="32"/>
  <c r="CZ71" i="32"/>
  <c r="CZ72" i="32"/>
  <c r="CZ73" i="32"/>
  <c r="CZ74" i="32"/>
  <c r="CZ75" i="32"/>
  <c r="CZ76" i="32"/>
  <c r="CZ77" i="32"/>
  <c r="CZ78" i="32"/>
  <c r="CZ79" i="32"/>
  <c r="CZ80" i="32"/>
  <c r="CZ81" i="32"/>
  <c r="CZ82" i="32"/>
  <c r="CZ83" i="32"/>
  <c r="CZ84" i="32"/>
  <c r="CZ85" i="32"/>
  <c r="CZ86" i="32"/>
  <c r="CZ87" i="32"/>
  <c r="CZ88" i="32"/>
  <c r="CZ89" i="32"/>
  <c r="CZ90" i="32"/>
  <c r="CZ91" i="32"/>
  <c r="CZ92" i="32"/>
  <c r="CZ93" i="32"/>
  <c r="CZ94" i="32"/>
  <c r="CZ95" i="32"/>
  <c r="CZ96" i="32"/>
  <c r="CZ97" i="32"/>
  <c r="CZ98" i="32"/>
  <c r="CZ99" i="32"/>
  <c r="CZ100" i="32"/>
  <c r="CZ4" i="32"/>
  <c r="CZ5" i="32"/>
  <c r="CZ3" i="32"/>
  <c r="CZ2" i="32"/>
  <c r="G29" i="40" s="1"/>
  <c r="C5" i="27" l="1"/>
  <c r="C4" i="27"/>
  <c r="A16" i="32" l="1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2" i="32"/>
  <c r="B3" i="36" l="1"/>
  <c r="B31" i="36"/>
  <c r="B59" i="36"/>
  <c r="B87" i="36"/>
  <c r="B4" i="36"/>
  <c r="B32" i="36"/>
  <c r="B60" i="36"/>
  <c r="B88" i="36"/>
  <c r="B25" i="36"/>
  <c r="B28" i="36"/>
  <c r="B5" i="36"/>
  <c r="B33" i="36"/>
  <c r="B61" i="36"/>
  <c r="B89" i="36"/>
  <c r="B67" i="36"/>
  <c r="B21" i="36"/>
  <c r="B24" i="36"/>
  <c r="B27" i="36"/>
  <c r="B85" i="36"/>
  <c r="B6" i="36"/>
  <c r="B34" i="36"/>
  <c r="B62" i="36"/>
  <c r="B90" i="36"/>
  <c r="B7" i="36"/>
  <c r="B35" i="36"/>
  <c r="B63" i="36"/>
  <c r="B91" i="36"/>
  <c r="B38" i="36"/>
  <c r="B94" i="36"/>
  <c r="B39" i="36"/>
  <c r="B48" i="36"/>
  <c r="B77" i="36"/>
  <c r="B79" i="36"/>
  <c r="B53" i="36"/>
  <c r="B83" i="36"/>
  <c r="B57" i="36"/>
  <c r="B8" i="36"/>
  <c r="B36" i="36"/>
  <c r="B64" i="36"/>
  <c r="B92" i="36"/>
  <c r="B9" i="36"/>
  <c r="B37" i="36"/>
  <c r="B65" i="36"/>
  <c r="B93" i="36"/>
  <c r="B10" i="36"/>
  <c r="B66" i="36"/>
  <c r="B11" i="36"/>
  <c r="B95" i="36"/>
  <c r="B50" i="36"/>
  <c r="B52" i="36"/>
  <c r="B82" i="36"/>
  <c r="B84" i="36"/>
  <c r="B86" i="36"/>
  <c r="B12" i="36"/>
  <c r="B40" i="36"/>
  <c r="B68" i="36"/>
  <c r="B96" i="36"/>
  <c r="B13" i="36"/>
  <c r="B41" i="36"/>
  <c r="B69" i="36"/>
  <c r="B97" i="36"/>
  <c r="B14" i="36"/>
  <c r="B42" i="36"/>
  <c r="B70" i="36"/>
  <c r="B98" i="36"/>
  <c r="B74" i="36"/>
  <c r="B49" i="36"/>
  <c r="B23" i="36"/>
  <c r="B81" i="36"/>
  <c r="B55" i="36"/>
  <c r="B58" i="36"/>
  <c r="B15" i="36"/>
  <c r="B43" i="36"/>
  <c r="B71" i="36"/>
  <c r="B99" i="36"/>
  <c r="B16" i="36"/>
  <c r="B44" i="36"/>
  <c r="B72" i="36"/>
  <c r="B100" i="36"/>
  <c r="B17" i="36"/>
  <c r="B45" i="36"/>
  <c r="B73" i="36"/>
  <c r="B2" i="36"/>
  <c r="B46" i="36"/>
  <c r="B76" i="36"/>
  <c r="B22" i="36"/>
  <c r="B51" i="36"/>
  <c r="B80" i="36"/>
  <c r="B54" i="36"/>
  <c r="B56" i="36"/>
  <c r="B30" i="36"/>
  <c r="B18" i="36"/>
  <c r="B78" i="36"/>
  <c r="B26" i="36"/>
  <c r="B29" i="36"/>
  <c r="B19" i="36"/>
  <c r="B47" i="36"/>
  <c r="B75" i="36"/>
  <c r="B20" i="36"/>
  <c r="S3" i="36"/>
  <c r="AU3" i="36"/>
  <c r="L4" i="36"/>
  <c r="AN4" i="36"/>
  <c r="C5" i="36"/>
  <c r="AG5" i="36"/>
  <c r="BI5" i="36"/>
  <c r="Z6" i="36"/>
  <c r="BB6" i="36"/>
  <c r="S7" i="36"/>
  <c r="AU7" i="36"/>
  <c r="L8" i="36"/>
  <c r="AN8" i="36"/>
  <c r="C9" i="36"/>
  <c r="AG9" i="36"/>
  <c r="BI9" i="36"/>
  <c r="Z10" i="36"/>
  <c r="BB10" i="36"/>
  <c r="BO2" i="36"/>
  <c r="AS2" i="36"/>
  <c r="AK3" i="36"/>
  <c r="P6" i="36"/>
  <c r="AY9" i="36"/>
  <c r="K7" i="36"/>
  <c r="AA5" i="36"/>
  <c r="AH8" i="36"/>
  <c r="BE5" i="36"/>
  <c r="AM8" i="36"/>
  <c r="T3" i="36"/>
  <c r="AV3" i="36"/>
  <c r="M4" i="36"/>
  <c r="AO4" i="36"/>
  <c r="E5" i="36"/>
  <c r="AH5" i="36"/>
  <c r="BJ5" i="36"/>
  <c r="AA6" i="36"/>
  <c r="BC6" i="36"/>
  <c r="T7" i="36"/>
  <c r="AV7" i="36"/>
  <c r="M8" i="36"/>
  <c r="AO8" i="36"/>
  <c r="E9" i="36"/>
  <c r="AH9" i="36"/>
  <c r="BJ9" i="36"/>
  <c r="AA10" i="36"/>
  <c r="BC10" i="36"/>
  <c r="BD2" i="36"/>
  <c r="BE2" i="36"/>
  <c r="BE6" i="36"/>
  <c r="H9" i="36"/>
  <c r="BL9" i="36"/>
  <c r="BF6" i="36"/>
  <c r="I9" i="36"/>
  <c r="AD10" i="36"/>
  <c r="K10" i="36"/>
  <c r="AI3" i="36"/>
  <c r="N6" i="36"/>
  <c r="BK7" i="36"/>
  <c r="J7" i="36"/>
  <c r="AE8" i="36"/>
  <c r="BI8" i="36"/>
  <c r="BK2" i="36"/>
  <c r="U3" i="36"/>
  <c r="AW3" i="36"/>
  <c r="N4" i="36"/>
  <c r="AP4" i="36"/>
  <c r="G5" i="36"/>
  <c r="AI5" i="36"/>
  <c r="BK5" i="36"/>
  <c r="AB6" i="36"/>
  <c r="BD6" i="36"/>
  <c r="U7" i="36"/>
  <c r="AW7" i="36"/>
  <c r="N8" i="36"/>
  <c r="AP8" i="36"/>
  <c r="G9" i="36"/>
  <c r="AI9" i="36"/>
  <c r="BK9" i="36"/>
  <c r="AB10" i="36"/>
  <c r="BD10" i="36"/>
  <c r="O8" i="36"/>
  <c r="BE10" i="36"/>
  <c r="BF2" i="36"/>
  <c r="BM5" i="36"/>
  <c r="P8" i="36"/>
  <c r="BM9" i="36"/>
  <c r="AF3" i="36"/>
  <c r="AM6" i="36"/>
  <c r="BA8" i="36"/>
  <c r="AH3" i="36"/>
  <c r="AO6" i="36"/>
  <c r="T9" i="36"/>
  <c r="I3" i="36"/>
  <c r="AD8" i="36"/>
  <c r="R6" i="36"/>
  <c r="AN3" i="36"/>
  <c r="T10" i="36"/>
  <c r="AC5" i="36"/>
  <c r="AM4" i="36"/>
  <c r="V3" i="36"/>
  <c r="AX3" i="36"/>
  <c r="O4" i="36"/>
  <c r="AQ4" i="36"/>
  <c r="H5" i="36"/>
  <c r="AJ5" i="36"/>
  <c r="BL5" i="36"/>
  <c r="AC6" i="36"/>
  <c r="V7" i="36"/>
  <c r="AX7" i="36"/>
  <c r="AQ8" i="36"/>
  <c r="AJ9" i="36"/>
  <c r="AC10" i="36"/>
  <c r="AK5" i="36"/>
  <c r="AY7" i="36"/>
  <c r="AK9" i="36"/>
  <c r="BG2" i="36"/>
  <c r="BK3" i="36"/>
  <c r="G7" i="36"/>
  <c r="AP10" i="36"/>
  <c r="AS6" i="36"/>
  <c r="X9" i="36"/>
  <c r="C8" i="36"/>
  <c r="BH9" i="36"/>
  <c r="W3" i="36"/>
  <c r="AY3" i="36"/>
  <c r="P4" i="36"/>
  <c r="AR4" i="36"/>
  <c r="I5" i="36"/>
  <c r="AD6" i="36"/>
  <c r="W7" i="36"/>
  <c r="AR8" i="36"/>
  <c r="BF10" i="36"/>
  <c r="E3" i="36"/>
  <c r="AV5" i="36"/>
  <c r="AV9" i="36"/>
  <c r="G3" i="36"/>
  <c r="AP6" i="36"/>
  <c r="AW9" i="36"/>
  <c r="Q6" i="36"/>
  <c r="AZ9" i="36"/>
  <c r="Z9" i="36"/>
  <c r="AO3" i="36"/>
  <c r="AA9" i="36"/>
  <c r="BD5" i="36"/>
  <c r="AX6" i="36"/>
  <c r="K8" i="36"/>
  <c r="X3" i="36"/>
  <c r="AZ3" i="36"/>
  <c r="Q4" i="36"/>
  <c r="AS4" i="36"/>
  <c r="J5" i="36"/>
  <c r="AL5" i="36"/>
  <c r="BN5" i="36"/>
  <c r="AE6" i="36"/>
  <c r="BG6" i="36"/>
  <c r="X7" i="36"/>
  <c r="AZ7" i="36"/>
  <c r="Q8" i="36"/>
  <c r="AS8" i="36"/>
  <c r="J9" i="36"/>
  <c r="AL9" i="36"/>
  <c r="BN9" i="36"/>
  <c r="AE10" i="36"/>
  <c r="BG10" i="36"/>
  <c r="BH2" i="36"/>
  <c r="AZ5" i="36"/>
  <c r="BG8" i="36"/>
  <c r="BB9" i="36"/>
  <c r="AP7" i="36"/>
  <c r="AK2" i="36"/>
  <c r="BE9" i="36"/>
  <c r="R7" i="36"/>
  <c r="Y3" i="36"/>
  <c r="BA3" i="36"/>
  <c r="R4" i="36"/>
  <c r="AT4" i="36"/>
  <c r="K5" i="36"/>
  <c r="AM5" i="36"/>
  <c r="BO5" i="36"/>
  <c r="AF6" i="36"/>
  <c r="BH6" i="36"/>
  <c r="Y7" i="36"/>
  <c r="BA7" i="36"/>
  <c r="R8" i="36"/>
  <c r="AT8" i="36"/>
  <c r="K9" i="36"/>
  <c r="AM9" i="36"/>
  <c r="BO9" i="36"/>
  <c r="AF10" i="36"/>
  <c r="BH10" i="36"/>
  <c r="BI2" i="36"/>
  <c r="BH3" i="36"/>
  <c r="AF7" i="36"/>
  <c r="AA4" i="36"/>
  <c r="BJ7" i="36"/>
  <c r="BA9" i="36"/>
  <c r="AN7" i="36"/>
  <c r="G4" i="36"/>
  <c r="BD9" i="36"/>
  <c r="AQ3" i="36"/>
  <c r="AJ8" i="36"/>
  <c r="Z3" i="36"/>
  <c r="BB3" i="36"/>
  <c r="S4" i="36"/>
  <c r="AU4" i="36"/>
  <c r="L5" i="36"/>
  <c r="AN5" i="36"/>
  <c r="C6" i="36"/>
  <c r="AG6" i="36"/>
  <c r="BI6" i="36"/>
  <c r="Z7" i="36"/>
  <c r="BB7" i="36"/>
  <c r="S8" i="36"/>
  <c r="AU8" i="36"/>
  <c r="L9" i="36"/>
  <c r="AN9" i="36"/>
  <c r="C10" i="36"/>
  <c r="AG10" i="36"/>
  <c r="BI10" i="36"/>
  <c r="AT2" i="36"/>
  <c r="AV2" i="36"/>
  <c r="AX2" i="36"/>
  <c r="Y4" i="36"/>
  <c r="K6" i="36"/>
  <c r="BH7" i="36"/>
  <c r="U5" i="36"/>
  <c r="BD8" i="36"/>
  <c r="H2" i="36"/>
  <c r="BF4" i="36"/>
  <c r="AK7" i="36"/>
  <c r="P10" i="36"/>
  <c r="J3" i="36"/>
  <c r="AM3" i="36"/>
  <c r="S6" i="36"/>
  <c r="M3" i="36"/>
  <c r="BC9" i="36"/>
  <c r="V6" i="36"/>
  <c r="AM2" i="36"/>
  <c r="BH5" i="36"/>
  <c r="AR2" i="36"/>
  <c r="AA3" i="36"/>
  <c r="BC3" i="36"/>
  <c r="T4" i="36"/>
  <c r="AV4" i="36"/>
  <c r="M5" i="36"/>
  <c r="AO5" i="36"/>
  <c r="E6" i="36"/>
  <c r="AH6" i="36"/>
  <c r="BJ6" i="36"/>
  <c r="AA7" i="36"/>
  <c r="BC7" i="36"/>
  <c r="T8" i="36"/>
  <c r="AV8" i="36"/>
  <c r="M9" i="36"/>
  <c r="AO9" i="36"/>
  <c r="E10" i="36"/>
  <c r="AH10" i="36"/>
  <c r="BJ10" i="36"/>
  <c r="C2" i="36"/>
  <c r="AU2" i="36"/>
  <c r="G10" i="36"/>
  <c r="AM10" i="36"/>
  <c r="AO10" i="36"/>
  <c r="AM7" i="36"/>
  <c r="BI4" i="36"/>
  <c r="AP3" i="36"/>
  <c r="AB9" i="36"/>
  <c r="AT3" i="36"/>
  <c r="Y10" i="36"/>
  <c r="AB3" i="36"/>
  <c r="BD3" i="36"/>
  <c r="U4" i="36"/>
  <c r="AW4" i="36"/>
  <c r="N5" i="36"/>
  <c r="AP5" i="36"/>
  <c r="G6" i="36"/>
  <c r="AI6" i="36"/>
  <c r="BK6" i="36"/>
  <c r="AB7" i="36"/>
  <c r="BD7" i="36"/>
  <c r="U8" i="36"/>
  <c r="AW8" i="36"/>
  <c r="N9" i="36"/>
  <c r="AP9" i="36"/>
  <c r="AI10" i="36"/>
  <c r="BK10" i="36"/>
  <c r="AY2" i="36"/>
  <c r="BO10" i="36"/>
  <c r="BB2" i="36"/>
  <c r="N10" i="36"/>
  <c r="BH4" i="36"/>
  <c r="R10" i="36"/>
  <c r="AV6" i="36"/>
  <c r="BO4" i="36"/>
  <c r="AC3" i="36"/>
  <c r="BE3" i="36"/>
  <c r="V4" i="36"/>
  <c r="AX4" i="36"/>
  <c r="O5" i="36"/>
  <c r="AQ5" i="36"/>
  <c r="H6" i="36"/>
  <c r="AJ6" i="36"/>
  <c r="BL6" i="36"/>
  <c r="AC7" i="36"/>
  <c r="BE7" i="36"/>
  <c r="V8" i="36"/>
  <c r="AX8" i="36"/>
  <c r="O9" i="36"/>
  <c r="AQ9" i="36"/>
  <c r="H10" i="36"/>
  <c r="AJ10" i="36"/>
  <c r="BL10" i="36"/>
  <c r="AW2" i="36"/>
  <c r="W4" i="36"/>
  <c r="AK6" i="36"/>
  <c r="AD7" i="36"/>
  <c r="W8" i="36"/>
  <c r="P9" i="36"/>
  <c r="I10" i="36"/>
  <c r="AT9" i="36"/>
  <c r="BC8" i="36"/>
  <c r="AB8" i="36"/>
  <c r="I7" i="36"/>
  <c r="AL3" i="36"/>
  <c r="Q10" i="36"/>
  <c r="Y5" i="36"/>
  <c r="BB5" i="36"/>
  <c r="AV10" i="36"/>
  <c r="G8" i="36"/>
  <c r="O3" i="36"/>
  <c r="O7" i="36"/>
  <c r="AF5" i="36"/>
  <c r="AD3" i="36"/>
  <c r="BF3" i="36"/>
  <c r="AY4" i="36"/>
  <c r="P5" i="36"/>
  <c r="AR5" i="36"/>
  <c r="I6" i="36"/>
  <c r="BM6" i="36"/>
  <c r="BF7" i="36"/>
  <c r="AY8" i="36"/>
  <c r="AR9" i="36"/>
  <c r="AK10" i="36"/>
  <c r="BM10" i="36"/>
  <c r="BJ3" i="36"/>
  <c r="M6" i="36"/>
  <c r="AA8" i="36"/>
  <c r="AR10" i="36"/>
  <c r="BG4" i="36"/>
  <c r="AG8" i="36"/>
  <c r="AI4" i="36"/>
  <c r="AW10" i="36"/>
  <c r="BL8" i="36"/>
  <c r="R3" i="36"/>
  <c r="AE3" i="36"/>
  <c r="BG3" i="36"/>
  <c r="X4" i="36"/>
  <c r="AZ4" i="36"/>
  <c r="Q5" i="36"/>
  <c r="AS5" i="36"/>
  <c r="J6" i="36"/>
  <c r="AL6" i="36"/>
  <c r="BN6" i="36"/>
  <c r="AE7" i="36"/>
  <c r="BG7" i="36"/>
  <c r="X8" i="36"/>
  <c r="AZ8" i="36"/>
  <c r="Q9" i="36"/>
  <c r="AS9" i="36"/>
  <c r="J10" i="36"/>
  <c r="AL10" i="36"/>
  <c r="BN10" i="36"/>
  <c r="BA4" i="36"/>
  <c r="BO6" i="36"/>
  <c r="Y8" i="36"/>
  <c r="AB4" i="36"/>
  <c r="AI7" i="36"/>
  <c r="BN7" i="36"/>
  <c r="BO3" i="36"/>
  <c r="AT10" i="36"/>
  <c r="T6" i="36"/>
  <c r="BK4" i="36"/>
  <c r="U10" i="36"/>
  <c r="AC9" i="36"/>
  <c r="Y6" i="36"/>
  <c r="R5" i="36"/>
  <c r="AT5" i="36"/>
  <c r="R9" i="36"/>
  <c r="AZ2" i="36"/>
  <c r="BD4" i="36"/>
  <c r="U9" i="36"/>
  <c r="BC2" i="36"/>
  <c r="AE4" i="36"/>
  <c r="AF4" i="36"/>
  <c r="BJ4" i="36"/>
  <c r="E8" i="36"/>
  <c r="C3" i="36"/>
  <c r="AG3" i="36"/>
  <c r="BI3" i="36"/>
  <c r="Z4" i="36"/>
  <c r="BB4" i="36"/>
  <c r="S5" i="36"/>
  <c r="AU5" i="36"/>
  <c r="L6" i="36"/>
  <c r="AN6" i="36"/>
  <c r="C7" i="36"/>
  <c r="AG7" i="36"/>
  <c r="BI7" i="36"/>
  <c r="Z8" i="36"/>
  <c r="BB8" i="36"/>
  <c r="S9" i="36"/>
  <c r="AU9" i="36"/>
  <c r="L10" i="36"/>
  <c r="AN10" i="36"/>
  <c r="BA2" i="36"/>
  <c r="BC4" i="36"/>
  <c r="AH7" i="36"/>
  <c r="M10" i="36"/>
  <c r="BA5" i="36"/>
  <c r="C4" i="36"/>
  <c r="T5" i="36"/>
  <c r="E7" i="36"/>
  <c r="AD4" i="36"/>
  <c r="BF8" i="36"/>
  <c r="X5" i="36"/>
  <c r="K3" i="36"/>
  <c r="Y9" i="36"/>
  <c r="L7" i="36"/>
  <c r="E4" i="36"/>
  <c r="M7" i="36"/>
  <c r="N7" i="36"/>
  <c r="AQ7" i="36"/>
  <c r="AT7" i="36"/>
  <c r="AW5" i="36"/>
  <c r="BM3" i="36"/>
  <c r="BM7" i="36"/>
  <c r="BN3" i="36"/>
  <c r="AS10" i="36"/>
  <c r="S10" i="36"/>
  <c r="U6" i="36"/>
  <c r="H3" i="36"/>
  <c r="AJ3" i="36"/>
  <c r="BL3" i="36"/>
  <c r="AC4" i="36"/>
  <c r="BE4" i="36"/>
  <c r="V5" i="36"/>
  <c r="AX5" i="36"/>
  <c r="O6" i="36"/>
  <c r="AQ6" i="36"/>
  <c r="H7" i="36"/>
  <c r="AJ7" i="36"/>
  <c r="BL7" i="36"/>
  <c r="AC8" i="36"/>
  <c r="BE8" i="36"/>
  <c r="V9" i="36"/>
  <c r="AX9" i="36"/>
  <c r="O10" i="36"/>
  <c r="AQ10" i="36"/>
  <c r="W5" i="36"/>
  <c r="AR6" i="36"/>
  <c r="W9" i="36"/>
  <c r="AT6" i="36"/>
  <c r="Z5" i="36"/>
  <c r="AW6" i="36"/>
  <c r="AJ4" i="36"/>
  <c r="AX10" i="36"/>
  <c r="AY5" i="36"/>
  <c r="AL7" i="36"/>
  <c r="BH8" i="36"/>
  <c r="AU6" i="36"/>
  <c r="N3" i="36"/>
  <c r="AI8" i="36"/>
  <c r="H4" i="36"/>
  <c r="V10" i="36"/>
  <c r="BO8" i="36"/>
  <c r="AF8" i="36"/>
  <c r="AG4" i="36"/>
  <c r="AH4" i="36"/>
  <c r="BJ8" i="36"/>
  <c r="AB5" i="36"/>
  <c r="H8" i="36"/>
  <c r="K4" i="36"/>
  <c r="BO7" i="36"/>
  <c r="L3" i="36"/>
  <c r="AU10" i="36"/>
  <c r="BK8" i="36"/>
  <c r="BL4" i="36"/>
  <c r="BA6" i="36"/>
  <c r="BN2" i="36"/>
  <c r="BC5" i="36"/>
  <c r="BJ2" i="36"/>
  <c r="BA10" i="36"/>
  <c r="AO7" i="36"/>
  <c r="AF9" i="36"/>
  <c r="P3" i="36"/>
  <c r="AR3" i="36"/>
  <c r="I4" i="36"/>
  <c r="AK4" i="36"/>
  <c r="BM4" i="36"/>
  <c r="AD5" i="36"/>
  <c r="BF5" i="36"/>
  <c r="W6" i="36"/>
  <c r="AY6" i="36"/>
  <c r="P7" i="36"/>
  <c r="AR7" i="36"/>
  <c r="I8" i="36"/>
  <c r="AK8" i="36"/>
  <c r="BM8" i="36"/>
  <c r="AD9" i="36"/>
  <c r="BF9" i="36"/>
  <c r="W10" i="36"/>
  <c r="AY10" i="36"/>
  <c r="BL2" i="36"/>
  <c r="AP2" i="36"/>
  <c r="AZ10" i="36"/>
  <c r="BM2" i="36"/>
  <c r="Q3" i="36"/>
  <c r="AS3" i="36"/>
  <c r="J4" i="36"/>
  <c r="AL4" i="36"/>
  <c r="BN4" i="36"/>
  <c r="AE5" i="36"/>
  <c r="BG5" i="36"/>
  <c r="X6" i="36"/>
  <c r="AZ6" i="36"/>
  <c r="Q7" i="36"/>
  <c r="AS7" i="36"/>
  <c r="J8" i="36"/>
  <c r="AL8" i="36"/>
  <c r="BN8" i="36"/>
  <c r="AE9" i="36"/>
  <c r="BG9" i="36"/>
  <c r="X10" i="36"/>
  <c r="AQ2" i="36"/>
  <c r="G11" i="36"/>
  <c r="AI11" i="36"/>
  <c r="BK11" i="36"/>
  <c r="AB12" i="36"/>
  <c r="BD12" i="36"/>
  <c r="U13" i="36"/>
  <c r="AW13" i="36"/>
  <c r="N14" i="36"/>
  <c r="AP14" i="36"/>
  <c r="G15" i="36"/>
  <c r="AI15" i="36"/>
  <c r="BK15" i="36"/>
  <c r="AB16" i="36"/>
  <c r="BD16" i="36"/>
  <c r="U17" i="36"/>
  <c r="AW17" i="36"/>
  <c r="N18" i="36"/>
  <c r="AP18" i="36"/>
  <c r="G19" i="36"/>
  <c r="AI19" i="36"/>
  <c r="BK19" i="36"/>
  <c r="AB20" i="36"/>
  <c r="BD20" i="36"/>
  <c r="U21" i="36"/>
  <c r="AW21" i="36"/>
  <c r="N22" i="36"/>
  <c r="AP22" i="36"/>
  <c r="G23" i="36"/>
  <c r="AI23" i="36"/>
  <c r="BK23" i="36"/>
  <c r="AB24" i="36"/>
  <c r="BD24" i="36"/>
  <c r="U25" i="36"/>
  <c r="AW25" i="36"/>
  <c r="N26" i="36"/>
  <c r="AP26" i="36"/>
  <c r="G27" i="36"/>
  <c r="AI27" i="36"/>
  <c r="BK27" i="36"/>
  <c r="AB28" i="36"/>
  <c r="BD28" i="36"/>
  <c r="U29" i="36"/>
  <c r="AW29" i="36"/>
  <c r="N30" i="36"/>
  <c r="AP30" i="36"/>
  <c r="G31" i="36"/>
  <c r="AI31" i="36"/>
  <c r="BK31" i="36"/>
  <c r="AB32" i="36"/>
  <c r="BD32" i="36"/>
  <c r="U33" i="36"/>
  <c r="AW33" i="36"/>
  <c r="N34" i="36"/>
  <c r="AP34" i="36"/>
  <c r="G35" i="36"/>
  <c r="AI35" i="36"/>
  <c r="BK35" i="36"/>
  <c r="AB36" i="36"/>
  <c r="BD36" i="36"/>
  <c r="U37" i="36"/>
  <c r="AW37" i="36"/>
  <c r="N38" i="36"/>
  <c r="AP38" i="36"/>
  <c r="G39" i="36"/>
  <c r="AI39" i="36"/>
  <c r="BK39" i="36"/>
  <c r="AB40" i="36"/>
  <c r="BD40" i="36"/>
  <c r="U41" i="36"/>
  <c r="AW41" i="36"/>
  <c r="N42" i="36"/>
  <c r="AP42" i="36"/>
  <c r="G43" i="36"/>
  <c r="AI43" i="36"/>
  <c r="BK43" i="36"/>
  <c r="AB44" i="36"/>
  <c r="BD44" i="36"/>
  <c r="U45" i="36"/>
  <c r="AW45" i="36"/>
  <c r="N46" i="36"/>
  <c r="AP46" i="36"/>
  <c r="G47" i="36"/>
  <c r="AI47" i="36"/>
  <c r="BK47" i="36"/>
  <c r="AB48" i="36"/>
  <c r="H11" i="36"/>
  <c r="AJ11" i="36"/>
  <c r="BL11" i="36"/>
  <c r="AC12" i="36"/>
  <c r="BE12" i="36"/>
  <c r="V13" i="36"/>
  <c r="AX13" i="36"/>
  <c r="O14" i="36"/>
  <c r="AQ14" i="36"/>
  <c r="H15" i="36"/>
  <c r="AJ15" i="36"/>
  <c r="BL15" i="36"/>
  <c r="AC16" i="36"/>
  <c r="BE16" i="36"/>
  <c r="V17" i="36"/>
  <c r="AX17" i="36"/>
  <c r="O18" i="36"/>
  <c r="AQ18" i="36"/>
  <c r="H19" i="36"/>
  <c r="AJ19" i="36"/>
  <c r="BL19" i="36"/>
  <c r="AC20" i="36"/>
  <c r="BE20" i="36"/>
  <c r="V21" i="36"/>
  <c r="AX21" i="36"/>
  <c r="O22" i="36"/>
  <c r="AQ22" i="36"/>
  <c r="H23" i="36"/>
  <c r="AJ23" i="36"/>
  <c r="BL23" i="36"/>
  <c r="AC24" i="36"/>
  <c r="BE24" i="36"/>
  <c r="V25" i="36"/>
  <c r="AX25" i="36"/>
  <c r="O26" i="36"/>
  <c r="AQ26" i="36"/>
  <c r="H27" i="36"/>
  <c r="AJ27" i="36"/>
  <c r="BL27" i="36"/>
  <c r="AC28" i="36"/>
  <c r="BE28" i="36"/>
  <c r="V29" i="36"/>
  <c r="AX29" i="36"/>
  <c r="O30" i="36"/>
  <c r="AQ30" i="36"/>
  <c r="H31" i="36"/>
  <c r="AJ31" i="36"/>
  <c r="BL31" i="36"/>
  <c r="AC32" i="36"/>
  <c r="BE32" i="36"/>
  <c r="V33" i="36"/>
  <c r="AX33" i="36"/>
  <c r="O34" i="36"/>
  <c r="AQ34" i="36"/>
  <c r="H35" i="36"/>
  <c r="AJ35" i="36"/>
  <c r="BL35" i="36"/>
  <c r="AC36" i="36"/>
  <c r="BE36" i="36"/>
  <c r="V37" i="36"/>
  <c r="AX37" i="36"/>
  <c r="O38" i="36"/>
  <c r="AQ38" i="36"/>
  <c r="H39" i="36"/>
  <c r="AJ39" i="36"/>
  <c r="BL39" i="36"/>
  <c r="AC40" i="36"/>
  <c r="BE40" i="36"/>
  <c r="I11" i="36"/>
  <c r="AK11" i="36"/>
  <c r="BM11" i="36"/>
  <c r="AD12" i="36"/>
  <c r="BF12" i="36"/>
  <c r="W13" i="36"/>
  <c r="AY13" i="36"/>
  <c r="P14" i="36"/>
  <c r="AR14" i="36"/>
  <c r="I15" i="36"/>
  <c r="AK15" i="36"/>
  <c r="BM15" i="36"/>
  <c r="AD16" i="36"/>
  <c r="BF16" i="36"/>
  <c r="W17" i="36"/>
  <c r="AY17" i="36"/>
  <c r="P18" i="36"/>
  <c r="AR18" i="36"/>
  <c r="I19" i="36"/>
  <c r="AK19" i="36"/>
  <c r="BM19" i="36"/>
  <c r="AD20" i="36"/>
  <c r="BF20" i="36"/>
  <c r="W21" i="36"/>
  <c r="AY21" i="36"/>
  <c r="P22" i="36"/>
  <c r="AR22" i="36"/>
  <c r="I23" i="36"/>
  <c r="AK23" i="36"/>
  <c r="BM23" i="36"/>
  <c r="AD24" i="36"/>
  <c r="BF24" i="36"/>
  <c r="W25" i="36"/>
  <c r="AY25" i="36"/>
  <c r="P26" i="36"/>
  <c r="AR26" i="36"/>
  <c r="I27" i="36"/>
  <c r="AK27" i="36"/>
  <c r="BM27" i="36"/>
  <c r="AD28" i="36"/>
  <c r="BF28" i="36"/>
  <c r="W29" i="36"/>
  <c r="AY29" i="36"/>
  <c r="P30" i="36"/>
  <c r="AR30" i="36"/>
  <c r="I31" i="36"/>
  <c r="AK31" i="36"/>
  <c r="BM31" i="36"/>
  <c r="AD32" i="36"/>
  <c r="BF32" i="36"/>
  <c r="W33" i="36"/>
  <c r="AY33" i="36"/>
  <c r="P34" i="36"/>
  <c r="AR34" i="36"/>
  <c r="I35" i="36"/>
  <c r="AK35" i="36"/>
  <c r="BM35" i="36"/>
  <c r="AD36" i="36"/>
  <c r="BF36" i="36"/>
  <c r="W37" i="36"/>
  <c r="AY37" i="36"/>
  <c r="P38" i="36"/>
  <c r="AR38" i="36"/>
  <c r="I39" i="36"/>
  <c r="AK39" i="36"/>
  <c r="BM39" i="36"/>
  <c r="AD40" i="36"/>
  <c r="BF40" i="36"/>
  <c r="J11" i="36"/>
  <c r="AL11" i="36"/>
  <c r="BN11" i="36"/>
  <c r="AE12" i="36"/>
  <c r="BG12" i="36"/>
  <c r="X13" i="36"/>
  <c r="AZ13" i="36"/>
  <c r="Q14" i="36"/>
  <c r="AS14" i="36"/>
  <c r="J15" i="36"/>
  <c r="AL15" i="36"/>
  <c r="BN15" i="36"/>
  <c r="AE16" i="36"/>
  <c r="BG16" i="36"/>
  <c r="X17" i="36"/>
  <c r="AZ17" i="36"/>
  <c r="Q18" i="36"/>
  <c r="AS18" i="36"/>
  <c r="J19" i="36"/>
  <c r="AL19" i="36"/>
  <c r="BN19" i="36"/>
  <c r="AE20" i="36"/>
  <c r="BG20" i="36"/>
  <c r="X21" i="36"/>
  <c r="AZ21" i="36"/>
  <c r="Q22" i="36"/>
  <c r="AS22" i="36"/>
  <c r="J23" i="36"/>
  <c r="AL23" i="36"/>
  <c r="BN23" i="36"/>
  <c r="AE24" i="36"/>
  <c r="BG24" i="36"/>
  <c r="X25" i="36"/>
  <c r="AZ25" i="36"/>
  <c r="Q26" i="36"/>
  <c r="AS26" i="36"/>
  <c r="J27" i="36"/>
  <c r="AL27" i="36"/>
  <c r="BN27" i="36"/>
  <c r="AE28" i="36"/>
  <c r="BG28" i="36"/>
  <c r="X29" i="36"/>
  <c r="AZ29" i="36"/>
  <c r="Q30" i="36"/>
  <c r="AS30" i="36"/>
  <c r="J31" i="36"/>
  <c r="AL31" i="36"/>
  <c r="BN31" i="36"/>
  <c r="AE32" i="36"/>
  <c r="BG32" i="36"/>
  <c r="X33" i="36"/>
  <c r="AZ33" i="36"/>
  <c r="Q34" i="36"/>
  <c r="AS34" i="36"/>
  <c r="J35" i="36"/>
  <c r="AL35" i="36"/>
  <c r="BN35" i="36"/>
  <c r="AE36" i="36"/>
  <c r="BG36" i="36"/>
  <c r="X37" i="36"/>
  <c r="AZ37" i="36"/>
  <c r="Q38" i="36"/>
  <c r="AS38" i="36"/>
  <c r="J39" i="36"/>
  <c r="AL39" i="36"/>
  <c r="BN39" i="36"/>
  <c r="AE40" i="36"/>
  <c r="BG40" i="36"/>
  <c r="K11" i="36"/>
  <c r="AM11" i="36"/>
  <c r="BO11" i="36"/>
  <c r="AF12" i="36"/>
  <c r="BH12" i="36"/>
  <c r="Y13" i="36"/>
  <c r="BA13" i="36"/>
  <c r="R14" i="36"/>
  <c r="AT14" i="36"/>
  <c r="K15" i="36"/>
  <c r="AM15" i="36"/>
  <c r="BO15" i="36"/>
  <c r="AF16" i="36"/>
  <c r="BH16" i="36"/>
  <c r="Y17" i="36"/>
  <c r="BA17" i="36"/>
  <c r="R18" i="36"/>
  <c r="AT18" i="36"/>
  <c r="K19" i="36"/>
  <c r="AM19" i="36"/>
  <c r="BO19" i="36"/>
  <c r="AF20" i="36"/>
  <c r="BH20" i="36"/>
  <c r="Y21" i="36"/>
  <c r="BA21" i="36"/>
  <c r="R22" i="36"/>
  <c r="AT22" i="36"/>
  <c r="K23" i="36"/>
  <c r="AM23" i="36"/>
  <c r="BO23" i="36"/>
  <c r="AF24" i="36"/>
  <c r="BH24" i="36"/>
  <c r="Y25" i="36"/>
  <c r="BA25" i="36"/>
  <c r="R26" i="36"/>
  <c r="AT26" i="36"/>
  <c r="K27" i="36"/>
  <c r="AM27" i="36"/>
  <c r="BO27" i="36"/>
  <c r="AF28" i="36"/>
  <c r="BH28" i="36"/>
  <c r="Y29" i="36"/>
  <c r="BA29" i="36"/>
  <c r="R30" i="36"/>
  <c r="AT30" i="36"/>
  <c r="K31" i="36"/>
  <c r="AM31" i="36"/>
  <c r="BO31" i="36"/>
  <c r="AF32" i="36"/>
  <c r="L11" i="36"/>
  <c r="AN11" i="36"/>
  <c r="C12" i="36"/>
  <c r="AG12" i="36"/>
  <c r="BI12" i="36"/>
  <c r="Z13" i="36"/>
  <c r="BB13" i="36"/>
  <c r="S14" i="36"/>
  <c r="AU14" i="36"/>
  <c r="L15" i="36"/>
  <c r="AN15" i="36"/>
  <c r="C16" i="36"/>
  <c r="AG16" i="36"/>
  <c r="BI16" i="36"/>
  <c r="Z17" i="36"/>
  <c r="BB17" i="36"/>
  <c r="S18" i="36"/>
  <c r="AU18" i="36"/>
  <c r="L19" i="36"/>
  <c r="AN19" i="36"/>
  <c r="C20" i="36"/>
  <c r="AG20" i="36"/>
  <c r="BI20" i="36"/>
  <c r="Z21" i="36"/>
  <c r="BB21" i="36"/>
  <c r="S22" i="36"/>
  <c r="AU22" i="36"/>
  <c r="L23" i="36"/>
  <c r="AN23" i="36"/>
  <c r="C24" i="36"/>
  <c r="AG24" i="36"/>
  <c r="BI24" i="36"/>
  <c r="Z25" i="36"/>
  <c r="BB25" i="36"/>
  <c r="S26" i="36"/>
  <c r="AU26" i="36"/>
  <c r="L27" i="36"/>
  <c r="AN27" i="36"/>
  <c r="C28" i="36"/>
  <c r="AG28" i="36"/>
  <c r="BI28" i="36"/>
  <c r="Z29" i="36"/>
  <c r="BB29" i="36"/>
  <c r="S30" i="36"/>
  <c r="AU30" i="36"/>
  <c r="L31" i="36"/>
  <c r="AN31" i="36"/>
  <c r="C32" i="36"/>
  <c r="AG32" i="36"/>
  <c r="M11" i="36"/>
  <c r="AO11" i="36"/>
  <c r="E12" i="36"/>
  <c r="AH12" i="36"/>
  <c r="BJ12" i="36"/>
  <c r="AA13" i="36"/>
  <c r="BC13" i="36"/>
  <c r="T14" i="36"/>
  <c r="AV14" i="36"/>
  <c r="M15" i="36"/>
  <c r="AO15" i="36"/>
  <c r="E16" i="36"/>
  <c r="AH16" i="36"/>
  <c r="BJ16" i="36"/>
  <c r="AA17" i="36"/>
  <c r="BC17" i="36"/>
  <c r="T18" i="36"/>
  <c r="AV18" i="36"/>
  <c r="M19" i="36"/>
  <c r="AO19" i="36"/>
  <c r="E20" i="36"/>
  <c r="AH20" i="36"/>
  <c r="BJ20" i="36"/>
  <c r="AA21" i="36"/>
  <c r="BC21" i="36"/>
  <c r="T22" i="36"/>
  <c r="AV22" i="36"/>
  <c r="M23" i="36"/>
  <c r="AO23" i="36"/>
  <c r="E24" i="36"/>
  <c r="AH24" i="36"/>
  <c r="BJ24" i="36"/>
  <c r="N11" i="36"/>
  <c r="AP11" i="36"/>
  <c r="G12" i="36"/>
  <c r="AI12" i="36"/>
  <c r="BK12" i="36"/>
  <c r="AB13" i="36"/>
  <c r="BD13" i="36"/>
  <c r="U14" i="36"/>
  <c r="AW14" i="36"/>
  <c r="N15" i="36"/>
  <c r="AP15" i="36"/>
  <c r="G16" i="36"/>
  <c r="AI16" i="36"/>
  <c r="BK16" i="36"/>
  <c r="AB17" i="36"/>
  <c r="BD17" i="36"/>
  <c r="U18" i="36"/>
  <c r="AW18" i="36"/>
  <c r="O11" i="36"/>
  <c r="AQ11" i="36"/>
  <c r="H12" i="36"/>
  <c r="AJ12" i="36"/>
  <c r="BL12" i="36"/>
  <c r="AC13" i="36"/>
  <c r="BE13" i="36"/>
  <c r="V14" i="36"/>
  <c r="AX14" i="36"/>
  <c r="O15" i="36"/>
  <c r="AQ15" i="36"/>
  <c r="H16" i="36"/>
  <c r="AJ16" i="36"/>
  <c r="BL16" i="36"/>
  <c r="AC17" i="36"/>
  <c r="BE17" i="36"/>
  <c r="V18" i="36"/>
  <c r="AX18" i="36"/>
  <c r="O19" i="36"/>
  <c r="AQ19" i="36"/>
  <c r="H20" i="36"/>
  <c r="AJ20" i="36"/>
  <c r="BL20" i="36"/>
  <c r="AC21" i="36"/>
  <c r="BE21" i="36"/>
  <c r="V22" i="36"/>
  <c r="AX22" i="36"/>
  <c r="O23" i="36"/>
  <c r="AQ23" i="36"/>
  <c r="H24" i="36"/>
  <c r="AJ24" i="36"/>
  <c r="BL24" i="36"/>
  <c r="R11" i="36"/>
  <c r="AT11" i="36"/>
  <c r="K12" i="36"/>
  <c r="AM12" i="36"/>
  <c r="BO12" i="36"/>
  <c r="AF13" i="36"/>
  <c r="BH13" i="36"/>
  <c r="Y14" i="36"/>
  <c r="BA14" i="36"/>
  <c r="R15" i="36"/>
  <c r="AT15" i="36"/>
  <c r="K16" i="36"/>
  <c r="AM16" i="36"/>
  <c r="BO16" i="36"/>
  <c r="AF17" i="36"/>
  <c r="BH17" i="36"/>
  <c r="Y18" i="36"/>
  <c r="BA18" i="36"/>
  <c r="R19" i="36"/>
  <c r="AT19" i="36"/>
  <c r="K20" i="36"/>
  <c r="AM20" i="36"/>
  <c r="BO20" i="36"/>
  <c r="AF21" i="36"/>
  <c r="BH21" i="36"/>
  <c r="Y22" i="36"/>
  <c r="BA22" i="36"/>
  <c r="R23" i="36"/>
  <c r="AT23" i="36"/>
  <c r="K24" i="36"/>
  <c r="AM24" i="36"/>
  <c r="BO24" i="36"/>
  <c r="U11" i="36"/>
  <c r="AW11" i="36"/>
  <c r="N12" i="36"/>
  <c r="AP12" i="36"/>
  <c r="G13" i="36"/>
  <c r="AI13" i="36"/>
  <c r="BK13" i="36"/>
  <c r="AB14" i="36"/>
  <c r="BD14" i="36"/>
  <c r="U15" i="36"/>
  <c r="AW15" i="36"/>
  <c r="N16" i="36"/>
  <c r="AP16" i="36"/>
  <c r="G17" i="36"/>
  <c r="AI17" i="36"/>
  <c r="BK17" i="36"/>
  <c r="AB18" i="36"/>
  <c r="BD18" i="36"/>
  <c r="U19" i="36"/>
  <c r="AW19" i="36"/>
  <c r="N20" i="36"/>
  <c r="AP20" i="36"/>
  <c r="G21" i="36"/>
  <c r="AI21" i="36"/>
  <c r="BK21" i="36"/>
  <c r="AB22" i="36"/>
  <c r="BD22" i="36"/>
  <c r="U23" i="36"/>
  <c r="AW23" i="36"/>
  <c r="N24" i="36"/>
  <c r="X11" i="36"/>
  <c r="AZ11" i="36"/>
  <c r="Q12" i="36"/>
  <c r="AS12" i="36"/>
  <c r="J13" i="36"/>
  <c r="AL13" i="36"/>
  <c r="BN13" i="36"/>
  <c r="AE14" i="36"/>
  <c r="BG14" i="36"/>
  <c r="X15" i="36"/>
  <c r="AZ15" i="36"/>
  <c r="P11" i="36"/>
  <c r="BG11" i="36"/>
  <c r="AV12" i="36"/>
  <c r="AJ13" i="36"/>
  <c r="W14" i="36"/>
  <c r="BN14" i="36"/>
  <c r="BC15" i="36"/>
  <c r="AO16" i="36"/>
  <c r="R17" i="36"/>
  <c r="C18" i="36"/>
  <c r="BB18" i="36"/>
  <c r="AD19" i="36"/>
  <c r="O20" i="36"/>
  <c r="BA20" i="36"/>
  <c r="AL21" i="36"/>
  <c r="M22" i="36"/>
  <c r="BI22" i="36"/>
  <c r="AR23" i="36"/>
  <c r="U24" i="36"/>
  <c r="BN24" i="36"/>
  <c r="AL25" i="36"/>
  <c r="I26" i="36"/>
  <c r="AW26" i="36"/>
  <c r="T27" i="36"/>
  <c r="BB27" i="36"/>
  <c r="Y28" i="36"/>
  <c r="BM28" i="36"/>
  <c r="AJ29" i="36"/>
  <c r="G30" i="36"/>
  <c r="AO30" i="36"/>
  <c r="R31" i="36"/>
  <c r="AZ31" i="36"/>
  <c r="W32" i="36"/>
  <c r="BI32" i="36"/>
  <c r="AD33" i="36"/>
  <c r="BJ33" i="36"/>
  <c r="AE34" i="36"/>
  <c r="BK34" i="36"/>
  <c r="AF35" i="36"/>
  <c r="C36" i="36"/>
  <c r="AK36" i="36"/>
  <c r="E37" i="36"/>
  <c r="D37" i="36" s="1"/>
  <c r="AL37" i="36"/>
  <c r="G38" i="36"/>
  <c r="AM38" i="36"/>
  <c r="L39" i="36"/>
  <c r="AR39" i="36"/>
  <c r="M40" i="36"/>
  <c r="AS40" i="36"/>
  <c r="N41" i="36"/>
  <c r="AQ41" i="36"/>
  <c r="I42" i="36"/>
  <c r="AL42" i="36"/>
  <c r="BO42" i="36"/>
  <c r="AG43" i="36"/>
  <c r="BJ43" i="36"/>
  <c r="AC44" i="36"/>
  <c r="BF44" i="36"/>
  <c r="X45" i="36"/>
  <c r="BA45" i="36"/>
  <c r="S46" i="36"/>
  <c r="AV46" i="36"/>
  <c r="N47" i="36"/>
  <c r="AQ47" i="36"/>
  <c r="I48" i="36"/>
  <c r="AL48" i="36"/>
  <c r="BN48" i="36"/>
  <c r="AE49" i="36"/>
  <c r="BG49" i="36"/>
  <c r="X50" i="36"/>
  <c r="AZ50" i="36"/>
  <c r="Q51" i="36"/>
  <c r="AS51" i="36"/>
  <c r="J52" i="36"/>
  <c r="AL52" i="36"/>
  <c r="BN52" i="36"/>
  <c r="AE53" i="36"/>
  <c r="BG53" i="36"/>
  <c r="X54" i="36"/>
  <c r="AZ54" i="36"/>
  <c r="Q55" i="36"/>
  <c r="AS55" i="36"/>
  <c r="J56" i="36"/>
  <c r="AL56" i="36"/>
  <c r="BN56" i="36"/>
  <c r="AE57" i="36"/>
  <c r="BG57" i="36"/>
  <c r="X58" i="36"/>
  <c r="AZ58" i="36"/>
  <c r="Q59" i="36"/>
  <c r="AS59" i="36"/>
  <c r="J60" i="36"/>
  <c r="AL60" i="36"/>
  <c r="BN60" i="36"/>
  <c r="AE61" i="36"/>
  <c r="BG61" i="36"/>
  <c r="X62" i="36"/>
  <c r="AZ62" i="36"/>
  <c r="Q63" i="36"/>
  <c r="AS63" i="36"/>
  <c r="Q11" i="36"/>
  <c r="BH11" i="36"/>
  <c r="AW12" i="36"/>
  <c r="AK13" i="36"/>
  <c r="X14" i="36"/>
  <c r="BO14" i="36"/>
  <c r="BD15" i="36"/>
  <c r="AQ16" i="36"/>
  <c r="S17" i="36"/>
  <c r="E18" i="36"/>
  <c r="BC18" i="36"/>
  <c r="AE19" i="36"/>
  <c r="P20" i="36"/>
  <c r="BB20" i="36"/>
  <c r="AM21" i="36"/>
  <c r="U22" i="36"/>
  <c r="BJ22" i="36"/>
  <c r="AS23" i="36"/>
  <c r="V24" i="36"/>
  <c r="C25" i="36"/>
  <c r="AM25" i="36"/>
  <c r="J26" i="36"/>
  <c r="AX26" i="36"/>
  <c r="U27" i="36"/>
  <c r="BC27" i="36"/>
  <c r="Z28" i="36"/>
  <c r="BN28" i="36"/>
  <c r="AK29" i="36"/>
  <c r="H30" i="36"/>
  <c r="AV30" i="36"/>
  <c r="S31" i="36"/>
  <c r="BA31" i="36"/>
  <c r="X32" i="36"/>
  <c r="BJ32" i="36"/>
  <c r="AE33" i="36"/>
  <c r="BK33" i="36"/>
  <c r="AF34" i="36"/>
  <c r="BL34" i="36"/>
  <c r="AG35" i="36"/>
  <c r="E36" i="36"/>
  <c r="D36" i="36" s="1"/>
  <c r="AL36" i="36"/>
  <c r="G37" i="36"/>
  <c r="AM37" i="36"/>
  <c r="H38" i="36"/>
  <c r="AN38" i="36"/>
  <c r="M39" i="36"/>
  <c r="AS39" i="36"/>
  <c r="N40" i="36"/>
  <c r="AT40" i="36"/>
  <c r="O41" i="36"/>
  <c r="AR41" i="36"/>
  <c r="J42" i="36"/>
  <c r="AM42" i="36"/>
  <c r="C43" i="36"/>
  <c r="AH43" i="36"/>
  <c r="BL43" i="36"/>
  <c r="AD44" i="36"/>
  <c r="BG44" i="36"/>
  <c r="Y45" i="36"/>
  <c r="BB45" i="36"/>
  <c r="T46" i="36"/>
  <c r="AW46" i="36"/>
  <c r="O47" i="36"/>
  <c r="AR47" i="36"/>
  <c r="J48" i="36"/>
  <c r="AM48" i="36"/>
  <c r="BO48" i="36"/>
  <c r="AF49" i="36"/>
  <c r="BH49" i="36"/>
  <c r="Y50" i="36"/>
  <c r="BA50" i="36"/>
  <c r="R51" i="36"/>
  <c r="AT51" i="36"/>
  <c r="K52" i="36"/>
  <c r="AM52" i="36"/>
  <c r="S11" i="36"/>
  <c r="BI11" i="36"/>
  <c r="AX12" i="36"/>
  <c r="AM13" i="36"/>
  <c r="Z14" i="36"/>
  <c r="C15" i="36"/>
  <c r="BE15" i="36"/>
  <c r="AR16" i="36"/>
  <c r="T17" i="36"/>
  <c r="G18" i="36"/>
  <c r="BE18" i="36"/>
  <c r="AF19" i="36"/>
  <c r="Q20" i="36"/>
  <c r="BC20" i="36"/>
  <c r="AN21" i="36"/>
  <c r="W22" i="36"/>
  <c r="BK22" i="36"/>
  <c r="AU23" i="36"/>
  <c r="W24" i="36"/>
  <c r="E25" i="36"/>
  <c r="AN25" i="36"/>
  <c r="K26" i="36"/>
  <c r="AY26" i="36"/>
  <c r="V27" i="36"/>
  <c r="BD27" i="36"/>
  <c r="AA28" i="36"/>
  <c r="BO28" i="36"/>
  <c r="AL29" i="36"/>
  <c r="I30" i="36"/>
  <c r="AW30" i="36"/>
  <c r="T31" i="36"/>
  <c r="BB31" i="36"/>
  <c r="Y32" i="36"/>
  <c r="BK32" i="36"/>
  <c r="AF33" i="36"/>
  <c r="BL33" i="36"/>
  <c r="AG34" i="36"/>
  <c r="BM34" i="36"/>
  <c r="AH35" i="36"/>
  <c r="G36" i="36"/>
  <c r="AM36" i="36"/>
  <c r="H37" i="36"/>
  <c r="AN37" i="36"/>
  <c r="I38" i="36"/>
  <c r="AO38" i="36"/>
  <c r="N39" i="36"/>
  <c r="AT39" i="36"/>
  <c r="O40" i="36"/>
  <c r="AU40" i="36"/>
  <c r="P41" i="36"/>
  <c r="AS41" i="36"/>
  <c r="K42" i="36"/>
  <c r="AN42" i="36"/>
  <c r="E43" i="36"/>
  <c r="D43" i="36" s="1"/>
  <c r="AJ43" i="36"/>
  <c r="BM43" i="36"/>
  <c r="AE44" i="36"/>
  <c r="BH44" i="36"/>
  <c r="Z45" i="36"/>
  <c r="BC45" i="36"/>
  <c r="U46" i="36"/>
  <c r="AX46" i="36"/>
  <c r="P47" i="36"/>
  <c r="AS47" i="36"/>
  <c r="K48" i="36"/>
  <c r="AN48" i="36"/>
  <c r="C49" i="36"/>
  <c r="AG49" i="36"/>
  <c r="BI49" i="36"/>
  <c r="Z50" i="36"/>
  <c r="BB50" i="36"/>
  <c r="S51" i="36"/>
  <c r="AU51" i="36"/>
  <c r="L52" i="36"/>
  <c r="AN52" i="36"/>
  <c r="C53" i="36"/>
  <c r="AG53" i="36"/>
  <c r="BI53" i="36"/>
  <c r="Z54" i="36"/>
  <c r="BB54" i="36"/>
  <c r="S55" i="36"/>
  <c r="AU55" i="36"/>
  <c r="L56" i="36"/>
  <c r="AN56" i="36"/>
  <c r="C57" i="36"/>
  <c r="T11" i="36"/>
  <c r="BJ11" i="36"/>
  <c r="AY12" i="36"/>
  <c r="AN13" i="36"/>
  <c r="AA14" i="36"/>
  <c r="E15" i="36"/>
  <c r="BF15" i="36"/>
  <c r="AS16" i="36"/>
  <c r="AD17" i="36"/>
  <c r="H18" i="36"/>
  <c r="BF18" i="36"/>
  <c r="AG19" i="36"/>
  <c r="R20" i="36"/>
  <c r="BK20" i="36"/>
  <c r="AO21" i="36"/>
  <c r="X22" i="36"/>
  <c r="BL22" i="36"/>
  <c r="AV23" i="36"/>
  <c r="X24" i="36"/>
  <c r="G25" i="36"/>
  <c r="AO25" i="36"/>
  <c r="L26" i="36"/>
  <c r="AZ26" i="36"/>
  <c r="W27" i="36"/>
  <c r="BE27" i="36"/>
  <c r="AH28" i="36"/>
  <c r="C29" i="36"/>
  <c r="AM29" i="36"/>
  <c r="J30" i="36"/>
  <c r="AX30" i="36"/>
  <c r="U31" i="36"/>
  <c r="BC31" i="36"/>
  <c r="Z32" i="36"/>
  <c r="BL32" i="36"/>
  <c r="AG33" i="36"/>
  <c r="BM33" i="36"/>
  <c r="AH34" i="36"/>
  <c r="BN34" i="36"/>
  <c r="AM35" i="36"/>
  <c r="H36" i="36"/>
  <c r="AN36" i="36"/>
  <c r="I37" i="36"/>
  <c r="AO37" i="36"/>
  <c r="J38" i="36"/>
  <c r="AT38" i="36"/>
  <c r="O39" i="36"/>
  <c r="AU39" i="36"/>
  <c r="P40" i="36"/>
  <c r="AV40" i="36"/>
  <c r="Q41" i="36"/>
  <c r="AT41" i="36"/>
  <c r="L42" i="36"/>
  <c r="AO42" i="36"/>
  <c r="H43" i="36"/>
  <c r="AK43" i="36"/>
  <c r="BN43" i="36"/>
  <c r="AF44" i="36"/>
  <c r="BI44" i="36"/>
  <c r="AA45" i="36"/>
  <c r="BD45" i="36"/>
  <c r="V46" i="36"/>
  <c r="AY46" i="36"/>
  <c r="Q47" i="36"/>
  <c r="AT47" i="36"/>
  <c r="L48" i="36"/>
  <c r="AO48" i="36"/>
  <c r="E49" i="36"/>
  <c r="D49" i="36" s="1"/>
  <c r="AH49" i="36"/>
  <c r="BJ49" i="36"/>
  <c r="AA50" i="36"/>
  <c r="BC50" i="36"/>
  <c r="T51" i="36"/>
  <c r="AV51" i="36"/>
  <c r="M52" i="36"/>
  <c r="AO52" i="36"/>
  <c r="W11" i="36"/>
  <c r="J12" i="36"/>
  <c r="BA12" i="36"/>
  <c r="AP13" i="36"/>
  <c r="AD14" i="36"/>
  <c r="Q15" i="36"/>
  <c r="BH15" i="36"/>
  <c r="AU16" i="36"/>
  <c r="AG17" i="36"/>
  <c r="J18" i="36"/>
  <c r="BH18" i="36"/>
  <c r="AP19" i="36"/>
  <c r="T20" i="36"/>
  <c r="BN20" i="36"/>
  <c r="AQ21" i="36"/>
  <c r="AA22" i="36"/>
  <c r="BN22" i="36"/>
  <c r="AY23" i="36"/>
  <c r="Z24" i="36"/>
  <c r="I25" i="36"/>
  <c r="AQ25" i="36"/>
  <c r="T26" i="36"/>
  <c r="BB26" i="36"/>
  <c r="Y27" i="36"/>
  <c r="BG27" i="36"/>
  <c r="AJ28" i="36"/>
  <c r="G29" i="36"/>
  <c r="AO29" i="36"/>
  <c r="L30" i="36"/>
  <c r="AZ30" i="36"/>
  <c r="W31" i="36"/>
  <c r="BE31" i="36"/>
  <c r="AH32" i="36"/>
  <c r="BN32" i="36"/>
  <c r="AI33" i="36"/>
  <c r="BO33" i="36"/>
  <c r="AJ34" i="36"/>
  <c r="C35" i="36"/>
  <c r="AO35" i="36"/>
  <c r="J36" i="36"/>
  <c r="AP36" i="36"/>
  <c r="K37" i="36"/>
  <c r="AQ37" i="36"/>
  <c r="L38" i="36"/>
  <c r="AV38" i="36"/>
  <c r="Q39" i="36"/>
  <c r="AW39" i="36"/>
  <c r="R40" i="36"/>
  <c r="AX40" i="36"/>
  <c r="S41" i="36"/>
  <c r="AV41" i="36"/>
  <c r="O42" i="36"/>
  <c r="AR42" i="36"/>
  <c r="J43" i="36"/>
  <c r="AM43" i="36"/>
  <c r="C44" i="36"/>
  <c r="AH44" i="36"/>
  <c r="BK44" i="36"/>
  <c r="AC45" i="36"/>
  <c r="BF45" i="36"/>
  <c r="X46" i="36"/>
  <c r="BA46" i="36"/>
  <c r="S47" i="36"/>
  <c r="AV47" i="36"/>
  <c r="N48" i="36"/>
  <c r="AQ48" i="36"/>
  <c r="H49" i="36"/>
  <c r="AJ49" i="36"/>
  <c r="BL49" i="36"/>
  <c r="AC50" i="36"/>
  <c r="BE50" i="36"/>
  <c r="V51" i="36"/>
  <c r="AX51" i="36"/>
  <c r="O52" i="36"/>
  <c r="Y11" i="36"/>
  <c r="L12" i="36"/>
  <c r="BB12" i="36"/>
  <c r="AQ13" i="36"/>
  <c r="AF14" i="36"/>
  <c r="S15" i="36"/>
  <c r="BI15" i="36"/>
  <c r="AV16" i="36"/>
  <c r="AH17" i="36"/>
  <c r="K18" i="36"/>
  <c r="BI18" i="36"/>
  <c r="AR19" i="36"/>
  <c r="U20" i="36"/>
  <c r="C21" i="36"/>
  <c r="AR21" i="36"/>
  <c r="AC22" i="36"/>
  <c r="BO22" i="36"/>
  <c r="AZ23" i="36"/>
  <c r="AA24" i="36"/>
  <c r="J25" i="36"/>
  <c r="AR25" i="36"/>
  <c r="U26" i="36"/>
  <c r="BC26" i="36"/>
  <c r="Z27" i="36"/>
  <c r="BH27" i="36"/>
  <c r="AK28" i="36"/>
  <c r="H29" i="36"/>
  <c r="AP29" i="36"/>
  <c r="M30" i="36"/>
  <c r="Z11" i="36"/>
  <c r="M12" i="36"/>
  <c r="BC12" i="36"/>
  <c r="AR13" i="36"/>
  <c r="AG14" i="36"/>
  <c r="AA11" i="36"/>
  <c r="O12" i="36"/>
  <c r="BM12" i="36"/>
  <c r="AS13" i="36"/>
  <c r="AH14" i="36"/>
  <c r="V15" i="36"/>
  <c r="I16" i="36"/>
  <c r="AX16" i="36"/>
  <c r="AK17" i="36"/>
  <c r="M18" i="36"/>
  <c r="BK18" i="36"/>
  <c r="AU19" i="36"/>
  <c r="W20" i="36"/>
  <c r="H21" i="36"/>
  <c r="AT21" i="36"/>
  <c r="AE22" i="36"/>
  <c r="E23" i="36"/>
  <c r="BB23" i="36"/>
  <c r="AK24" i="36"/>
  <c r="L25" i="36"/>
  <c r="AT25" i="36"/>
  <c r="W26" i="36"/>
  <c r="BE26" i="36"/>
  <c r="AB27" i="36"/>
  <c r="BJ27" i="36"/>
  <c r="AM28" i="36"/>
  <c r="J29" i="36"/>
  <c r="AR29" i="36"/>
  <c r="U30" i="36"/>
  <c r="BC30" i="36"/>
  <c r="Z31" i="36"/>
  <c r="BH31" i="36"/>
  <c r="AK32" i="36"/>
  <c r="E33" i="36"/>
  <c r="D33" i="36" s="1"/>
  <c r="AL33" i="36"/>
  <c r="G34" i="36"/>
  <c r="AM34" i="36"/>
  <c r="L35" i="36"/>
  <c r="AR35" i="36"/>
  <c r="M36" i="36"/>
  <c r="AS36" i="36"/>
  <c r="N37" i="36"/>
  <c r="AT37" i="36"/>
  <c r="S38" i="36"/>
  <c r="AY38" i="36"/>
  <c r="T39" i="36"/>
  <c r="AZ39" i="36"/>
  <c r="U40" i="36"/>
  <c r="BA40" i="36"/>
  <c r="W41" i="36"/>
  <c r="AZ41" i="36"/>
  <c r="R42" i="36"/>
  <c r="AU42" i="36"/>
  <c r="M43" i="36"/>
  <c r="AP43" i="36"/>
  <c r="H44" i="36"/>
  <c r="AG11" i="36"/>
  <c r="V12" i="36"/>
  <c r="K13" i="36"/>
  <c r="BI13" i="36"/>
  <c r="AN14" i="36"/>
  <c r="AC15" i="36"/>
  <c r="Q16" i="36"/>
  <c r="BM16" i="36"/>
  <c r="AQ17" i="36"/>
  <c r="AD18" i="36"/>
  <c r="E19" i="36"/>
  <c r="BB19" i="36"/>
  <c r="AK20" i="36"/>
  <c r="N21" i="36"/>
  <c r="BI21" i="36"/>
  <c r="AK22" i="36"/>
  <c r="V23" i="36"/>
  <c r="BH23" i="36"/>
  <c r="AR24" i="36"/>
  <c r="R25" i="36"/>
  <c r="BF25" i="36"/>
  <c r="AC26" i="36"/>
  <c r="BK26" i="36"/>
  <c r="AH27" i="36"/>
  <c r="K28" i="36"/>
  <c r="AS28" i="36"/>
  <c r="P29" i="36"/>
  <c r="BD29" i="36"/>
  <c r="V11" i="36"/>
  <c r="Z12" i="36"/>
  <c r="AH13" i="36"/>
  <c r="AZ14" i="36"/>
  <c r="AY15" i="36"/>
  <c r="BB16" i="36"/>
  <c r="BG17" i="36"/>
  <c r="BJ18" i="36"/>
  <c r="BE19" i="36"/>
  <c r="AX20" i="36"/>
  <c r="BF21" i="36"/>
  <c r="AZ22" i="36"/>
  <c r="BA23" i="36"/>
  <c r="AU24" i="36"/>
  <c r="AI25" i="36"/>
  <c r="AA26" i="36"/>
  <c r="M27" i="36"/>
  <c r="BI27" i="36"/>
  <c r="AV28" i="36"/>
  <c r="AG29" i="36"/>
  <c r="Y30" i="36"/>
  <c r="BM30" i="36"/>
  <c r="AV31" i="36"/>
  <c r="AJ32" i="36"/>
  <c r="L33" i="36"/>
  <c r="BB33" i="36"/>
  <c r="AC34" i="36"/>
  <c r="N35" i="36"/>
  <c r="AZ35" i="36"/>
  <c r="AA36" i="36"/>
  <c r="J37" i="36"/>
  <c r="BB37" i="36"/>
  <c r="AC38" i="36"/>
  <c r="BO38" i="36"/>
  <c r="AY39" i="36"/>
  <c r="AA40" i="36"/>
  <c r="E41" i="36"/>
  <c r="D41" i="36" s="1"/>
  <c r="AO41" i="36"/>
  <c r="T42" i="36"/>
  <c r="BC42" i="36"/>
  <c r="AA43" i="36"/>
  <c r="BO43" i="36"/>
  <c r="AN44" i="36"/>
  <c r="K45" i="36"/>
  <c r="AS45" i="36"/>
  <c r="Q46" i="36"/>
  <c r="BD46" i="36"/>
  <c r="AA47" i="36"/>
  <c r="BI47" i="36"/>
  <c r="AG48" i="36"/>
  <c r="G49" i="36"/>
  <c r="AO49" i="36"/>
  <c r="K50" i="36"/>
  <c r="AR50" i="36"/>
  <c r="N51" i="36"/>
  <c r="AZ51" i="36"/>
  <c r="V52" i="36"/>
  <c r="BB52" i="36"/>
  <c r="U53" i="36"/>
  <c r="AY53" i="36"/>
  <c r="R54" i="36"/>
  <c r="AV54" i="36"/>
  <c r="O55" i="36"/>
  <c r="AT55" i="36"/>
  <c r="N56" i="36"/>
  <c r="AR56" i="36"/>
  <c r="K57" i="36"/>
  <c r="AN57" i="36"/>
  <c r="E58" i="36"/>
  <c r="D58" i="36" s="1"/>
  <c r="AI58" i="36"/>
  <c r="BL58" i="36"/>
  <c r="AD59" i="36"/>
  <c r="BG59" i="36"/>
  <c r="Y60" i="36"/>
  <c r="BB60" i="36"/>
  <c r="T61" i="36"/>
  <c r="AW61" i="36"/>
  <c r="O62" i="36"/>
  <c r="AR62" i="36"/>
  <c r="J63" i="36"/>
  <c r="AM63" i="36"/>
  <c r="C64" i="36"/>
  <c r="AG64" i="36"/>
  <c r="BI64" i="36"/>
  <c r="Z65" i="36"/>
  <c r="BB65" i="36"/>
  <c r="S66" i="36"/>
  <c r="AU66" i="36"/>
  <c r="L67" i="36"/>
  <c r="AN67" i="36"/>
  <c r="C68" i="36"/>
  <c r="AG68" i="36"/>
  <c r="BI68" i="36"/>
  <c r="Z69" i="36"/>
  <c r="BB69" i="36"/>
  <c r="S70" i="36"/>
  <c r="AU70" i="36"/>
  <c r="L71" i="36"/>
  <c r="AN71" i="36"/>
  <c r="C72" i="36"/>
  <c r="AG72" i="36"/>
  <c r="BI72" i="36"/>
  <c r="Z73" i="36"/>
  <c r="BB73" i="36"/>
  <c r="S74" i="36"/>
  <c r="AB11" i="36"/>
  <c r="AA12" i="36"/>
  <c r="AO13" i="36"/>
  <c r="BB14" i="36"/>
  <c r="BA15" i="36"/>
  <c r="BC16" i="36"/>
  <c r="BI17" i="36"/>
  <c r="BL18" i="36"/>
  <c r="BF19" i="36"/>
  <c r="AY20" i="36"/>
  <c r="BG21" i="36"/>
  <c r="BB22" i="36"/>
  <c r="BC23" i="36"/>
  <c r="AV24" i="36"/>
  <c r="AJ25" i="36"/>
  <c r="AB26" i="36"/>
  <c r="N27" i="36"/>
  <c r="E28" i="36"/>
  <c r="AW28" i="36"/>
  <c r="AH29" i="36"/>
  <c r="Z30" i="36"/>
  <c r="BN30" i="36"/>
  <c r="AW31" i="36"/>
  <c r="AL32" i="36"/>
  <c r="M33" i="36"/>
  <c r="BC33" i="36"/>
  <c r="AD34" i="36"/>
  <c r="O35" i="36"/>
  <c r="BA35" i="36"/>
  <c r="AF36" i="36"/>
  <c r="L37" i="36"/>
  <c r="BC37" i="36"/>
  <c r="AD38" i="36"/>
  <c r="C39" i="36"/>
  <c r="BA39" i="36"/>
  <c r="AF40" i="36"/>
  <c r="G41" i="36"/>
  <c r="AP41" i="36"/>
  <c r="U42" i="36"/>
  <c r="BD42" i="36"/>
  <c r="AB43" i="36"/>
  <c r="E44" i="36"/>
  <c r="D44" i="36" s="1"/>
  <c r="AO44" i="36"/>
  <c r="L45" i="36"/>
  <c r="AT45" i="36"/>
  <c r="R46" i="36"/>
  <c r="BE46" i="36"/>
  <c r="AB47" i="36"/>
  <c r="BJ47" i="36"/>
  <c r="AH48" i="36"/>
  <c r="I49" i="36"/>
  <c r="AP49" i="36"/>
  <c r="L50" i="36"/>
  <c r="AS50" i="36"/>
  <c r="O51" i="36"/>
  <c r="BA51" i="36"/>
  <c r="W52" i="36"/>
  <c r="BC52" i="36"/>
  <c r="V53" i="36"/>
  <c r="AZ53" i="36"/>
  <c r="S54" i="36"/>
  <c r="AW54" i="36"/>
  <c r="P55" i="36"/>
  <c r="AV55" i="36"/>
  <c r="O56" i="36"/>
  <c r="AS56" i="36"/>
  <c r="L57" i="36"/>
  <c r="AO57" i="36"/>
  <c r="G58" i="36"/>
  <c r="AJ58" i="36"/>
  <c r="BM58" i="36"/>
  <c r="AE59" i="36"/>
  <c r="BH59" i="36"/>
  <c r="Z60" i="36"/>
  <c r="BC60" i="36"/>
  <c r="U61" i="36"/>
  <c r="AX61" i="36"/>
  <c r="P62" i="36"/>
  <c r="AS62" i="36"/>
  <c r="K63" i="36"/>
  <c r="AN63" i="36"/>
  <c r="E64" i="36"/>
  <c r="D64" i="36" s="1"/>
  <c r="AH64" i="36"/>
  <c r="BJ64" i="36"/>
  <c r="AA65" i="36"/>
  <c r="AC11" i="36"/>
  <c r="AK12" i="36"/>
  <c r="AT13" i="36"/>
  <c r="BC14" i="36"/>
  <c r="BB15" i="36"/>
  <c r="BN16" i="36"/>
  <c r="BJ17" i="36"/>
  <c r="BM18" i="36"/>
  <c r="BG19" i="36"/>
  <c r="AZ20" i="36"/>
  <c r="BJ21" i="36"/>
  <c r="BC22" i="36"/>
  <c r="BD23" i="36"/>
  <c r="AW24" i="36"/>
  <c r="AK25" i="36"/>
  <c r="AD26" i="36"/>
  <c r="O27" i="36"/>
  <c r="G28" i="36"/>
  <c r="AX28" i="36"/>
  <c r="AI29" i="36"/>
  <c r="AA30" i="36"/>
  <c r="BO30" i="36"/>
  <c r="AX31" i="36"/>
  <c r="AM32" i="36"/>
  <c r="N33" i="36"/>
  <c r="BD33" i="36"/>
  <c r="AI34" i="36"/>
  <c r="P35" i="36"/>
  <c r="BB35" i="36"/>
  <c r="AG36" i="36"/>
  <c r="M37" i="36"/>
  <c r="BD37" i="36"/>
  <c r="AE38" i="36"/>
  <c r="E39" i="36"/>
  <c r="D39" i="36" s="1"/>
  <c r="BB39" i="36"/>
  <c r="AG40" i="36"/>
  <c r="H41" i="36"/>
  <c r="AU41" i="36"/>
  <c r="V42" i="36"/>
  <c r="BE42" i="36"/>
  <c r="AC43" i="36"/>
  <c r="G44" i="36"/>
  <c r="AP44" i="36"/>
  <c r="M45" i="36"/>
  <c r="AU45" i="36"/>
  <c r="W46" i="36"/>
  <c r="BF46" i="36"/>
  <c r="AC47" i="36"/>
  <c r="BL47" i="36"/>
  <c r="AI48" i="36"/>
  <c r="J49" i="36"/>
  <c r="AQ49" i="36"/>
  <c r="M50" i="36"/>
  <c r="AT50" i="36"/>
  <c r="P51" i="36"/>
  <c r="BB51" i="36"/>
  <c r="X52" i="36"/>
  <c r="BD52" i="36"/>
  <c r="W53" i="36"/>
  <c r="BA53" i="36"/>
  <c r="T54" i="36"/>
  <c r="AX54" i="36"/>
  <c r="R55" i="36"/>
  <c r="AW55" i="36"/>
  <c r="P56" i="36"/>
  <c r="AT56" i="36"/>
  <c r="M57" i="36"/>
  <c r="AP57" i="36"/>
  <c r="H58" i="36"/>
  <c r="AK58" i="36"/>
  <c r="BN58" i="36"/>
  <c r="AF59" i="36"/>
  <c r="BI59" i="36"/>
  <c r="AA60" i="36"/>
  <c r="BD60" i="36"/>
  <c r="V61" i="36"/>
  <c r="AY61" i="36"/>
  <c r="Q62" i="36"/>
  <c r="AT62" i="36"/>
  <c r="L63" i="36"/>
  <c r="AO63" i="36"/>
  <c r="G64" i="36"/>
  <c r="AI64" i="36"/>
  <c r="BK64" i="36"/>
  <c r="AB65" i="36"/>
  <c r="AD11" i="36"/>
  <c r="AL12" i="36"/>
  <c r="AU13" i="36"/>
  <c r="BE14" i="36"/>
  <c r="BG15" i="36"/>
  <c r="C17" i="36"/>
  <c r="BL17" i="36"/>
  <c r="BN18" i="36"/>
  <c r="BH19" i="36"/>
  <c r="BM20" i="36"/>
  <c r="BL21" i="36"/>
  <c r="BE22" i="36"/>
  <c r="BE23" i="36"/>
  <c r="AX24" i="36"/>
  <c r="AP25" i="36"/>
  <c r="AE26" i="36"/>
  <c r="P27" i="36"/>
  <c r="H28" i="36"/>
  <c r="AY28" i="36"/>
  <c r="AN29" i="36"/>
  <c r="AB30" i="36"/>
  <c r="C31" i="36"/>
  <c r="AY31" i="36"/>
  <c r="AN32" i="36"/>
  <c r="O33" i="36"/>
  <c r="BE33" i="36"/>
  <c r="AK34" i="36"/>
  <c r="Q35" i="36"/>
  <c r="BC35" i="36"/>
  <c r="AH36" i="36"/>
  <c r="O37" i="36"/>
  <c r="BE37" i="36"/>
  <c r="AF38" i="36"/>
  <c r="K39" i="36"/>
  <c r="BC39" i="36"/>
  <c r="AH40" i="36"/>
  <c r="I41" i="36"/>
  <c r="AX41" i="36"/>
  <c r="W42" i="36"/>
  <c r="BF42" i="36"/>
  <c r="AD43" i="36"/>
  <c r="I44" i="36"/>
  <c r="AQ44" i="36"/>
  <c r="N45" i="36"/>
  <c r="AV45" i="36"/>
  <c r="Y46" i="36"/>
  <c r="BG46" i="36"/>
  <c r="AD47" i="36"/>
  <c r="BM47" i="36"/>
  <c r="AJ48" i="36"/>
  <c r="K49" i="36"/>
  <c r="AR49" i="36"/>
  <c r="N50" i="36"/>
  <c r="AU50" i="36"/>
  <c r="U51" i="36"/>
  <c r="BC51" i="36"/>
  <c r="Y52" i="36"/>
  <c r="BE52" i="36"/>
  <c r="X53" i="36"/>
  <c r="BB53" i="36"/>
  <c r="U54" i="36"/>
  <c r="AY54" i="36"/>
  <c r="T55" i="36"/>
  <c r="AX55" i="36"/>
  <c r="Q56" i="36"/>
  <c r="AU56" i="36"/>
  <c r="N57" i="36"/>
  <c r="AQ57" i="36"/>
  <c r="I58" i="36"/>
  <c r="AL58" i="36"/>
  <c r="BO58" i="36"/>
  <c r="AG59" i="36"/>
  <c r="BJ59" i="36"/>
  <c r="AB60" i="36"/>
  <c r="BE60" i="36"/>
  <c r="W61" i="36"/>
  <c r="AZ61" i="36"/>
  <c r="R62" i="36"/>
  <c r="AU62" i="36"/>
  <c r="M63" i="36"/>
  <c r="AP63" i="36"/>
  <c r="H64" i="36"/>
  <c r="AJ64" i="36"/>
  <c r="BL64" i="36"/>
  <c r="AC65" i="36"/>
  <c r="AE11" i="36"/>
  <c r="AN12" i="36"/>
  <c r="AV13" i="36"/>
  <c r="BF14" i="36"/>
  <c r="BJ15" i="36"/>
  <c r="E17" i="36"/>
  <c r="BM17" i="36"/>
  <c r="BO18" i="36"/>
  <c r="BI19" i="36"/>
  <c r="E21" i="36"/>
  <c r="BM21" i="36"/>
  <c r="BF22" i="36"/>
  <c r="BF23" i="36"/>
  <c r="AY24" i="36"/>
  <c r="AS25" i="36"/>
  <c r="AF26" i="36"/>
  <c r="Q27" i="36"/>
  <c r="I28" i="36"/>
  <c r="AZ28" i="36"/>
  <c r="AQ29" i="36"/>
  <c r="AC30" i="36"/>
  <c r="E31" i="36"/>
  <c r="BD31" i="36"/>
  <c r="AO32" i="36"/>
  <c r="P33" i="36"/>
  <c r="BF33" i="36"/>
  <c r="AL34" i="36"/>
  <c r="R35" i="36"/>
  <c r="BD35" i="36"/>
  <c r="AI36" i="36"/>
  <c r="P37" i="36"/>
  <c r="BF37" i="36"/>
  <c r="AG38" i="36"/>
  <c r="P39" i="36"/>
  <c r="BD39" i="36"/>
  <c r="AI40" i="36"/>
  <c r="J41" i="36"/>
  <c r="AY41" i="36"/>
  <c r="X42" i="36"/>
  <c r="BG42" i="36"/>
  <c r="AE43" i="36"/>
  <c r="J44" i="36"/>
  <c r="AR44" i="36"/>
  <c r="O45" i="36"/>
  <c r="AX45" i="36"/>
  <c r="Z46" i="36"/>
  <c r="BH46" i="36"/>
  <c r="AE47" i="36"/>
  <c r="BN47" i="36"/>
  <c r="AK48" i="36"/>
  <c r="L49" i="36"/>
  <c r="AS49" i="36"/>
  <c r="O50" i="36"/>
  <c r="AV50" i="36"/>
  <c r="W51" i="36"/>
  <c r="BD51" i="36"/>
  <c r="Z52" i="36"/>
  <c r="BF52" i="36"/>
  <c r="Y53" i="36"/>
  <c r="BC53" i="36"/>
  <c r="V54" i="36"/>
  <c r="BA54" i="36"/>
  <c r="U55" i="36"/>
  <c r="AY55" i="36"/>
  <c r="R56" i="36"/>
  <c r="AV56" i="36"/>
  <c r="AF11" i="36"/>
  <c r="AO12" i="36"/>
  <c r="BF13" i="36"/>
  <c r="BH14" i="36"/>
  <c r="J16" i="36"/>
  <c r="H17" i="36"/>
  <c r="BN17" i="36"/>
  <c r="C19" i="36"/>
  <c r="BJ19" i="36"/>
  <c r="I21" i="36"/>
  <c r="BN21" i="36"/>
  <c r="BG22" i="36"/>
  <c r="BG23" i="36"/>
  <c r="AZ24" i="36"/>
  <c r="AU25" i="36"/>
  <c r="AG26" i="36"/>
  <c r="R27" i="36"/>
  <c r="J28" i="36"/>
  <c r="BA28" i="36"/>
  <c r="AS29" i="36"/>
  <c r="AD30" i="36"/>
  <c r="M31" i="36"/>
  <c r="BF31" i="36"/>
  <c r="AP32" i="36"/>
  <c r="Q33" i="36"/>
  <c r="BG33" i="36"/>
  <c r="AN34" i="36"/>
  <c r="S35" i="36"/>
  <c r="BE35" i="36"/>
  <c r="AJ36" i="36"/>
  <c r="Q37" i="36"/>
  <c r="BG37" i="36"/>
  <c r="AH38" i="36"/>
  <c r="R39" i="36"/>
  <c r="BE39" i="36"/>
  <c r="AJ40" i="36"/>
  <c r="K41" i="36"/>
  <c r="BA41" i="36"/>
  <c r="Y42" i="36"/>
  <c r="BH42" i="36"/>
  <c r="AF43" i="36"/>
  <c r="K44" i="36"/>
  <c r="AS44" i="36"/>
  <c r="P45" i="36"/>
  <c r="AY45" i="36"/>
  <c r="AA46" i="36"/>
  <c r="BI46" i="36"/>
  <c r="AF47" i="36"/>
  <c r="BO47" i="36"/>
  <c r="AP48" i="36"/>
  <c r="M49" i="36"/>
  <c r="AT49" i="36"/>
  <c r="P50" i="36"/>
  <c r="AW50" i="36"/>
  <c r="X51" i="36"/>
  <c r="BE51" i="36"/>
  <c r="AA52" i="36"/>
  <c r="BG52" i="36"/>
  <c r="Z53" i="36"/>
  <c r="BD53" i="36"/>
  <c r="W54" i="36"/>
  <c r="BC54" i="36"/>
  <c r="V55" i="36"/>
  <c r="AZ55" i="36"/>
  <c r="S56" i="36"/>
  <c r="AW56" i="36"/>
  <c r="P57" i="36"/>
  <c r="AS57" i="36"/>
  <c r="K58" i="36"/>
  <c r="AN58" i="36"/>
  <c r="E59" i="36"/>
  <c r="D59" i="36" s="1"/>
  <c r="AI59" i="36"/>
  <c r="BL59" i="36"/>
  <c r="AD60" i="36"/>
  <c r="BG60" i="36"/>
  <c r="Y61" i="36"/>
  <c r="BB61" i="36"/>
  <c r="T62" i="36"/>
  <c r="AW62" i="36"/>
  <c r="O63" i="36"/>
  <c r="AR63" i="36"/>
  <c r="J64" i="36"/>
  <c r="AL64" i="36"/>
  <c r="BN64" i="36"/>
  <c r="AE65" i="36"/>
  <c r="AH11" i="36"/>
  <c r="AQ12" i="36"/>
  <c r="BG13" i="36"/>
  <c r="BI14" i="36"/>
  <c r="L16" i="36"/>
  <c r="I17" i="36"/>
  <c r="BO17" i="36"/>
  <c r="N19" i="36"/>
  <c r="G20" i="36"/>
  <c r="J21" i="36"/>
  <c r="BO21" i="36"/>
  <c r="BH22" i="36"/>
  <c r="BI23" i="36"/>
  <c r="BA24" i="36"/>
  <c r="AV25" i="36"/>
  <c r="AH26" i="36"/>
  <c r="S27" i="36"/>
  <c r="L28" i="36"/>
  <c r="BB28" i="36"/>
  <c r="AT29" i="36"/>
  <c r="AE30" i="36"/>
  <c r="N31" i="36"/>
  <c r="BG31" i="36"/>
  <c r="AQ32" i="36"/>
  <c r="R33" i="36"/>
  <c r="BH33" i="36"/>
  <c r="AO34" i="36"/>
  <c r="T35" i="36"/>
  <c r="BF35" i="36"/>
  <c r="AO36" i="36"/>
  <c r="R37" i="36"/>
  <c r="BH37" i="36"/>
  <c r="AI38" i="36"/>
  <c r="S39" i="36"/>
  <c r="BF39" i="36"/>
  <c r="AK40" i="36"/>
  <c r="L41" i="36"/>
  <c r="BB41" i="36"/>
  <c r="Z42" i="36"/>
  <c r="BI42" i="36"/>
  <c r="AL43" i="36"/>
  <c r="L44" i="36"/>
  <c r="AT44" i="36"/>
  <c r="Q45" i="36"/>
  <c r="AZ45" i="36"/>
  <c r="AB46" i="36"/>
  <c r="BJ46" i="36"/>
  <c r="AG47" i="36"/>
  <c r="C48" i="36"/>
  <c r="AR48" i="36"/>
  <c r="N49" i="36"/>
  <c r="AU49" i="36"/>
  <c r="AR11" i="36"/>
  <c r="AR12" i="36"/>
  <c r="BJ13" i="36"/>
  <c r="BJ14" i="36"/>
  <c r="M16" i="36"/>
  <c r="J17" i="36"/>
  <c r="I18" i="36"/>
  <c r="P19" i="36"/>
  <c r="I20" i="36"/>
  <c r="K21" i="36"/>
  <c r="C22" i="36"/>
  <c r="BM22" i="36"/>
  <c r="BJ23" i="36"/>
  <c r="BB24" i="36"/>
  <c r="BC25" i="36"/>
  <c r="AI26" i="36"/>
  <c r="X27" i="36"/>
  <c r="M28" i="36"/>
  <c r="BC28" i="36"/>
  <c r="AU29" i="36"/>
  <c r="AF30" i="36"/>
  <c r="O31" i="36"/>
  <c r="BI31" i="36"/>
  <c r="AR32" i="36"/>
  <c r="S33" i="36"/>
  <c r="BI33" i="36"/>
  <c r="AT34" i="36"/>
  <c r="U35" i="36"/>
  <c r="BG35" i="36"/>
  <c r="AQ36" i="36"/>
  <c r="S37" i="36"/>
  <c r="AS11" i="36"/>
  <c r="AT12" i="36"/>
  <c r="BL13" i="36"/>
  <c r="BK14" i="36"/>
  <c r="O16" i="36"/>
  <c r="K17" i="36"/>
  <c r="L18" i="36"/>
  <c r="Q19" i="36"/>
  <c r="J20" i="36"/>
  <c r="L21" i="36"/>
  <c r="E22" i="36"/>
  <c r="C23" i="36"/>
  <c r="G24" i="36"/>
  <c r="BC24" i="36"/>
  <c r="BD25" i="36"/>
  <c r="AJ26" i="36"/>
  <c r="AA27" i="36"/>
  <c r="N28" i="36"/>
  <c r="BJ28" i="36"/>
  <c r="AV29" i="36"/>
  <c r="AG30" i="36"/>
  <c r="P31" i="36"/>
  <c r="BJ31" i="36"/>
  <c r="AS32" i="36"/>
  <c r="T33" i="36"/>
  <c r="BN33" i="36"/>
  <c r="AU34" i="36"/>
  <c r="V35" i="36"/>
  <c r="BH35" i="36"/>
  <c r="AR36" i="36"/>
  <c r="T37" i="36"/>
  <c r="BJ37" i="36"/>
  <c r="AK38" i="36"/>
  <c r="V39" i="36"/>
  <c r="BH39" i="36"/>
  <c r="AM40" i="36"/>
  <c r="R41" i="36"/>
  <c r="BD41" i="36"/>
  <c r="AB42" i="36"/>
  <c r="BK42" i="36"/>
  <c r="AO43" i="36"/>
  <c r="N44" i="36"/>
  <c r="AV44" i="36"/>
  <c r="S45" i="36"/>
  <c r="BG45" i="36"/>
  <c r="AD46" i="36"/>
  <c r="BL46" i="36"/>
  <c r="AJ47" i="36"/>
  <c r="G48" i="36"/>
  <c r="AT48" i="36"/>
  <c r="P49" i="36"/>
  <c r="AW49" i="36"/>
  <c r="S50" i="36"/>
  <c r="BD50" i="36"/>
  <c r="AA51" i="36"/>
  <c r="BH51" i="36"/>
  <c r="AD52" i="36"/>
  <c r="BJ52" i="36"/>
  <c r="AC53" i="36"/>
  <c r="BH53" i="36"/>
  <c r="AB54" i="36"/>
  <c r="BF54" i="36"/>
  <c r="Y55" i="36"/>
  <c r="BC55" i="36"/>
  <c r="V56" i="36"/>
  <c r="AZ56" i="36"/>
  <c r="S57" i="36"/>
  <c r="AV57" i="36"/>
  <c r="N58" i="36"/>
  <c r="AQ58" i="36"/>
  <c r="AX11" i="36"/>
  <c r="BN12" i="36"/>
  <c r="C14" i="36"/>
  <c r="P15" i="36"/>
  <c r="S16" i="36"/>
  <c r="N17" i="36"/>
  <c r="Z18" i="36"/>
  <c r="V19" i="36"/>
  <c r="S20" i="36"/>
  <c r="P21" i="36"/>
  <c r="I22" i="36"/>
  <c r="Q23" i="36"/>
  <c r="L24" i="36"/>
  <c r="H25" i="36"/>
  <c r="BH25" i="36"/>
  <c r="AM26" i="36"/>
  <c r="AE27" i="36"/>
  <c r="Q28" i="36"/>
  <c r="E29" i="36"/>
  <c r="BF29" i="36"/>
  <c r="AJ30" i="36"/>
  <c r="X31" i="36"/>
  <c r="H32" i="36"/>
  <c r="AV32" i="36"/>
  <c r="AA33" i="36"/>
  <c r="H34" i="36"/>
  <c r="AX34" i="36"/>
  <c r="Y35" i="36"/>
  <c r="BO35" i="36"/>
  <c r="AV36" i="36"/>
  <c r="AA37" i="36"/>
  <c r="BM37" i="36"/>
  <c r="AW38" i="36"/>
  <c r="Y39" i="36"/>
  <c r="BO39" i="36"/>
  <c r="AP40" i="36"/>
  <c r="X41" i="36"/>
  <c r="BG41" i="36"/>
  <c r="AE42" i="36"/>
  <c r="BN42" i="36"/>
  <c r="AS43" i="36"/>
  <c r="BB11" i="36"/>
  <c r="H13" i="36"/>
  <c r="H14" i="36"/>
  <c r="Y15" i="36"/>
  <c r="V16" i="36"/>
  <c r="Q17" i="36"/>
  <c r="AE18" i="36"/>
  <c r="Y19" i="36"/>
  <c r="Y20" i="36"/>
  <c r="S21" i="36"/>
  <c r="L22" i="36"/>
  <c r="W23" i="36"/>
  <c r="P24" i="36"/>
  <c r="N25" i="36"/>
  <c r="BK25" i="36"/>
  <c r="AV26" i="36"/>
  <c r="AO27" i="36"/>
  <c r="T28" i="36"/>
  <c r="L29" i="36"/>
  <c r="BI29" i="36"/>
  <c r="AM30" i="36"/>
  <c r="AB31" i="36"/>
  <c r="K32" i="36"/>
  <c r="AY32" i="36"/>
  <c r="AH33" i="36"/>
  <c r="K34" i="36"/>
  <c r="BA34" i="36"/>
  <c r="AB35" i="36"/>
  <c r="L36" i="36"/>
  <c r="AY36" i="36"/>
  <c r="AD37" i="36"/>
  <c r="C38" i="36"/>
  <c r="BA38" i="36"/>
  <c r="AB39" i="36"/>
  <c r="G40" i="36"/>
  <c r="AW40" i="36"/>
  <c r="AA41" i="36"/>
  <c r="BJ41" i="36"/>
  <c r="AH42" i="36"/>
  <c r="L43" i="36"/>
  <c r="AV43" i="36"/>
  <c r="BE11" i="36"/>
  <c r="M13" i="36"/>
  <c r="K14" i="36"/>
  <c r="AB15" i="36"/>
  <c r="Y16" i="36"/>
  <c r="AL17" i="36"/>
  <c r="AH18" i="36"/>
  <c r="AB19" i="36"/>
  <c r="AI20" i="36"/>
  <c r="AD21" i="36"/>
  <c r="AF22" i="36"/>
  <c r="Z23" i="36"/>
  <c r="S24" i="36"/>
  <c r="Q25" i="36"/>
  <c r="BN25" i="36"/>
  <c r="BF26" i="36"/>
  <c r="AR27" i="36"/>
  <c r="W28" i="36"/>
  <c r="O29" i="36"/>
  <c r="BL29" i="36"/>
  <c r="BA30" i="36"/>
  <c r="AE31" i="36"/>
  <c r="N32" i="36"/>
  <c r="BB32" i="36"/>
  <c r="AM33" i="36"/>
  <c r="R34" i="36"/>
  <c r="BD34" i="36"/>
  <c r="BF11" i="36"/>
  <c r="N13" i="36"/>
  <c r="L14" i="36"/>
  <c r="AD15" i="36"/>
  <c r="Z16" i="36"/>
  <c r="AM17" i="36"/>
  <c r="AI18" i="36"/>
  <c r="AC19" i="36"/>
  <c r="AL20" i="36"/>
  <c r="P12" i="36"/>
  <c r="P13" i="36"/>
  <c r="AC14" i="36"/>
  <c r="AF15" i="36"/>
  <c r="AK16" i="36"/>
  <c r="AO17" i="36"/>
  <c r="AK18" i="36"/>
  <c r="AS19" i="36"/>
  <c r="AO20" i="36"/>
  <c r="AH21" i="36"/>
  <c r="AI22" i="36"/>
  <c r="AC23" i="36"/>
  <c r="AI24" i="36"/>
  <c r="AU11" i="36"/>
  <c r="BM13" i="36"/>
  <c r="P16" i="36"/>
  <c r="W18" i="36"/>
  <c r="L20" i="36"/>
  <c r="BD21" i="36"/>
  <c r="AH23" i="36"/>
  <c r="AC25" i="36"/>
  <c r="BG26" i="36"/>
  <c r="R28" i="36"/>
  <c r="AE29" i="36"/>
  <c r="BG30" i="36"/>
  <c r="O32" i="36"/>
  <c r="AB33" i="36"/>
  <c r="AA34" i="36"/>
  <c r="AS35" i="36"/>
  <c r="AZ36" i="36"/>
  <c r="AV37" i="36"/>
  <c r="BE38" i="36"/>
  <c r="BG39" i="36"/>
  <c r="BI40" i="36"/>
  <c r="BF41" i="36"/>
  <c r="AW42" i="36"/>
  <c r="AU43" i="36"/>
  <c r="AG44" i="36"/>
  <c r="V45" i="36"/>
  <c r="E46" i="36"/>
  <c r="D46" i="36" s="1"/>
  <c r="BB46" i="36"/>
  <c r="AP47" i="36"/>
  <c r="Z48" i="36"/>
  <c r="R49" i="36"/>
  <c r="BK49" i="36"/>
  <c r="AO50" i="36"/>
  <c r="AD51" i="36"/>
  <c r="G52" i="36"/>
  <c r="AY52" i="36"/>
  <c r="AH53" i="36"/>
  <c r="H54" i="36"/>
  <c r="AS54" i="36"/>
  <c r="AB55" i="36"/>
  <c r="BM55" i="36"/>
  <c r="AO56" i="36"/>
  <c r="U57" i="36"/>
  <c r="BD57" i="36"/>
  <c r="AC58" i="36"/>
  <c r="C59" i="36"/>
  <c r="AN59" i="36"/>
  <c r="L60" i="36"/>
  <c r="AT60" i="36"/>
  <c r="Q61" i="36"/>
  <c r="BD61" i="36"/>
  <c r="AB62" i="36"/>
  <c r="BJ62" i="36"/>
  <c r="AG63" i="36"/>
  <c r="BO63" i="36"/>
  <c r="AP64" i="36"/>
  <c r="L65" i="36"/>
  <c r="AS65" i="36"/>
  <c r="K66" i="36"/>
  <c r="AN66" i="36"/>
  <c r="E67" i="36"/>
  <c r="D67" i="36" s="1"/>
  <c r="AI67" i="36"/>
  <c r="BL67" i="36"/>
  <c r="AD68" i="36"/>
  <c r="BG68" i="36"/>
  <c r="Y69" i="36"/>
  <c r="BC69" i="36"/>
  <c r="U70" i="36"/>
  <c r="AX70" i="36"/>
  <c r="P71" i="36"/>
  <c r="AS71" i="36"/>
  <c r="K72" i="36"/>
  <c r="AN72" i="36"/>
  <c r="E73" i="36"/>
  <c r="D73" i="36" s="1"/>
  <c r="AI73" i="36"/>
  <c r="BL73" i="36"/>
  <c r="AD74" i="36"/>
  <c r="BF74" i="36"/>
  <c r="W75" i="36"/>
  <c r="AY75" i="36"/>
  <c r="P76" i="36"/>
  <c r="AR76" i="36"/>
  <c r="I77" i="36"/>
  <c r="AK77" i="36"/>
  <c r="BM77" i="36"/>
  <c r="AD78" i="36"/>
  <c r="BF78" i="36"/>
  <c r="W79" i="36"/>
  <c r="AY79" i="36"/>
  <c r="P80" i="36"/>
  <c r="AR80" i="36"/>
  <c r="I81" i="36"/>
  <c r="AK81" i="36"/>
  <c r="BM81" i="36"/>
  <c r="AD82" i="36"/>
  <c r="BF82" i="36"/>
  <c r="W83" i="36"/>
  <c r="AY83" i="36"/>
  <c r="P84" i="36"/>
  <c r="AR84" i="36"/>
  <c r="I85" i="36"/>
  <c r="AK85" i="36"/>
  <c r="BM85" i="36"/>
  <c r="AV11" i="36"/>
  <c r="BO13" i="36"/>
  <c r="R16" i="36"/>
  <c r="X18" i="36"/>
  <c r="M20" i="36"/>
  <c r="G22" i="36"/>
  <c r="AP23" i="36"/>
  <c r="AD25" i="36"/>
  <c r="BH26" i="36"/>
  <c r="S28" i="36"/>
  <c r="AF29" i="36"/>
  <c r="BH30" i="36"/>
  <c r="P32" i="36"/>
  <c r="AC33" i="36"/>
  <c r="AB34" i="36"/>
  <c r="AT35" i="36"/>
  <c r="BA36" i="36"/>
  <c r="BA37" i="36"/>
  <c r="BF38" i="36"/>
  <c r="BI39" i="36"/>
  <c r="BJ40" i="36"/>
  <c r="BH41" i="36"/>
  <c r="AX42" i="36"/>
  <c r="AW43" i="36"/>
  <c r="AI44" i="36"/>
  <c r="W45" i="36"/>
  <c r="G46" i="36"/>
  <c r="BC46" i="36"/>
  <c r="AU47" i="36"/>
  <c r="AA48" i="36"/>
  <c r="S49" i="36"/>
  <c r="BM49" i="36"/>
  <c r="AP50" i="36"/>
  <c r="AE51" i="36"/>
  <c r="H52" i="36"/>
  <c r="AZ52" i="36"/>
  <c r="AI53" i="36"/>
  <c r="I54" i="36"/>
  <c r="AT54" i="36"/>
  <c r="AC55" i="36"/>
  <c r="BN55" i="36"/>
  <c r="AP56" i="36"/>
  <c r="V57" i="36"/>
  <c r="BE57" i="36"/>
  <c r="AD58" i="36"/>
  <c r="G59" i="36"/>
  <c r="AO59" i="36"/>
  <c r="M60" i="36"/>
  <c r="AU60" i="36"/>
  <c r="R61" i="36"/>
  <c r="BE61" i="36"/>
  <c r="AC62" i="36"/>
  <c r="BK62" i="36"/>
  <c r="AH63" i="36"/>
  <c r="I64" i="36"/>
  <c r="AQ64" i="36"/>
  <c r="M65" i="36"/>
  <c r="AT65" i="36"/>
  <c r="L66" i="36"/>
  <c r="AO66" i="36"/>
  <c r="G67" i="36"/>
  <c r="AJ67" i="36"/>
  <c r="BM67" i="36"/>
  <c r="AE68" i="36"/>
  <c r="BH68" i="36"/>
  <c r="AA69" i="36"/>
  <c r="BD69" i="36"/>
  <c r="V70" i="36"/>
  <c r="AY70" i="36"/>
  <c r="Q71" i="36"/>
  <c r="AT71" i="36"/>
  <c r="L72" i="36"/>
  <c r="AO72" i="36"/>
  <c r="G73" i="36"/>
  <c r="AJ73" i="36"/>
  <c r="BM73" i="36"/>
  <c r="AE74" i="36"/>
  <c r="BG74" i="36"/>
  <c r="X75" i="36"/>
  <c r="AZ75" i="36"/>
  <c r="Q76" i="36"/>
  <c r="AS76" i="36"/>
  <c r="J77" i="36"/>
  <c r="AL77" i="36"/>
  <c r="BN77" i="36"/>
  <c r="AE78" i="36"/>
  <c r="AY11" i="36"/>
  <c r="E14" i="36"/>
  <c r="T16" i="36"/>
  <c r="AA18" i="36"/>
  <c r="V20" i="36"/>
  <c r="H22" i="36"/>
  <c r="AX23" i="36"/>
  <c r="AE25" i="36"/>
  <c r="BI26" i="36"/>
  <c r="U28" i="36"/>
  <c r="BC29" i="36"/>
  <c r="BI30" i="36"/>
  <c r="Q32" i="36"/>
  <c r="AJ33" i="36"/>
  <c r="AV34" i="36"/>
  <c r="AU35" i="36"/>
  <c r="BB36" i="36"/>
  <c r="BI37" i="36"/>
  <c r="BG38" i="36"/>
  <c r="BJ39" i="36"/>
  <c r="BK40" i="36"/>
  <c r="BI41" i="36"/>
  <c r="AY42" i="36"/>
  <c r="AX43" i="36"/>
  <c r="AJ44" i="36"/>
  <c r="AB45" i="36"/>
  <c r="H46" i="36"/>
  <c r="BK46" i="36"/>
  <c r="AW47" i="36"/>
  <c r="AC48" i="36"/>
  <c r="T49" i="36"/>
  <c r="BN49" i="36"/>
  <c r="AQ50" i="36"/>
  <c r="AF51" i="36"/>
  <c r="I52" i="36"/>
  <c r="BA52" i="36"/>
  <c r="AJ53" i="36"/>
  <c r="J54" i="36"/>
  <c r="AU54" i="36"/>
  <c r="AD55" i="36"/>
  <c r="BO55" i="36"/>
  <c r="AQ56" i="36"/>
  <c r="W57" i="36"/>
  <c r="BF57" i="36"/>
  <c r="AE58" i="36"/>
  <c r="H59" i="36"/>
  <c r="AP59" i="36"/>
  <c r="N60" i="36"/>
  <c r="AV60" i="36"/>
  <c r="S61" i="36"/>
  <c r="BF61" i="36"/>
  <c r="AD62" i="36"/>
  <c r="BL62" i="36"/>
  <c r="AI63" i="36"/>
  <c r="K64" i="36"/>
  <c r="AR64" i="36"/>
  <c r="N65" i="36"/>
  <c r="AU65" i="36"/>
  <c r="M66" i="36"/>
  <c r="AP66" i="36"/>
  <c r="H67" i="36"/>
  <c r="AK67" i="36"/>
  <c r="BN67" i="36"/>
  <c r="AF68" i="36"/>
  <c r="BJ68" i="36"/>
  <c r="AB69" i="36"/>
  <c r="BE69" i="36"/>
  <c r="W70" i="36"/>
  <c r="AZ70" i="36"/>
  <c r="R71" i="36"/>
  <c r="AU71" i="36"/>
  <c r="M72" i="36"/>
  <c r="AP72" i="36"/>
  <c r="H73" i="36"/>
  <c r="AK73" i="36"/>
  <c r="BN73" i="36"/>
  <c r="AF74" i="36"/>
  <c r="BH74" i="36"/>
  <c r="Y75" i="36"/>
  <c r="BA75" i="36"/>
  <c r="R76" i="36"/>
  <c r="AT76" i="36"/>
  <c r="K77" i="36"/>
  <c r="AM77" i="36"/>
  <c r="BO77" i="36"/>
  <c r="BA11" i="36"/>
  <c r="G14" i="36"/>
  <c r="U16" i="36"/>
  <c r="AC18" i="36"/>
  <c r="X20" i="36"/>
  <c r="J22" i="36"/>
  <c r="I24" i="36"/>
  <c r="AF25" i="36"/>
  <c r="BJ26" i="36"/>
  <c r="V28" i="36"/>
  <c r="BE29" i="36"/>
  <c r="BJ30" i="36"/>
  <c r="R32" i="36"/>
  <c r="AK33" i="36"/>
  <c r="AW34" i="36"/>
  <c r="AV35" i="36"/>
  <c r="BC36" i="36"/>
  <c r="BK37" i="36"/>
  <c r="BH38" i="36"/>
  <c r="C40" i="36"/>
  <c r="BL40" i="36"/>
  <c r="BK41" i="36"/>
  <c r="AZ42" i="36"/>
  <c r="AY43" i="36"/>
  <c r="AK44" i="36"/>
  <c r="AD45" i="36"/>
  <c r="I46" i="36"/>
  <c r="BM46" i="36"/>
  <c r="AX47" i="36"/>
  <c r="AD48" i="36"/>
  <c r="U49" i="36"/>
  <c r="BO49" i="36"/>
  <c r="AX50" i="36"/>
  <c r="AG51" i="36"/>
  <c r="N52" i="36"/>
  <c r="BH52" i="36"/>
  <c r="AK53" i="36"/>
  <c r="K54" i="36"/>
  <c r="BD54" i="36"/>
  <c r="AE55" i="36"/>
  <c r="C56" i="36"/>
  <c r="AX56" i="36"/>
  <c r="X57" i="36"/>
  <c r="BH57" i="36"/>
  <c r="AF58" i="36"/>
  <c r="I59" i="36"/>
  <c r="AQ59" i="36"/>
  <c r="O60" i="36"/>
  <c r="AW60" i="36"/>
  <c r="X61" i="36"/>
  <c r="BH61" i="36"/>
  <c r="AE62" i="36"/>
  <c r="BM62" i="36"/>
  <c r="AJ63" i="36"/>
  <c r="L64" i="36"/>
  <c r="AS64" i="36"/>
  <c r="O65" i="36"/>
  <c r="AV65" i="36"/>
  <c r="N66" i="36"/>
  <c r="AQ66" i="36"/>
  <c r="I67" i="36"/>
  <c r="AL67" i="36"/>
  <c r="BO67" i="36"/>
  <c r="AH68" i="36"/>
  <c r="BK68" i="36"/>
  <c r="AC69" i="36"/>
  <c r="BF69" i="36"/>
  <c r="X70" i="36"/>
  <c r="BA70" i="36"/>
  <c r="S71" i="36"/>
  <c r="AV71" i="36"/>
  <c r="N72" i="36"/>
  <c r="AQ72" i="36"/>
  <c r="I73" i="36"/>
  <c r="AL73" i="36"/>
  <c r="BO73" i="36"/>
  <c r="AG74" i="36"/>
  <c r="BI74" i="36"/>
  <c r="Z75" i="36"/>
  <c r="BB75" i="36"/>
  <c r="S76" i="36"/>
  <c r="AU76" i="36"/>
  <c r="L77" i="36"/>
  <c r="AN77" i="36"/>
  <c r="C78" i="36"/>
  <c r="BC11" i="36"/>
  <c r="I14" i="36"/>
  <c r="W16" i="36"/>
  <c r="AF18" i="36"/>
  <c r="Z20" i="36"/>
  <c r="K22" i="36"/>
  <c r="J24" i="36"/>
  <c r="AG25" i="36"/>
  <c r="BL26" i="36"/>
  <c r="X28" i="36"/>
  <c r="BG29" i="36"/>
  <c r="BK30" i="36"/>
  <c r="S32" i="36"/>
  <c r="AN33" i="36"/>
  <c r="AY34" i="36"/>
  <c r="AW35" i="36"/>
  <c r="BH36" i="36"/>
  <c r="BL37" i="36"/>
  <c r="BI38" i="36"/>
  <c r="E40" i="36"/>
  <c r="D40" i="36" s="1"/>
  <c r="BM40" i="36"/>
  <c r="BL41" i="36"/>
  <c r="BA42" i="36"/>
  <c r="AZ43" i="36"/>
  <c r="AL44" i="36"/>
  <c r="AE45" i="36"/>
  <c r="J46" i="36"/>
  <c r="BN46" i="36"/>
  <c r="AY47" i="36"/>
  <c r="AE48" i="36"/>
  <c r="V49" i="36"/>
  <c r="C50" i="36"/>
  <c r="AY50" i="36"/>
  <c r="AH51" i="36"/>
  <c r="P52" i="36"/>
  <c r="BI52" i="36"/>
  <c r="AL53" i="36"/>
  <c r="L54" i="36"/>
  <c r="BE54" i="36"/>
  <c r="AF55" i="36"/>
  <c r="E56" i="36"/>
  <c r="D56" i="36" s="1"/>
  <c r="AY56" i="36"/>
  <c r="Y57" i="36"/>
  <c r="BI57" i="36"/>
  <c r="AG58" i="36"/>
  <c r="J59" i="36"/>
  <c r="AR59" i="36"/>
  <c r="P60" i="36"/>
  <c r="AX60" i="36"/>
  <c r="Z61" i="36"/>
  <c r="BI61" i="36"/>
  <c r="AF62" i="36"/>
  <c r="BN62" i="36"/>
  <c r="AK63" i="36"/>
  <c r="M64" i="36"/>
  <c r="AT64" i="36"/>
  <c r="P65" i="36"/>
  <c r="AW65" i="36"/>
  <c r="O66" i="36"/>
  <c r="AR66" i="36"/>
  <c r="J67" i="36"/>
  <c r="AM67" i="36"/>
  <c r="BD11" i="36"/>
  <c r="J14" i="36"/>
  <c r="X16" i="36"/>
  <c r="AG18" i="36"/>
  <c r="AA20" i="36"/>
  <c r="Z22" i="36"/>
  <c r="M24" i="36"/>
  <c r="AH25" i="36"/>
  <c r="BM26" i="36"/>
  <c r="AI28" i="36"/>
  <c r="BH29" i="36"/>
  <c r="BL30" i="36"/>
  <c r="T32" i="36"/>
  <c r="AO33" i="36"/>
  <c r="AZ34" i="36"/>
  <c r="AX35" i="36"/>
  <c r="BI36" i="36"/>
  <c r="BN37" i="36"/>
  <c r="BJ38" i="36"/>
  <c r="H40" i="36"/>
  <c r="BN40" i="36"/>
  <c r="BM41" i="36"/>
  <c r="BB42" i="36"/>
  <c r="BA43" i="36"/>
  <c r="AM44" i="36"/>
  <c r="AF45" i="36"/>
  <c r="K46" i="36"/>
  <c r="BO46" i="36"/>
  <c r="AZ47" i="36"/>
  <c r="AF48" i="36"/>
  <c r="W49" i="36"/>
  <c r="E50" i="36"/>
  <c r="D50" i="36" s="1"/>
  <c r="BF50" i="36"/>
  <c r="AI51" i="36"/>
  <c r="Q52" i="36"/>
  <c r="BK52" i="36"/>
  <c r="AM53" i="36"/>
  <c r="M54" i="36"/>
  <c r="BG54" i="36"/>
  <c r="AG55" i="36"/>
  <c r="G56" i="36"/>
  <c r="BA56" i="36"/>
  <c r="Z57" i="36"/>
  <c r="BJ57" i="36"/>
  <c r="AH58" i="36"/>
  <c r="K59" i="36"/>
  <c r="AT59" i="36"/>
  <c r="Q60" i="36"/>
  <c r="AY60" i="36"/>
  <c r="AA61" i="36"/>
  <c r="BJ61" i="36"/>
  <c r="AG62" i="36"/>
  <c r="BO62" i="36"/>
  <c r="AL63" i="36"/>
  <c r="N64" i="36"/>
  <c r="AU64" i="36"/>
  <c r="Q65" i="36"/>
  <c r="AX65" i="36"/>
  <c r="P66" i="36"/>
  <c r="AS66" i="36"/>
  <c r="K67" i="36"/>
  <c r="AO67" i="36"/>
  <c r="G68" i="36"/>
  <c r="AJ68" i="36"/>
  <c r="BM68" i="36"/>
  <c r="AE69" i="36"/>
  <c r="BH69" i="36"/>
  <c r="Z70" i="36"/>
  <c r="BC70" i="36"/>
  <c r="U71" i="36"/>
  <c r="AX71" i="36"/>
  <c r="P72" i="36"/>
  <c r="AS72" i="36"/>
  <c r="K73" i="36"/>
  <c r="AN73" i="36"/>
  <c r="E74" i="36"/>
  <c r="D74" i="36" s="1"/>
  <c r="AI74" i="36"/>
  <c r="BK74" i="36"/>
  <c r="AB75" i="36"/>
  <c r="BD75" i="36"/>
  <c r="U76" i="36"/>
  <c r="AW76" i="36"/>
  <c r="N77" i="36"/>
  <c r="I12" i="36"/>
  <c r="M14" i="36"/>
  <c r="AA16" i="36"/>
  <c r="AJ18" i="36"/>
  <c r="AN20" i="36"/>
  <c r="AD22" i="36"/>
  <c r="O24" i="36"/>
  <c r="BE25" i="36"/>
  <c r="BN26" i="36"/>
  <c r="AL28" i="36"/>
  <c r="BJ29" i="36"/>
  <c r="Q31" i="36"/>
  <c r="U32" i="36"/>
  <c r="AP33" i="36"/>
  <c r="BB34" i="36"/>
  <c r="AY35" i="36"/>
  <c r="BJ36" i="36"/>
  <c r="BO37" i="36"/>
  <c r="BK38" i="36"/>
  <c r="I40" i="36"/>
  <c r="BO40" i="36"/>
  <c r="BN41" i="36"/>
  <c r="BJ42" i="36"/>
  <c r="BB43" i="36"/>
  <c r="AU44" i="36"/>
  <c r="AG45" i="36"/>
  <c r="L46" i="36"/>
  <c r="C47" i="36"/>
  <c r="BA47" i="36"/>
  <c r="AS48" i="36"/>
  <c r="X49" i="36"/>
  <c r="G50" i="36"/>
  <c r="BG50" i="36"/>
  <c r="AJ51" i="36"/>
  <c r="R52" i="36"/>
  <c r="BL52" i="36"/>
  <c r="AN53" i="36"/>
  <c r="N54" i="36"/>
  <c r="BH54" i="36"/>
  <c r="AH55" i="36"/>
  <c r="H56" i="36"/>
  <c r="BB56" i="36"/>
  <c r="R12" i="36"/>
  <c r="AI14" i="36"/>
  <c r="AL16" i="36"/>
  <c r="AL18" i="36"/>
  <c r="AQ20" i="36"/>
  <c r="AG22" i="36"/>
  <c r="Q24" i="36"/>
  <c r="BG25" i="36"/>
  <c r="BO26" i="36"/>
  <c r="AN28" i="36"/>
  <c r="BK29" i="36"/>
  <c r="V31" i="36"/>
  <c r="V32" i="36"/>
  <c r="AQ33" i="36"/>
  <c r="BC34" i="36"/>
  <c r="BI35" i="36"/>
  <c r="BK36" i="36"/>
  <c r="E38" i="36"/>
  <c r="D38" i="36" s="1"/>
  <c r="BL38" i="36"/>
  <c r="J40" i="36"/>
  <c r="C41" i="36"/>
  <c r="BO41" i="36"/>
  <c r="BL42" i="36"/>
  <c r="BC43" i="36"/>
  <c r="AW44" i="36"/>
  <c r="AH45" i="36"/>
  <c r="M46" i="36"/>
  <c r="E47" i="36"/>
  <c r="D47" i="36" s="1"/>
  <c r="BB47" i="36"/>
  <c r="S12" i="36"/>
  <c r="AJ14" i="36"/>
  <c r="AN16" i="36"/>
  <c r="AM18" i="36"/>
  <c r="AR20" i="36"/>
  <c r="AH22" i="36"/>
  <c r="R24" i="36"/>
  <c r="BI25" i="36"/>
  <c r="C27" i="36"/>
  <c r="AO28" i="36"/>
  <c r="BM29" i="36"/>
  <c r="Y31" i="36"/>
  <c r="AA32" i="36"/>
  <c r="AR33" i="36"/>
  <c r="BE34" i="36"/>
  <c r="BJ35" i="36"/>
  <c r="BL36" i="36"/>
  <c r="K38" i="36"/>
  <c r="BM38" i="36"/>
  <c r="K40" i="36"/>
  <c r="M41" i="36"/>
  <c r="C42" i="36"/>
  <c r="BM42" i="36"/>
  <c r="BD43" i="36"/>
  <c r="AX44" i="36"/>
  <c r="AI45" i="36"/>
  <c r="O46" i="36"/>
  <c r="H47" i="36"/>
  <c r="BC47" i="36"/>
  <c r="AV48" i="36"/>
  <c r="Z49" i="36"/>
  <c r="I50" i="36"/>
  <c r="BI50" i="36"/>
  <c r="AL51" i="36"/>
  <c r="T52" i="36"/>
  <c r="BO52" i="36"/>
  <c r="AP53" i="36"/>
  <c r="P54" i="36"/>
  <c r="BJ54" i="36"/>
  <c r="AJ55" i="36"/>
  <c r="K56" i="36"/>
  <c r="BD56" i="36"/>
  <c r="AC57" i="36"/>
  <c r="BM57" i="36"/>
  <c r="AP58" i="36"/>
  <c r="N59" i="36"/>
  <c r="AW59" i="36"/>
  <c r="T60" i="36"/>
  <c r="BF60" i="36"/>
  <c r="AD61" i="36"/>
  <c r="BM61" i="36"/>
  <c r="AJ62" i="36"/>
  <c r="G63" i="36"/>
  <c r="AU63" i="36"/>
  <c r="Q64" i="36"/>
  <c r="AX64" i="36"/>
  <c r="T65" i="36"/>
  <c r="BA65" i="36"/>
  <c r="T66" i="36"/>
  <c r="AW66" i="36"/>
  <c r="O67" i="36"/>
  <c r="AR67" i="36"/>
  <c r="J68" i="36"/>
  <c r="AM68" i="36"/>
  <c r="C69" i="36"/>
  <c r="AH69" i="36"/>
  <c r="BK69" i="36"/>
  <c r="AC70" i="36"/>
  <c r="W12" i="36"/>
  <c r="AM14" i="36"/>
  <c r="AY16" i="36"/>
  <c r="AY18" i="36"/>
  <c r="AU20" i="36"/>
  <c r="AM22" i="36"/>
  <c r="AL24" i="36"/>
  <c r="BM25" i="36"/>
  <c r="AD27" i="36"/>
  <c r="AR28" i="36"/>
  <c r="C30" i="36"/>
  <c r="AD31" i="36"/>
  <c r="AU32" i="36"/>
  <c r="AU33" i="36"/>
  <c r="BH34" i="36"/>
  <c r="N36" i="36"/>
  <c r="BO36" i="36"/>
  <c r="T38" i="36"/>
  <c r="W39" i="36"/>
  <c r="S40" i="36"/>
  <c r="Y41" i="36"/>
  <c r="H42" i="36"/>
  <c r="N43" i="36"/>
  <c r="BG43" i="36"/>
  <c r="BA44" i="36"/>
  <c r="AL45" i="36"/>
  <c r="AE46" i="36"/>
  <c r="K47" i="36"/>
  <c r="BF47" i="36"/>
  <c r="AY48" i="36"/>
  <c r="AC49" i="36"/>
  <c r="R50" i="36"/>
  <c r="BL50" i="36"/>
  <c r="AO51" i="36"/>
  <c r="AC52" i="36"/>
  <c r="H53" i="36"/>
  <c r="AS53" i="36"/>
  <c r="AA54" i="36"/>
  <c r="BM54" i="36"/>
  <c r="AM55" i="36"/>
  <c r="U56" i="36"/>
  <c r="BG56" i="36"/>
  <c r="AG57" i="36"/>
  <c r="C58" i="36"/>
  <c r="AT58" i="36"/>
  <c r="R59" i="36"/>
  <c r="AZ59" i="36"/>
  <c r="W60" i="36"/>
  <c r="BJ60" i="36"/>
  <c r="AH61" i="36"/>
  <c r="C62" i="36"/>
  <c r="AU12" i="36"/>
  <c r="BL14" i="36"/>
  <c r="L17" i="36"/>
  <c r="S19" i="36"/>
  <c r="M21" i="36"/>
  <c r="AW22" i="36"/>
  <c r="AP24" i="36"/>
  <c r="E26" i="36"/>
  <c r="AP27" i="36"/>
  <c r="BK28" i="36"/>
  <c r="T30" i="36"/>
  <c r="AH31" i="36"/>
  <c r="AZ32" i="36"/>
  <c r="C34" i="36"/>
  <c r="BO34" i="36"/>
  <c r="Q36" i="36"/>
  <c r="Z37" i="36"/>
  <c r="W38" i="36"/>
  <c r="AA39" i="36"/>
  <c r="W40" i="36"/>
  <c r="AC41" i="36"/>
  <c r="Q42" i="36"/>
  <c r="Q43" i="36"/>
  <c r="M44" i="36"/>
  <c r="BE44" i="36"/>
  <c r="AO45" i="36"/>
  <c r="AH46" i="36"/>
  <c r="R47" i="36"/>
  <c r="E48" i="36"/>
  <c r="D48" i="36" s="1"/>
  <c r="BB48" i="36"/>
  <c r="AK49" i="36"/>
  <c r="V50" i="36"/>
  <c r="BO50" i="36"/>
  <c r="AR51" i="36"/>
  <c r="AG52" i="36"/>
  <c r="K53" i="36"/>
  <c r="AV53" i="36"/>
  <c r="AE54" i="36"/>
  <c r="C55" i="36"/>
  <c r="AP55" i="36"/>
  <c r="Y56" i="36"/>
  <c r="BJ56" i="36"/>
  <c r="AJ57" i="36"/>
  <c r="M58" i="36"/>
  <c r="AW58" i="36"/>
  <c r="E13" i="36"/>
  <c r="W15" i="36"/>
  <c r="P17" i="36"/>
  <c r="X19" i="36"/>
  <c r="R21" i="36"/>
  <c r="P23" i="36"/>
  <c r="AT24" i="36"/>
  <c r="M26" i="36"/>
  <c r="AT27" i="36"/>
  <c r="K29" i="36"/>
  <c r="X30" i="36"/>
  <c r="AQ31" i="36"/>
  <c r="BH32" i="36"/>
  <c r="J34" i="36"/>
  <c r="M35" i="36"/>
  <c r="T36" i="36"/>
  <c r="AE37" i="36"/>
  <c r="Z38" i="36"/>
  <c r="AE39" i="36"/>
  <c r="Z40" i="36"/>
  <c r="AF41" i="36"/>
  <c r="AC42" i="36"/>
  <c r="T43" i="36"/>
  <c r="Q44" i="36"/>
  <c r="BM44" i="36"/>
  <c r="AR45" i="36"/>
  <c r="AK46" i="36"/>
  <c r="V47" i="36"/>
  <c r="O48" i="36"/>
  <c r="I13" i="36"/>
  <c r="Z15" i="36"/>
  <c r="AE17" i="36"/>
  <c r="Z19" i="36"/>
  <c r="T21" i="36"/>
  <c r="S23" i="36"/>
  <c r="BK24" i="36"/>
  <c r="V26" i="36"/>
  <c r="AU27" i="36"/>
  <c r="M29" i="36"/>
  <c r="AH30" i="36"/>
  <c r="AR31" i="36"/>
  <c r="BM32" i="36"/>
  <c r="L34" i="36"/>
  <c r="W35" i="36"/>
  <c r="U36" i="36"/>
  <c r="AF37" i="36"/>
  <c r="O13" i="36"/>
  <c r="AE15" i="36"/>
  <c r="AN17" i="36"/>
  <c r="AH19" i="36"/>
  <c r="AE21" i="36"/>
  <c r="X23" i="36"/>
  <c r="K25" i="36"/>
  <c r="Y26" i="36"/>
  <c r="AW27" i="36"/>
  <c r="Q29" i="36"/>
  <c r="AK30" i="36"/>
  <c r="AT31" i="36"/>
  <c r="C33" i="36"/>
  <c r="S34" i="36"/>
  <c r="Z35" i="36"/>
  <c r="W36" i="36"/>
  <c r="AH37" i="36"/>
  <c r="T12" i="36"/>
  <c r="AT16" i="36"/>
  <c r="AS20" i="36"/>
  <c r="T24" i="36"/>
  <c r="E27" i="36"/>
  <c r="BN29" i="36"/>
  <c r="AI32" i="36"/>
  <c r="BF34" i="36"/>
  <c r="BM36" i="36"/>
  <c r="BC38" i="36"/>
  <c r="AR40" i="36"/>
  <c r="AD42" i="36"/>
  <c r="BH43" i="36"/>
  <c r="R45" i="36"/>
  <c r="AQ46" i="36"/>
  <c r="P48" i="36"/>
  <c r="Y49" i="36"/>
  <c r="AG50" i="36"/>
  <c r="AN51" i="36"/>
  <c r="AS52" i="36"/>
  <c r="AU53" i="36"/>
  <c r="AO54" i="36"/>
  <c r="AR55" i="36"/>
  <c r="AK56" i="36"/>
  <c r="AM57" i="36"/>
  <c r="AA58" i="36"/>
  <c r="V59" i="36"/>
  <c r="E60" i="36"/>
  <c r="D60" i="36" s="1"/>
  <c r="BI60" i="36"/>
  <c r="AP61" i="36"/>
  <c r="AA62" i="36"/>
  <c r="R63" i="36"/>
  <c r="BG63" i="36"/>
  <c r="AO64" i="36"/>
  <c r="Y65" i="36"/>
  <c r="BN65" i="36"/>
  <c r="AM66" i="36"/>
  <c r="T67" i="36"/>
  <c r="BD67" i="36"/>
  <c r="AB68" i="36"/>
  <c r="G69" i="36"/>
  <c r="AP69" i="36"/>
  <c r="N70" i="36"/>
  <c r="BB70" i="36"/>
  <c r="Z71" i="36"/>
  <c r="BH71" i="36"/>
  <c r="AE72" i="36"/>
  <c r="BN72" i="36"/>
  <c r="AP73" i="36"/>
  <c r="M74" i="36"/>
  <c r="AU74" i="36"/>
  <c r="Q75" i="36"/>
  <c r="AX75" i="36"/>
  <c r="Y76" i="36"/>
  <c r="BF76" i="36"/>
  <c r="AB77" i="36"/>
  <c r="BH77" i="36"/>
  <c r="AC78" i="36"/>
  <c r="BH78" i="36"/>
  <c r="Z79" i="36"/>
  <c r="BC79" i="36"/>
  <c r="U80" i="36"/>
  <c r="AX80" i="36"/>
  <c r="P81" i="36"/>
  <c r="AS81" i="36"/>
  <c r="K82" i="36"/>
  <c r="AN82" i="36"/>
  <c r="E83" i="36"/>
  <c r="D83" i="36" s="1"/>
  <c r="AI83" i="36"/>
  <c r="BL83" i="36"/>
  <c r="AD84" i="36"/>
  <c r="BG84" i="36"/>
  <c r="Y85" i="36"/>
  <c r="BB85" i="36"/>
  <c r="T86" i="36"/>
  <c r="AV86" i="36"/>
  <c r="M87" i="36"/>
  <c r="AO87" i="36"/>
  <c r="E88" i="36"/>
  <c r="D88" i="36" s="1"/>
  <c r="AH88" i="36"/>
  <c r="BJ88" i="36"/>
  <c r="AA89" i="36"/>
  <c r="BC89" i="36"/>
  <c r="T90" i="36"/>
  <c r="AV90" i="36"/>
  <c r="M91" i="36"/>
  <c r="AO91" i="36"/>
  <c r="E92" i="36"/>
  <c r="D92" i="36" s="1"/>
  <c r="AH92" i="36"/>
  <c r="BJ92" i="36"/>
  <c r="AA93" i="36"/>
  <c r="BC93" i="36"/>
  <c r="T94" i="36"/>
  <c r="AV94" i="36"/>
  <c r="M95" i="36"/>
  <c r="AO95" i="36"/>
  <c r="E96" i="36"/>
  <c r="D96" i="36" s="1"/>
  <c r="AH96" i="36"/>
  <c r="U12" i="36"/>
  <c r="AW16" i="36"/>
  <c r="AT20" i="36"/>
  <c r="Y24" i="36"/>
  <c r="AC27" i="36"/>
  <c r="BO29" i="36"/>
  <c r="AT32" i="36"/>
  <c r="BG34" i="36"/>
  <c r="BN36" i="36"/>
  <c r="BD38" i="36"/>
  <c r="AY40" i="36"/>
  <c r="AF42" i="36"/>
  <c r="BI43" i="36"/>
  <c r="T45" i="36"/>
  <c r="AR46" i="36"/>
  <c r="Q48" i="36"/>
  <c r="AA49" i="36"/>
  <c r="AH50" i="36"/>
  <c r="AP51" i="36"/>
  <c r="AT52" i="36"/>
  <c r="AW53" i="36"/>
  <c r="AP54" i="36"/>
  <c r="BA55" i="36"/>
  <c r="AM56" i="36"/>
  <c r="AR57" i="36"/>
  <c r="AB58" i="36"/>
  <c r="W59" i="36"/>
  <c r="G60" i="36"/>
  <c r="BK60" i="36"/>
  <c r="AQ61" i="36"/>
  <c r="AH62" i="36"/>
  <c r="S63" i="36"/>
  <c r="BH63" i="36"/>
  <c r="AV64" i="36"/>
  <c r="AD65" i="36"/>
  <c r="BO65" i="36"/>
  <c r="AT66" i="36"/>
  <c r="U67" i="36"/>
  <c r="BE67" i="36"/>
  <c r="AC68" i="36"/>
  <c r="H69" i="36"/>
  <c r="AQ69" i="36"/>
  <c r="O70" i="36"/>
  <c r="BD70" i="36"/>
  <c r="AA71" i="36"/>
  <c r="BI71" i="36"/>
  <c r="AF72" i="36"/>
  <c r="BO72" i="36"/>
  <c r="AQ73" i="36"/>
  <c r="N74" i="36"/>
  <c r="AV74" i="36"/>
  <c r="R75" i="36"/>
  <c r="BC75" i="36"/>
  <c r="Z76" i="36"/>
  <c r="BG76" i="36"/>
  <c r="AC77" i="36"/>
  <c r="BI77" i="36"/>
  <c r="AF78" i="36"/>
  <c r="BI78" i="36"/>
  <c r="AA79" i="36"/>
  <c r="BD79" i="36"/>
  <c r="V80" i="36"/>
  <c r="AY80" i="36"/>
  <c r="Q81" i="36"/>
  <c r="AT81" i="36"/>
  <c r="L82" i="36"/>
  <c r="AO82" i="36"/>
  <c r="G83" i="36"/>
  <c r="AJ83" i="36"/>
  <c r="BM83" i="36"/>
  <c r="AE84" i="36"/>
  <c r="BH84" i="36"/>
  <c r="Z85" i="36"/>
  <c r="BC85" i="36"/>
  <c r="U86" i="36"/>
  <c r="AW86" i="36"/>
  <c r="N87" i="36"/>
  <c r="AP87" i="36"/>
  <c r="G88" i="36"/>
  <c r="AI88" i="36"/>
  <c r="BK88" i="36"/>
  <c r="AB89" i="36"/>
  <c r="BD89" i="36"/>
  <c r="U90" i="36"/>
  <c r="AW90" i="36"/>
  <c r="N91" i="36"/>
  <c r="AP91" i="36"/>
  <c r="G92" i="36"/>
  <c r="AI92" i="36"/>
  <c r="BK92" i="36"/>
  <c r="AB93" i="36"/>
  <c r="BD93" i="36"/>
  <c r="U94" i="36"/>
  <c r="AW94" i="36"/>
  <c r="N95" i="36"/>
  <c r="AP95" i="36"/>
  <c r="G96" i="36"/>
  <c r="AI96" i="36"/>
  <c r="BK96" i="36"/>
  <c r="AB97" i="36"/>
  <c r="BD97" i="36"/>
  <c r="U98" i="36"/>
  <c r="AW98" i="36"/>
  <c r="X12" i="36"/>
  <c r="AZ16" i="36"/>
  <c r="AV20" i="36"/>
  <c r="AN24" i="36"/>
  <c r="AF27" i="36"/>
  <c r="E30" i="36"/>
  <c r="AW32" i="36"/>
  <c r="BI34" i="36"/>
  <c r="C37" i="36"/>
  <c r="BN38" i="36"/>
  <c r="AZ40" i="36"/>
  <c r="AG42" i="36"/>
  <c r="O44" i="36"/>
  <c r="AJ45" i="36"/>
  <c r="AS46" i="36"/>
  <c r="R48" i="36"/>
  <c r="AB49" i="36"/>
  <c r="AI50" i="36"/>
  <c r="AQ51" i="36"/>
  <c r="AU52" i="36"/>
  <c r="AX53" i="36"/>
  <c r="AQ54" i="36"/>
  <c r="BB55" i="36"/>
  <c r="BC56" i="36"/>
  <c r="AT57" i="36"/>
  <c r="AM58" i="36"/>
  <c r="X59" i="36"/>
  <c r="H60" i="36"/>
  <c r="BL60" i="36"/>
  <c r="AR61" i="36"/>
  <c r="AI62" i="36"/>
  <c r="T63" i="36"/>
  <c r="BI63" i="36"/>
  <c r="AW64" i="36"/>
  <c r="AF65" i="36"/>
  <c r="C66" i="36"/>
  <c r="AV66" i="36"/>
  <c r="V67" i="36"/>
  <c r="BF67" i="36"/>
  <c r="AI68" i="36"/>
  <c r="I69" i="36"/>
  <c r="AR69" i="36"/>
  <c r="P70" i="36"/>
  <c r="BE70" i="36"/>
  <c r="AB71" i="36"/>
  <c r="BJ71" i="36"/>
  <c r="AH72" i="36"/>
  <c r="C73" i="36"/>
  <c r="AR73" i="36"/>
  <c r="O74" i="36"/>
  <c r="AW74" i="36"/>
  <c r="S75" i="36"/>
  <c r="BE75" i="36"/>
  <c r="AA76" i="36"/>
  <c r="BH76" i="36"/>
  <c r="AD77" i="36"/>
  <c r="BJ77" i="36"/>
  <c r="AG78" i="36"/>
  <c r="BJ78" i="36"/>
  <c r="AB79" i="36"/>
  <c r="BE79" i="36"/>
  <c r="W80" i="36"/>
  <c r="AZ80" i="36"/>
  <c r="R81" i="36"/>
  <c r="AU81" i="36"/>
  <c r="M82" i="36"/>
  <c r="AP82" i="36"/>
  <c r="H83" i="36"/>
  <c r="AK83" i="36"/>
  <c r="BN83" i="36"/>
  <c r="AF84" i="36"/>
  <c r="BI84" i="36"/>
  <c r="AA85" i="36"/>
  <c r="BD85" i="36"/>
  <c r="V86" i="36"/>
  <c r="AX86" i="36"/>
  <c r="O87" i="36"/>
  <c r="AQ87" i="36"/>
  <c r="H88" i="36"/>
  <c r="Y12" i="36"/>
  <c r="BA16" i="36"/>
  <c r="AW20" i="36"/>
  <c r="AO24" i="36"/>
  <c r="AG27" i="36"/>
  <c r="K30" i="36"/>
  <c r="AX32" i="36"/>
  <c r="BJ34" i="36"/>
  <c r="Y37" i="36"/>
  <c r="U39" i="36"/>
  <c r="BB40" i="36"/>
  <c r="AI42" i="36"/>
  <c r="P44" i="36"/>
  <c r="AK45" i="36"/>
  <c r="AT46" i="36"/>
  <c r="S48" i="36"/>
  <c r="AD49" i="36"/>
  <c r="AJ50" i="36"/>
  <c r="AW51" i="36"/>
  <c r="AV52" i="36"/>
  <c r="BE53" i="36"/>
  <c r="AR54" i="36"/>
  <c r="BD55" i="36"/>
  <c r="BE56" i="36"/>
  <c r="AU57" i="36"/>
  <c r="AO58" i="36"/>
  <c r="Y59" i="36"/>
  <c r="I60" i="36"/>
  <c r="BM60" i="36"/>
  <c r="AS61" i="36"/>
  <c r="AK62" i="36"/>
  <c r="U63" i="36"/>
  <c r="BJ63" i="36"/>
  <c r="AY64" i="36"/>
  <c r="AG65" i="36"/>
  <c r="E66" i="36"/>
  <c r="D66" i="36" s="1"/>
  <c r="AX66" i="36"/>
  <c r="W67" i="36"/>
  <c r="BG67" i="36"/>
  <c r="AK68" i="36"/>
  <c r="J69" i="36"/>
  <c r="AS69" i="36"/>
  <c r="Q70" i="36"/>
  <c r="BF70" i="36"/>
  <c r="AC71" i="36"/>
  <c r="BK71" i="36"/>
  <c r="AI72" i="36"/>
  <c r="J73" i="36"/>
  <c r="AS73" i="36"/>
  <c r="P74" i="36"/>
  <c r="AX74" i="36"/>
  <c r="T75" i="36"/>
  <c r="BF75" i="36"/>
  <c r="AB76" i="36"/>
  <c r="BI76" i="36"/>
  <c r="AE77" i="36"/>
  <c r="BK77" i="36"/>
  <c r="AH78" i="36"/>
  <c r="BK78" i="36"/>
  <c r="AC79" i="36"/>
  <c r="BF79" i="36"/>
  <c r="X80" i="36"/>
  <c r="BA80" i="36"/>
  <c r="S81" i="36"/>
  <c r="AV81" i="36"/>
  <c r="N82" i="36"/>
  <c r="AQ82" i="36"/>
  <c r="I83" i="36"/>
  <c r="AL83" i="36"/>
  <c r="BO83" i="36"/>
  <c r="AG84" i="36"/>
  <c r="BJ84" i="36"/>
  <c r="AB85" i="36"/>
  <c r="BE85" i="36"/>
  <c r="W86" i="36"/>
  <c r="AY86" i="36"/>
  <c r="P87" i="36"/>
  <c r="AR87" i="36"/>
  <c r="I88" i="36"/>
  <c r="AK88" i="36"/>
  <c r="BM88" i="36"/>
  <c r="AD89" i="36"/>
  <c r="BF89" i="36"/>
  <c r="W90" i="36"/>
  <c r="AY90" i="36"/>
  <c r="P91" i="36"/>
  <c r="AR91" i="36"/>
  <c r="I92" i="36"/>
  <c r="AK92" i="36"/>
  <c r="BM92" i="36"/>
  <c r="AD93" i="36"/>
  <c r="BF93" i="36"/>
  <c r="W94" i="36"/>
  <c r="AY94" i="36"/>
  <c r="AZ12" i="36"/>
  <c r="M17" i="36"/>
  <c r="O21" i="36"/>
  <c r="AQ24" i="36"/>
  <c r="AQ27" i="36"/>
  <c r="V30" i="36"/>
  <c r="BA32" i="36"/>
  <c r="E35" i="36"/>
  <c r="D35" i="36" s="1"/>
  <c r="AB37" i="36"/>
  <c r="X39" i="36"/>
  <c r="BC40" i="36"/>
  <c r="AJ42" i="36"/>
  <c r="R44" i="36"/>
  <c r="AM45" i="36"/>
  <c r="AU46" i="36"/>
  <c r="T48" i="36"/>
  <c r="AI49" i="36"/>
  <c r="AK50" i="36"/>
  <c r="AY51" i="36"/>
  <c r="AW52" i="36"/>
  <c r="BF53" i="36"/>
  <c r="BI54" i="36"/>
  <c r="BE55" i="36"/>
  <c r="BF56" i="36"/>
  <c r="AW57" i="36"/>
  <c r="AR58" i="36"/>
  <c r="Z59" i="36"/>
  <c r="K60" i="36"/>
  <c r="BO60" i="36"/>
  <c r="AT61" i="36"/>
  <c r="AL62" i="36"/>
  <c r="V63" i="36"/>
  <c r="BK63" i="36"/>
  <c r="AZ64" i="36"/>
  <c r="AH65" i="36"/>
  <c r="G66" i="36"/>
  <c r="AY66" i="36"/>
  <c r="X67" i="36"/>
  <c r="BH67" i="36"/>
  <c r="AL68" i="36"/>
  <c r="K69" i="36"/>
  <c r="AT69" i="36"/>
  <c r="R70" i="36"/>
  <c r="BG70" i="36"/>
  <c r="AD71" i="36"/>
  <c r="BL71" i="36"/>
  <c r="AJ72" i="36"/>
  <c r="L73" i="36"/>
  <c r="AT73" i="36"/>
  <c r="Q74" i="36"/>
  <c r="AY74" i="36"/>
  <c r="U75" i="36"/>
  <c r="BG75" i="36"/>
  <c r="AC76" i="36"/>
  <c r="BJ76" i="36"/>
  <c r="AF77" i="36"/>
  <c r="BL77" i="36"/>
  <c r="AI78" i="36"/>
  <c r="BL78" i="36"/>
  <c r="AD79" i="36"/>
  <c r="BG79" i="36"/>
  <c r="Y80" i="36"/>
  <c r="BB80" i="36"/>
  <c r="T81" i="36"/>
  <c r="AW81" i="36"/>
  <c r="O82" i="36"/>
  <c r="AR82" i="36"/>
  <c r="J83" i="36"/>
  <c r="AM83" i="36"/>
  <c r="C84" i="36"/>
  <c r="AH84" i="36"/>
  <c r="BK84" i="36"/>
  <c r="AC85" i="36"/>
  <c r="C13" i="36"/>
  <c r="O17" i="36"/>
  <c r="Q21" i="36"/>
  <c r="AS24" i="36"/>
  <c r="AS27" i="36"/>
  <c r="W30" i="36"/>
  <c r="BC32" i="36"/>
  <c r="K35" i="36"/>
  <c r="AC37" i="36"/>
  <c r="Z39" i="36"/>
  <c r="BH40" i="36"/>
  <c r="AK42" i="36"/>
  <c r="S44" i="36"/>
  <c r="AN45" i="36"/>
  <c r="AZ46" i="36"/>
  <c r="U48" i="36"/>
  <c r="AL49" i="36"/>
  <c r="AL50" i="36"/>
  <c r="BF51" i="36"/>
  <c r="AX52" i="36"/>
  <c r="BJ53" i="36"/>
  <c r="BK54" i="36"/>
  <c r="BF55" i="36"/>
  <c r="BH56" i="36"/>
  <c r="AX57" i="36"/>
  <c r="AS58" i="36"/>
  <c r="AA59" i="36"/>
  <c r="R60" i="36"/>
  <c r="C61" i="36"/>
  <c r="AU61" i="36"/>
  <c r="AM62" i="36"/>
  <c r="W63" i="36"/>
  <c r="BL63" i="36"/>
  <c r="BA64" i="36"/>
  <c r="AI65" i="36"/>
  <c r="H66" i="36"/>
  <c r="AZ66" i="36"/>
  <c r="Y67" i="36"/>
  <c r="BI67" i="36"/>
  <c r="AN68" i="36"/>
  <c r="L69" i="36"/>
  <c r="AU69" i="36"/>
  <c r="T70" i="36"/>
  <c r="BH70" i="36"/>
  <c r="AE71" i="36"/>
  <c r="BM71" i="36"/>
  <c r="AK72" i="36"/>
  <c r="M73" i="36"/>
  <c r="AU73" i="36"/>
  <c r="R74" i="36"/>
  <c r="AZ74" i="36"/>
  <c r="V75" i="36"/>
  <c r="BH75" i="36"/>
  <c r="AD76" i="36"/>
  <c r="BK76" i="36"/>
  <c r="AG77" i="36"/>
  <c r="E78" i="36"/>
  <c r="D78" i="36" s="1"/>
  <c r="AJ78" i="36"/>
  <c r="BM78" i="36"/>
  <c r="AE79" i="36"/>
  <c r="BH79" i="36"/>
  <c r="Z80" i="36"/>
  <c r="BC80" i="36"/>
  <c r="U81" i="36"/>
  <c r="AX81" i="36"/>
  <c r="P82" i="36"/>
  <c r="AS82" i="36"/>
  <c r="K83" i="36"/>
  <c r="AN83" i="36"/>
  <c r="L13" i="36"/>
  <c r="AJ17" i="36"/>
  <c r="AB21" i="36"/>
  <c r="BM24" i="36"/>
  <c r="AV27" i="36"/>
  <c r="AI30" i="36"/>
  <c r="BO32" i="36"/>
  <c r="X35" i="36"/>
  <c r="AG37" i="36"/>
  <c r="AC39" i="36"/>
  <c r="T41" i="36"/>
  <c r="AQ42" i="36"/>
  <c r="T44" i="36"/>
  <c r="AP45" i="36"/>
  <c r="I47" i="36"/>
  <c r="V48" i="36"/>
  <c r="AM49" i="36"/>
  <c r="AM50" i="36"/>
  <c r="BG51" i="36"/>
  <c r="BM52" i="36"/>
  <c r="BK53" i="36"/>
  <c r="BL54" i="36"/>
  <c r="BG55" i="36"/>
  <c r="BI56" i="36"/>
  <c r="AY57" i="36"/>
  <c r="AU58" i="36"/>
  <c r="AB59" i="36"/>
  <c r="S60" i="36"/>
  <c r="E61" i="36"/>
  <c r="D61" i="36" s="1"/>
  <c r="AV61" i="36"/>
  <c r="AN62" i="36"/>
  <c r="X63" i="36"/>
  <c r="BM63" i="36"/>
  <c r="BB64" i="36"/>
  <c r="AJ65" i="36"/>
  <c r="I66" i="36"/>
  <c r="BA66" i="36"/>
  <c r="Z67" i="36"/>
  <c r="BJ67" i="36"/>
  <c r="AO68" i="36"/>
  <c r="M69" i="36"/>
  <c r="AV69" i="36"/>
  <c r="Y70" i="36"/>
  <c r="BI70" i="36"/>
  <c r="AF71" i="36"/>
  <c r="BN71" i="36"/>
  <c r="AL72" i="36"/>
  <c r="N73" i="36"/>
  <c r="AV73" i="36"/>
  <c r="T74" i="36"/>
  <c r="BA74" i="36"/>
  <c r="AA75" i="36"/>
  <c r="BI75" i="36"/>
  <c r="AE76" i="36"/>
  <c r="BL76" i="36"/>
  <c r="AH77" i="36"/>
  <c r="G78" i="36"/>
  <c r="AK78" i="36"/>
  <c r="BN78" i="36"/>
  <c r="AF79" i="36"/>
  <c r="BI79" i="36"/>
  <c r="AA80" i="36"/>
  <c r="BD80" i="36"/>
  <c r="V81" i="36"/>
  <c r="AY81" i="36"/>
  <c r="Q82" i="36"/>
  <c r="AT82" i="36"/>
  <c r="L83" i="36"/>
  <c r="AO83" i="36"/>
  <c r="G84" i="36"/>
  <c r="AJ84" i="36"/>
  <c r="BM84" i="36"/>
  <c r="AE85" i="36"/>
  <c r="BH85" i="36"/>
  <c r="Z86" i="36"/>
  <c r="BB86" i="36"/>
  <c r="S87" i="36"/>
  <c r="AU87" i="36"/>
  <c r="L88" i="36"/>
  <c r="AN88" i="36"/>
  <c r="C89" i="36"/>
  <c r="AG89" i="36"/>
  <c r="BI89" i="36"/>
  <c r="Z90" i="36"/>
  <c r="BB90" i="36"/>
  <c r="Q13" i="36"/>
  <c r="AP17" i="36"/>
  <c r="AG21" i="36"/>
  <c r="M25" i="36"/>
  <c r="AX27" i="36"/>
  <c r="AL30" i="36"/>
  <c r="G33" i="36"/>
  <c r="AA35" i="36"/>
  <c r="AI37" i="36"/>
  <c r="AD39" i="36"/>
  <c r="V41" i="36"/>
  <c r="AS42" i="36"/>
  <c r="U44" i="36"/>
  <c r="AQ45" i="36"/>
  <c r="J47" i="36"/>
  <c r="W48" i="36"/>
  <c r="AN49" i="36"/>
  <c r="AN50" i="36"/>
  <c r="BI51" i="36"/>
  <c r="E53" i="36"/>
  <c r="D53" i="36" s="1"/>
  <c r="BL53" i="36"/>
  <c r="BN54" i="36"/>
  <c r="BH55" i="36"/>
  <c r="BK56" i="36"/>
  <c r="AZ57" i="36"/>
  <c r="AV58" i="36"/>
  <c r="AC59" i="36"/>
  <c r="U60" i="36"/>
  <c r="G61" i="36"/>
  <c r="BA61" i="36"/>
  <c r="AO62" i="36"/>
  <c r="Y63" i="36"/>
  <c r="BN63" i="36"/>
  <c r="BC64" i="36"/>
  <c r="AK65" i="36"/>
  <c r="S13" i="36"/>
  <c r="AS17" i="36"/>
  <c r="AK21" i="36"/>
  <c r="P25" i="36"/>
  <c r="AZ27" i="36"/>
  <c r="AY30" i="36"/>
  <c r="I33" i="36"/>
  <c r="AD35" i="36"/>
  <c r="AK37" i="36"/>
  <c r="AG39" i="36"/>
  <c r="AB41" i="36"/>
  <c r="AV42" i="36"/>
  <c r="W44" i="36"/>
  <c r="BH45" i="36"/>
  <c r="M47" i="36"/>
  <c r="Y48" i="36"/>
  <c r="AX49" i="36"/>
  <c r="BJ50" i="36"/>
  <c r="BK51" i="36"/>
  <c r="I53" i="36"/>
  <c r="BN53" i="36"/>
  <c r="E55" i="36"/>
  <c r="D55" i="36" s="1"/>
  <c r="BJ55" i="36"/>
  <c r="BM56" i="36"/>
  <c r="BB57" i="36"/>
  <c r="AY58" i="36"/>
  <c r="AJ59" i="36"/>
  <c r="X60" i="36"/>
  <c r="I61" i="36"/>
  <c r="BK61" i="36"/>
  <c r="AQ62" i="36"/>
  <c r="AA63" i="36"/>
  <c r="P64" i="36"/>
  <c r="BE64" i="36"/>
  <c r="AM65" i="36"/>
  <c r="R66" i="36"/>
  <c r="BD66" i="36"/>
  <c r="AC67" i="36"/>
  <c r="H68" i="36"/>
  <c r="AR68" i="36"/>
  <c r="P69" i="36"/>
  <c r="AY69" i="36"/>
  <c r="AD70" i="36"/>
  <c r="BL70" i="36"/>
  <c r="AI71" i="36"/>
  <c r="G72" i="36"/>
  <c r="AE13" i="36"/>
  <c r="AV17" i="36"/>
  <c r="AU21" i="36"/>
  <c r="AA25" i="36"/>
  <c r="O28" i="36"/>
  <c r="BE30" i="36"/>
  <c r="Y33" i="36"/>
  <c r="AP35" i="36"/>
  <c r="AS37" i="36"/>
  <c r="AL14" i="36"/>
  <c r="AO18" i="36"/>
  <c r="AL22" i="36"/>
  <c r="AY14" i="36"/>
  <c r="BG18" i="36"/>
  <c r="AO22" i="36"/>
  <c r="C26" i="36"/>
  <c r="AU28" i="36"/>
  <c r="AG31" i="36"/>
  <c r="BA33" i="36"/>
  <c r="P36" i="36"/>
  <c r="V38" i="36"/>
  <c r="BM14" i="36"/>
  <c r="T19" i="36"/>
  <c r="AY22" i="36"/>
  <c r="G26" i="36"/>
  <c r="BL28" i="36"/>
  <c r="AO31" i="36"/>
  <c r="E34" i="36"/>
  <c r="D34" i="36" s="1"/>
  <c r="R36" i="36"/>
  <c r="X38" i="36"/>
  <c r="L40" i="36"/>
  <c r="AM41" i="36"/>
  <c r="W43" i="36"/>
  <c r="R13" i="36"/>
  <c r="BC19" i="36"/>
  <c r="AL26" i="36"/>
  <c r="AP31" i="36"/>
  <c r="AQ35" i="36"/>
  <c r="BB38" i="36"/>
  <c r="AN41" i="36"/>
  <c r="X44" i="36"/>
  <c r="AC46" i="36"/>
  <c r="X48" i="36"/>
  <c r="H50" i="36"/>
  <c r="AM51" i="36"/>
  <c r="R53" i="36"/>
  <c r="AM54" i="36"/>
  <c r="X56" i="36"/>
  <c r="AI57" i="36"/>
  <c r="BF58" i="36"/>
  <c r="BM59" i="36"/>
  <c r="N61" i="36"/>
  <c r="U62" i="36"/>
  <c r="AE63" i="36"/>
  <c r="AD64" i="36"/>
  <c r="AP65" i="36"/>
  <c r="AE66" i="36"/>
  <c r="AA67" i="36"/>
  <c r="P68" i="36"/>
  <c r="BL68" i="36"/>
  <c r="BG69" i="36"/>
  <c r="AO70" i="36"/>
  <c r="AG71" i="36"/>
  <c r="S72" i="36"/>
  <c r="BH72" i="36"/>
  <c r="AY73" i="36"/>
  <c r="AH74" i="36"/>
  <c r="L75" i="36"/>
  <c r="BL75" i="36"/>
  <c r="AO76" i="36"/>
  <c r="W77" i="36"/>
  <c r="J78" i="36"/>
  <c r="AU78" i="36"/>
  <c r="T79" i="36"/>
  <c r="BL79" i="36"/>
  <c r="AK80" i="36"/>
  <c r="K81" i="36"/>
  <c r="BB81" i="36"/>
  <c r="AA82" i="36"/>
  <c r="BL82" i="36"/>
  <c r="AR83" i="36"/>
  <c r="Q84" i="36"/>
  <c r="AZ84" i="36"/>
  <c r="X85" i="36"/>
  <c r="BL85" i="36"/>
  <c r="AI86" i="36"/>
  <c r="C87" i="36"/>
  <c r="AL87" i="36"/>
  <c r="M88" i="36"/>
  <c r="AS88" i="36"/>
  <c r="N89" i="36"/>
  <c r="AT89" i="36"/>
  <c r="O90" i="36"/>
  <c r="AU90" i="36"/>
  <c r="S91" i="36"/>
  <c r="AX91" i="36"/>
  <c r="R92" i="36"/>
  <c r="AW92" i="36"/>
  <c r="Q93" i="36"/>
  <c r="AV93" i="36"/>
  <c r="P94" i="36"/>
  <c r="AU94" i="36"/>
  <c r="Q95" i="36"/>
  <c r="AU95" i="36"/>
  <c r="N96" i="36"/>
  <c r="AR96" i="36"/>
  <c r="J97" i="36"/>
  <c r="AM97" i="36"/>
  <c r="C98" i="36"/>
  <c r="AH98" i="36"/>
  <c r="BK98" i="36"/>
  <c r="AB99" i="36"/>
  <c r="BD99" i="36"/>
  <c r="U100" i="36"/>
  <c r="AW100" i="36"/>
  <c r="AZ95" i="36"/>
  <c r="J98" i="36"/>
  <c r="Z100" i="36"/>
  <c r="T13" i="36"/>
  <c r="BD19" i="36"/>
  <c r="AN26" i="36"/>
  <c r="AS31" i="36"/>
  <c r="I36" i="36"/>
  <c r="AF39" i="36"/>
  <c r="BC41" i="36"/>
  <c r="Y44" i="36"/>
  <c r="AF46" i="36"/>
  <c r="AU48" i="36"/>
  <c r="J50" i="36"/>
  <c r="BJ51" i="36"/>
  <c r="S53" i="36"/>
  <c r="AN54" i="36"/>
  <c r="Z56" i="36"/>
  <c r="AK57" i="36"/>
  <c r="BG58" i="36"/>
  <c r="BN59" i="36"/>
  <c r="O61" i="36"/>
  <c r="V62" i="36"/>
  <c r="AF63" i="36"/>
  <c r="AE64" i="36"/>
  <c r="AQ65" i="36"/>
  <c r="AF66" i="36"/>
  <c r="AB67" i="36"/>
  <c r="Q68" i="36"/>
  <c r="BN68" i="36"/>
  <c r="BI69" i="36"/>
  <c r="AP70" i="36"/>
  <c r="AH71" i="36"/>
  <c r="T72" i="36"/>
  <c r="BJ72" i="36"/>
  <c r="AZ73" i="36"/>
  <c r="AJ74" i="36"/>
  <c r="M75" i="36"/>
  <c r="BM75" i="36"/>
  <c r="AP76" i="36"/>
  <c r="X77" i="36"/>
  <c r="K78" i="36"/>
  <c r="AV78" i="36"/>
  <c r="U79" i="36"/>
  <c r="BM79" i="36"/>
  <c r="AL80" i="36"/>
  <c r="L81" i="36"/>
  <c r="BC81" i="36"/>
  <c r="AB82" i="36"/>
  <c r="BM82" i="36"/>
  <c r="AS83" i="36"/>
  <c r="R84" i="36"/>
  <c r="BA84" i="36"/>
  <c r="AD85" i="36"/>
  <c r="BN85" i="36"/>
  <c r="AJ86" i="36"/>
  <c r="E87" i="36"/>
  <c r="D87" i="36" s="1"/>
  <c r="AM87" i="36"/>
  <c r="N88" i="36"/>
  <c r="AT88" i="36"/>
  <c r="O89" i="36"/>
  <c r="AU89" i="36"/>
  <c r="P90" i="36"/>
  <c r="AX90" i="36"/>
  <c r="T91" i="36"/>
  <c r="AY91" i="36"/>
  <c r="S92" i="36"/>
  <c r="AX92" i="36"/>
  <c r="R93" i="36"/>
  <c r="AW93" i="36"/>
  <c r="Q94" i="36"/>
  <c r="AX94" i="36"/>
  <c r="R95" i="36"/>
  <c r="AV95" i="36"/>
  <c r="O96" i="36"/>
  <c r="AS96" i="36"/>
  <c r="K97" i="36"/>
  <c r="AN97" i="36"/>
  <c r="E98" i="36"/>
  <c r="D98" i="36" s="1"/>
  <c r="AI98" i="36"/>
  <c r="BL98" i="36"/>
  <c r="AC99" i="36"/>
  <c r="BE99" i="36"/>
  <c r="V100" i="36"/>
  <c r="AX100" i="36"/>
  <c r="AD13" i="36"/>
  <c r="AJ21" i="36"/>
  <c r="AO26" i="36"/>
  <c r="AU31" i="36"/>
  <c r="K36" i="36"/>
  <c r="AH39" i="36"/>
  <c r="BE41" i="36"/>
  <c r="Z44" i="36"/>
  <c r="AG46" i="36"/>
  <c r="AW48" i="36"/>
  <c r="Q50" i="36"/>
  <c r="BL51" i="36"/>
  <c r="T53" i="36"/>
  <c r="BO54" i="36"/>
  <c r="AA56" i="36"/>
  <c r="AL57" i="36"/>
  <c r="BH58" i="36"/>
  <c r="BO59" i="36"/>
  <c r="P61" i="36"/>
  <c r="W62" i="36"/>
  <c r="AQ63" i="36"/>
  <c r="AF64" i="36"/>
  <c r="AR65" i="36"/>
  <c r="AG66" i="36"/>
  <c r="AD67" i="36"/>
  <c r="R68" i="36"/>
  <c r="BO68" i="36"/>
  <c r="BJ69" i="36"/>
  <c r="AQ70" i="36"/>
  <c r="AJ71" i="36"/>
  <c r="U72" i="36"/>
  <c r="BK72" i="36"/>
  <c r="BA73" i="36"/>
  <c r="AK74" i="36"/>
  <c r="N75" i="36"/>
  <c r="BN75" i="36"/>
  <c r="AQ76" i="36"/>
  <c r="Y77" i="36"/>
  <c r="L78" i="36"/>
  <c r="AW78" i="36"/>
  <c r="V79" i="36"/>
  <c r="BN79" i="36"/>
  <c r="AM80" i="36"/>
  <c r="M81" i="36"/>
  <c r="BD81" i="36"/>
  <c r="AC82" i="36"/>
  <c r="BN82" i="36"/>
  <c r="AT83" i="36"/>
  <c r="S84" i="36"/>
  <c r="BB84" i="36"/>
  <c r="AF85" i="36"/>
  <c r="BO85" i="36"/>
  <c r="AK86" i="36"/>
  <c r="G87" i="36"/>
  <c r="AN87" i="36"/>
  <c r="O88" i="36"/>
  <c r="AU88" i="36"/>
  <c r="P89" i="36"/>
  <c r="AV89" i="36"/>
  <c r="Q90" i="36"/>
  <c r="AZ90" i="36"/>
  <c r="U91" i="36"/>
  <c r="AZ91" i="36"/>
  <c r="T92" i="36"/>
  <c r="AY92" i="36"/>
  <c r="S93" i="36"/>
  <c r="AX93" i="36"/>
  <c r="R94" i="36"/>
  <c r="AZ94" i="36"/>
  <c r="S95" i="36"/>
  <c r="AW95" i="36"/>
  <c r="P96" i="36"/>
  <c r="AT96" i="36"/>
  <c r="L97" i="36"/>
  <c r="AO97" i="36"/>
  <c r="G98" i="36"/>
  <c r="AJ98" i="36"/>
  <c r="BM98" i="36"/>
  <c r="AD99" i="36"/>
  <c r="BF99" i="36"/>
  <c r="W100" i="36"/>
  <c r="AY100" i="36"/>
  <c r="O97" i="36"/>
  <c r="BI99" i="36"/>
  <c r="AG13" i="36"/>
  <c r="AP21" i="36"/>
  <c r="BA26" i="36"/>
  <c r="E32" i="36"/>
  <c r="D32" i="36" s="1"/>
  <c r="O36" i="36"/>
  <c r="AM39" i="36"/>
  <c r="E42" i="36"/>
  <c r="D42" i="36" s="1"/>
  <c r="AA44" i="36"/>
  <c r="AI46" i="36"/>
  <c r="AX48" i="36"/>
  <c r="T50" i="36"/>
  <c r="BM51" i="36"/>
  <c r="AA53" i="36"/>
  <c r="G55" i="36"/>
  <c r="AB56" i="36"/>
  <c r="BA57" i="36"/>
  <c r="BI58" i="36"/>
  <c r="C60" i="36"/>
  <c r="AB61" i="36"/>
  <c r="Y62" i="36"/>
  <c r="AT63" i="36"/>
  <c r="AK64" i="36"/>
  <c r="AY65" i="36"/>
  <c r="AH66" i="36"/>
  <c r="AE67" i="36"/>
  <c r="S68" i="36"/>
  <c r="E69" i="36"/>
  <c r="D69" i="36" s="1"/>
  <c r="BL69" i="36"/>
  <c r="AR70" i="36"/>
  <c r="AK71" i="36"/>
  <c r="V72" i="36"/>
  <c r="BL72" i="36"/>
  <c r="BC73" i="36"/>
  <c r="AL74" i="36"/>
  <c r="O75" i="36"/>
  <c r="BO75" i="36"/>
  <c r="AV76" i="36"/>
  <c r="Z77" i="36"/>
  <c r="M78" i="36"/>
  <c r="AX78" i="36"/>
  <c r="X79" i="36"/>
  <c r="BO79" i="36"/>
  <c r="AN80" i="36"/>
  <c r="N81" i="36"/>
  <c r="BE81" i="36"/>
  <c r="AE82" i="36"/>
  <c r="BO82" i="36"/>
  <c r="AU83" i="36"/>
  <c r="T84" i="36"/>
  <c r="BC84" i="36"/>
  <c r="AG85" i="36"/>
  <c r="C86" i="36"/>
  <c r="AL86" i="36"/>
  <c r="H87" i="36"/>
  <c r="AS87" i="36"/>
  <c r="P88" i="36"/>
  <c r="AV88" i="36"/>
  <c r="Q89" i="36"/>
  <c r="AW89" i="36"/>
  <c r="R90" i="36"/>
  <c r="BA90" i="36"/>
  <c r="V91" i="36"/>
  <c r="BA91" i="36"/>
  <c r="U92" i="36"/>
  <c r="AZ92" i="36"/>
  <c r="T93" i="36"/>
  <c r="AY93" i="36"/>
  <c r="S94" i="36"/>
  <c r="BA94" i="36"/>
  <c r="T95" i="36"/>
  <c r="AX95" i="36"/>
  <c r="Q96" i="36"/>
  <c r="AU96" i="36"/>
  <c r="M97" i="36"/>
  <c r="AP97" i="36"/>
  <c r="H98" i="36"/>
  <c r="AK98" i="36"/>
  <c r="BN98" i="36"/>
  <c r="AE99" i="36"/>
  <c r="BG99" i="36"/>
  <c r="X100" i="36"/>
  <c r="AZ100" i="36"/>
  <c r="AW96" i="36"/>
  <c r="C99" i="36"/>
  <c r="BB100" i="36"/>
  <c r="AK14" i="36"/>
  <c r="AS21" i="36"/>
  <c r="BD26" i="36"/>
  <c r="G32" i="36"/>
  <c r="S36" i="36"/>
  <c r="AN39" i="36"/>
  <c r="G42" i="36"/>
  <c r="AY44" i="36"/>
  <c r="AJ46" i="36"/>
  <c r="AZ48" i="36"/>
  <c r="U50" i="36"/>
  <c r="BN51" i="36"/>
  <c r="AB53" i="36"/>
  <c r="H55" i="36"/>
  <c r="AC56" i="36"/>
  <c r="BC57" i="36"/>
  <c r="BJ58" i="36"/>
  <c r="V60" i="36"/>
  <c r="AC61" i="36"/>
  <c r="Z62" i="36"/>
  <c r="AV63" i="36"/>
  <c r="AM64" i="36"/>
  <c r="AZ65" i="36"/>
  <c r="AI66" i="36"/>
  <c r="AF67" i="36"/>
  <c r="T68" i="36"/>
  <c r="N69" i="36"/>
  <c r="BM69" i="36"/>
  <c r="AS70" i="36"/>
  <c r="AL71" i="36"/>
  <c r="W72" i="36"/>
  <c r="BM72" i="36"/>
  <c r="BD73" i="36"/>
  <c r="AM74" i="36"/>
  <c r="P75" i="36"/>
  <c r="C76" i="36"/>
  <c r="AX76" i="36"/>
  <c r="AA77" i="36"/>
  <c r="N78" i="36"/>
  <c r="AY78" i="36"/>
  <c r="Y79" i="36"/>
  <c r="C80" i="36"/>
  <c r="AO80" i="36"/>
  <c r="O81" i="36"/>
  <c r="BF81" i="36"/>
  <c r="AF82" i="36"/>
  <c r="C83" i="36"/>
  <c r="AV83" i="36"/>
  <c r="U84" i="36"/>
  <c r="BD84" i="36"/>
  <c r="AH85" i="36"/>
  <c r="E86" i="36"/>
  <c r="D86" i="36" s="1"/>
  <c r="AM86" i="36"/>
  <c r="I87" i="36"/>
  <c r="AT87" i="36"/>
  <c r="Q88" i="36"/>
  <c r="AW88" i="36"/>
  <c r="R89" i="36"/>
  <c r="AX89" i="36"/>
  <c r="S90" i="36"/>
  <c r="BC90" i="36"/>
  <c r="W91" i="36"/>
  <c r="BB91" i="36"/>
  <c r="V92" i="36"/>
  <c r="BA92" i="36"/>
  <c r="U93" i="36"/>
  <c r="AZ93" i="36"/>
  <c r="V94" i="36"/>
  <c r="BB94" i="36"/>
  <c r="U95" i="36"/>
  <c r="AY95" i="36"/>
  <c r="R96" i="36"/>
  <c r="AV96" i="36"/>
  <c r="N97" i="36"/>
  <c r="AQ97" i="36"/>
  <c r="I98" i="36"/>
  <c r="AL98" i="36"/>
  <c r="BO98" i="36"/>
  <c r="AF99" i="36"/>
  <c r="BH99" i="36"/>
  <c r="Y100" i="36"/>
  <c r="BA100" i="36"/>
  <c r="S96" i="36"/>
  <c r="AR97" i="36"/>
  <c r="AG99" i="36"/>
  <c r="AO14" i="36"/>
  <c r="AV21" i="36"/>
  <c r="AY27" i="36"/>
  <c r="I32" i="36"/>
  <c r="V36" i="36"/>
  <c r="AO39" i="36"/>
  <c r="M42" i="36"/>
  <c r="AZ44" i="36"/>
  <c r="AL46" i="36"/>
  <c r="BA48" i="36"/>
  <c r="W50" i="36"/>
  <c r="BO51" i="36"/>
  <c r="AD53" i="36"/>
  <c r="I55" i="36"/>
  <c r="AD56" i="36"/>
  <c r="BK57" i="36"/>
  <c r="BK58" i="36"/>
  <c r="AC60" i="36"/>
  <c r="AF61" i="36"/>
  <c r="AP62" i="36"/>
  <c r="AW63" i="36"/>
  <c r="AN64" i="36"/>
  <c r="BC65" i="36"/>
  <c r="AJ66" i="36"/>
  <c r="AG67" i="36"/>
  <c r="U68" i="36"/>
  <c r="O69" i="36"/>
  <c r="BN69" i="36"/>
  <c r="AT70" i="36"/>
  <c r="AM71" i="36"/>
  <c r="X72" i="36"/>
  <c r="O73" i="36"/>
  <c r="BE73" i="36"/>
  <c r="AN74" i="36"/>
  <c r="AC75" i="36"/>
  <c r="E76" i="36"/>
  <c r="D76" i="36" s="1"/>
  <c r="AY76" i="36"/>
  <c r="AI77" i="36"/>
  <c r="O78" i="36"/>
  <c r="AZ78" i="36"/>
  <c r="AG79" i="36"/>
  <c r="E80" i="36"/>
  <c r="D80" i="36" s="1"/>
  <c r="AP80" i="36"/>
  <c r="W81" i="36"/>
  <c r="BG81" i="36"/>
  <c r="AG82" i="36"/>
  <c r="M83" i="36"/>
  <c r="AW83" i="36"/>
  <c r="V84" i="36"/>
  <c r="BE84" i="36"/>
  <c r="AI85" i="36"/>
  <c r="G86" i="36"/>
  <c r="AN86" i="36"/>
  <c r="J87" i="36"/>
  <c r="AV87" i="36"/>
  <c r="R88" i="36"/>
  <c r="AX88" i="36"/>
  <c r="S89" i="36"/>
  <c r="AY89" i="36"/>
  <c r="V90" i="36"/>
  <c r="BD90" i="36"/>
  <c r="X91" i="36"/>
  <c r="BC91" i="36"/>
  <c r="W92" i="36"/>
  <c r="BB92" i="36"/>
  <c r="V93" i="36"/>
  <c r="BA93" i="36"/>
  <c r="X94" i="36"/>
  <c r="BC94" i="36"/>
  <c r="V95" i="36"/>
  <c r="AM98" i="36"/>
  <c r="T15" i="36"/>
  <c r="AJ22" i="36"/>
  <c r="BA27" i="36"/>
  <c r="J32" i="36"/>
  <c r="X36" i="36"/>
  <c r="AP39" i="36"/>
  <c r="P42" i="36"/>
  <c r="BB44" i="36"/>
  <c r="AM46" i="36"/>
  <c r="BC48" i="36"/>
  <c r="AB50" i="36"/>
  <c r="C52" i="36"/>
  <c r="AF53" i="36"/>
  <c r="J55" i="36"/>
  <c r="AE56" i="36"/>
  <c r="BL57" i="36"/>
  <c r="L59" i="36"/>
  <c r="AE60" i="36"/>
  <c r="AG61" i="36"/>
  <c r="AV62" i="36"/>
  <c r="AX63" i="36"/>
  <c r="BD64" i="36"/>
  <c r="BD65" i="36"/>
  <c r="AK66" i="36"/>
  <c r="AH67" i="36"/>
  <c r="V68" i="36"/>
  <c r="Q69" i="36"/>
  <c r="BO69" i="36"/>
  <c r="AV70" i="36"/>
  <c r="AO71" i="36"/>
  <c r="Y72" i="36"/>
  <c r="P73" i="36"/>
  <c r="BF73" i="36"/>
  <c r="AO74" i="36"/>
  <c r="AD75" i="36"/>
  <c r="G76" i="36"/>
  <c r="AZ76" i="36"/>
  <c r="AJ77" i="36"/>
  <c r="P78" i="36"/>
  <c r="BA78" i="36"/>
  <c r="AH79" i="36"/>
  <c r="G80" i="36"/>
  <c r="AQ80" i="36"/>
  <c r="X81" i="36"/>
  <c r="BH81" i="36"/>
  <c r="AH82" i="36"/>
  <c r="N83" i="36"/>
  <c r="AX83" i="36"/>
  <c r="W84" i="36"/>
  <c r="BF84" i="36"/>
  <c r="AJ85" i="36"/>
  <c r="H86" i="36"/>
  <c r="AO86" i="36"/>
  <c r="K87" i="36"/>
  <c r="AW87" i="36"/>
  <c r="S88" i="36"/>
  <c r="AY88" i="36"/>
  <c r="T89" i="36"/>
  <c r="AZ89" i="36"/>
  <c r="X90" i="36"/>
  <c r="BE90" i="36"/>
  <c r="Y91" i="36"/>
  <c r="BD91" i="36"/>
  <c r="X92" i="36"/>
  <c r="BC92" i="36"/>
  <c r="W93" i="36"/>
  <c r="BB93" i="36"/>
  <c r="Y94" i="36"/>
  <c r="BD94" i="36"/>
  <c r="W95" i="36"/>
  <c r="BA95" i="36"/>
  <c r="T96" i="36"/>
  <c r="AX96" i="36"/>
  <c r="P97" i="36"/>
  <c r="AS97" i="36"/>
  <c r="K98" i="36"/>
  <c r="AN98" i="36"/>
  <c r="E99" i="36"/>
  <c r="D99" i="36" s="1"/>
  <c r="AH99" i="36"/>
  <c r="BJ99" i="36"/>
  <c r="AA100" i="36"/>
  <c r="BC100" i="36"/>
  <c r="AA15" i="36"/>
  <c r="AN22" i="36"/>
  <c r="BF27" i="36"/>
  <c r="L32" i="36"/>
  <c r="Y36" i="36"/>
  <c r="AQ39" i="36"/>
  <c r="S42" i="36"/>
  <c r="BC44" i="36"/>
  <c r="AN46" i="36"/>
  <c r="BD48" i="36"/>
  <c r="AD50" i="36"/>
  <c r="E52" i="36"/>
  <c r="D52" i="36" s="1"/>
  <c r="AO53" i="36"/>
  <c r="K55" i="36"/>
  <c r="AF56" i="36"/>
  <c r="BN57" i="36"/>
  <c r="M59" i="36"/>
  <c r="AF60" i="36"/>
  <c r="AI61" i="36"/>
  <c r="AX62" i="36"/>
  <c r="AY63" i="36"/>
  <c r="BF64" i="36"/>
  <c r="BE65" i="36"/>
  <c r="AL66" i="36"/>
  <c r="AP67" i="36"/>
  <c r="W68" i="36"/>
  <c r="R69" i="36"/>
  <c r="C70" i="36"/>
  <c r="AW70" i="36"/>
  <c r="AP71" i="36"/>
  <c r="Z72" i="36"/>
  <c r="Q73" i="36"/>
  <c r="BG73" i="36"/>
  <c r="AP74" i="36"/>
  <c r="AE75" i="36"/>
  <c r="H76" i="36"/>
  <c r="BA76" i="36"/>
  <c r="AO77" i="36"/>
  <c r="Q78" i="36"/>
  <c r="BB78" i="36"/>
  <c r="AI79" i="36"/>
  <c r="H80" i="36"/>
  <c r="AS80" i="36"/>
  <c r="Y81" i="36"/>
  <c r="BI81" i="36"/>
  <c r="AI82" i="36"/>
  <c r="O83" i="36"/>
  <c r="AZ83" i="36"/>
  <c r="X84" i="36"/>
  <c r="BL84" i="36"/>
  <c r="AL85" i="36"/>
  <c r="AP86" i="36"/>
  <c r="L87" i="36"/>
  <c r="AX87" i="36"/>
  <c r="T88" i="36"/>
  <c r="AZ88" i="36"/>
  <c r="AH15" i="36"/>
  <c r="T23" i="36"/>
  <c r="AP28" i="36"/>
  <c r="H33" i="36"/>
  <c r="AT36" i="36"/>
  <c r="AX39" i="36"/>
  <c r="AT42" i="36"/>
  <c r="BL44" i="36"/>
  <c r="L47" i="36"/>
  <c r="BF48" i="36"/>
  <c r="AF50" i="36"/>
  <c r="U52" i="36"/>
  <c r="AR53" i="36"/>
  <c r="M55" i="36"/>
  <c r="AH56" i="36"/>
  <c r="J58" i="36"/>
  <c r="P59" i="36"/>
  <c r="AH60" i="36"/>
  <c r="AK61" i="36"/>
  <c r="BA62" i="36"/>
  <c r="BA63" i="36"/>
  <c r="BH64" i="36"/>
  <c r="BG65" i="36"/>
  <c r="BC66" i="36"/>
  <c r="AS67" i="36"/>
  <c r="Y68" i="36"/>
  <c r="T69" i="36"/>
  <c r="G70" i="36"/>
  <c r="BK70" i="36"/>
  <c r="AR71" i="36"/>
  <c r="AB72" i="36"/>
  <c r="S73" i="36"/>
  <c r="BI73" i="36"/>
  <c r="AR74" i="36"/>
  <c r="AG75" i="36"/>
  <c r="J76" i="36"/>
  <c r="BC76" i="36"/>
  <c r="AQ77" i="36"/>
  <c r="S78" i="36"/>
  <c r="BD78" i="36"/>
  <c r="AK79" i="36"/>
  <c r="J80" i="36"/>
  <c r="AU80" i="36"/>
  <c r="AA81" i="36"/>
  <c r="BK81" i="36"/>
  <c r="AK82" i="36"/>
  <c r="Q83" i="36"/>
  <c r="BB83" i="36"/>
  <c r="Z84" i="36"/>
  <c r="BO84" i="36"/>
  <c r="AN85" i="36"/>
  <c r="K86" i="36"/>
  <c r="AR86" i="36"/>
  <c r="R87" i="36"/>
  <c r="AZ87" i="36"/>
  <c r="V88" i="36"/>
  <c r="BB88" i="36"/>
  <c r="W89" i="36"/>
  <c r="BE89" i="36"/>
  <c r="AB90" i="36"/>
  <c r="BH90" i="36"/>
  <c r="AB91" i="36"/>
  <c r="BG91" i="36"/>
  <c r="AA92" i="36"/>
  <c r="BF92" i="36"/>
  <c r="Z93" i="36"/>
  <c r="BH93" i="36"/>
  <c r="AB94" i="36"/>
  <c r="BG94" i="36"/>
  <c r="Z95" i="36"/>
  <c r="BD95" i="36"/>
  <c r="W96" i="36"/>
  <c r="BA96" i="36"/>
  <c r="S97" i="36"/>
  <c r="AV97" i="36"/>
  <c r="N98" i="36"/>
  <c r="AQ98" i="36"/>
  <c r="I99" i="36"/>
  <c r="AK99" i="36"/>
  <c r="BM99" i="36"/>
  <c r="AD100" i="36"/>
  <c r="BF100" i="36"/>
  <c r="AU15" i="36"/>
  <c r="AB23" i="36"/>
  <c r="I29" i="36"/>
  <c r="Z33" i="36"/>
  <c r="AX36" i="36"/>
  <c r="V40" i="36"/>
  <c r="O43" i="36"/>
  <c r="C45" i="36"/>
  <c r="W47" i="36"/>
  <c r="BI48" i="36"/>
  <c r="BM50" i="36"/>
  <c r="AF52" i="36"/>
  <c r="BO53" i="36"/>
  <c r="X55" i="36"/>
  <c r="BL56" i="36"/>
  <c r="P58" i="36"/>
  <c r="U59" i="36"/>
  <c r="AK60" i="36"/>
  <c r="AN61" i="36"/>
  <c r="BD62" i="36"/>
  <c r="BD63" i="36"/>
  <c r="C65" i="36"/>
  <c r="BJ65" i="36"/>
  <c r="BG66" i="36"/>
  <c r="AV67" i="36"/>
  <c r="AP68" i="36"/>
  <c r="W69" i="36"/>
  <c r="J70" i="36"/>
  <c r="BO70" i="36"/>
  <c r="AZ71" i="36"/>
  <c r="AM72" i="36"/>
  <c r="V73" i="36"/>
  <c r="C74" i="36"/>
  <c r="BB74" i="36"/>
  <c r="AJ75" i="36"/>
  <c r="M76" i="36"/>
  <c r="BM76" i="36"/>
  <c r="AT77" i="36"/>
  <c r="V78" i="36"/>
  <c r="BO78" i="36"/>
  <c r="AN79" i="36"/>
  <c r="M80" i="36"/>
  <c r="BE80" i="36"/>
  <c r="AD81" i="36"/>
  <c r="BO81" i="36"/>
  <c r="AU82" i="36"/>
  <c r="T83" i="36"/>
  <c r="BE83" i="36"/>
  <c r="AC84" i="36"/>
  <c r="G85" i="36"/>
  <c r="AQ85" i="36"/>
  <c r="N86" i="36"/>
  <c r="AU86" i="36"/>
  <c r="V87" i="36"/>
  <c r="BC87" i="36"/>
  <c r="Y88" i="36"/>
  <c r="BE88" i="36"/>
  <c r="Z89" i="36"/>
  <c r="BJ89" i="36"/>
  <c r="AE90" i="36"/>
  <c r="BK90" i="36"/>
  <c r="AE91" i="36"/>
  <c r="BJ91" i="36"/>
  <c r="AD92" i="36"/>
  <c r="BI92" i="36"/>
  <c r="AF93" i="36"/>
  <c r="BK93" i="36"/>
  <c r="AE94" i="36"/>
  <c r="BJ94" i="36"/>
  <c r="AC95" i="36"/>
  <c r="BG95" i="36"/>
  <c r="Z96" i="36"/>
  <c r="BD96" i="36"/>
  <c r="V97" i="36"/>
  <c r="AY97" i="36"/>
  <c r="Q98" i="36"/>
  <c r="AT98" i="36"/>
  <c r="L99" i="36"/>
  <c r="AN99" i="36"/>
  <c r="C100" i="36"/>
  <c r="AR17" i="36"/>
  <c r="AF23" i="36"/>
  <c r="S29" i="36"/>
  <c r="AV33" i="36"/>
  <c r="AR37" i="36"/>
  <c r="AL40" i="36"/>
  <c r="S43" i="36"/>
  <c r="H45" i="36"/>
  <c r="Z47" i="36"/>
  <c r="BL48" i="36"/>
  <c r="E51" i="36"/>
  <c r="D51" i="36" s="1"/>
  <c r="AJ52" i="36"/>
  <c r="G54" i="36"/>
  <c r="AI55" i="36"/>
  <c r="G57" i="36"/>
  <c r="S58" i="36"/>
  <c r="AL59" i="36"/>
  <c r="AO60" i="36"/>
  <c r="BL61" i="36"/>
  <c r="BG62" i="36"/>
  <c r="O64" i="36"/>
  <c r="H65" i="36"/>
  <c r="BM65" i="36"/>
  <c r="BJ66" i="36"/>
  <c r="AY67" i="36"/>
  <c r="AT68" i="36"/>
  <c r="AF69" i="36"/>
  <c r="M70" i="36"/>
  <c r="AU17" i="36"/>
  <c r="O25" i="36"/>
  <c r="AA29" i="36"/>
  <c r="M34" i="36"/>
  <c r="M38" i="36"/>
  <c r="AO40" i="36"/>
  <c r="V43" i="36"/>
  <c r="J45" i="36"/>
  <c r="AK47" i="36"/>
  <c r="O49" i="36"/>
  <c r="H51" i="36"/>
  <c r="AP52" i="36"/>
  <c r="Q54" i="36"/>
  <c r="AL55" i="36"/>
  <c r="I57" i="36"/>
  <c r="U58" i="36"/>
  <c r="AU59" i="36"/>
  <c r="AQ60" i="36"/>
  <c r="BO61" i="36"/>
  <c r="BI62" i="36"/>
  <c r="S64" i="36"/>
  <c r="J65" i="36"/>
  <c r="Q66" i="36"/>
  <c r="BL66" i="36"/>
  <c r="BA67" i="36"/>
  <c r="AV68" i="36"/>
  <c r="AI69" i="36"/>
  <c r="AB70" i="36"/>
  <c r="AN18" i="36"/>
  <c r="T25" i="36"/>
  <c r="AC29" i="36"/>
  <c r="U34" i="36"/>
  <c r="U38" i="36"/>
  <c r="Z41" i="36"/>
  <c r="Y43" i="36"/>
  <c r="BI45" i="36"/>
  <c r="AM47" i="36"/>
  <c r="AV49" i="36"/>
  <c r="J51" i="36"/>
  <c r="AR52" i="36"/>
  <c r="AC54" i="36"/>
  <c r="AO55" i="36"/>
  <c r="O57" i="36"/>
  <c r="W58" i="36"/>
  <c r="AX59" i="36"/>
  <c r="AS60" i="36"/>
  <c r="G62" i="36"/>
  <c r="E63" i="36"/>
  <c r="D63" i="36" s="1"/>
  <c r="U64" i="36"/>
  <c r="R65" i="36"/>
  <c r="V66" i="36"/>
  <c r="BN66" i="36"/>
  <c r="BC67" i="36"/>
  <c r="AX68" i="36"/>
  <c r="AK69" i="36"/>
  <c r="AF70" i="36"/>
  <c r="K71" i="36"/>
  <c r="BG71" i="36"/>
  <c r="AY72" i="36"/>
  <c r="AD73" i="36"/>
  <c r="U74" i="36"/>
  <c r="BN74" i="36"/>
  <c r="AQ75" i="36"/>
  <c r="AF76" i="36"/>
  <c r="M77" i="36"/>
  <c r="BA77" i="36"/>
  <c r="AL78" i="36"/>
  <c r="K79" i="36"/>
  <c r="AU79" i="36"/>
  <c r="AB80" i="36"/>
  <c r="BL80" i="36"/>
  <c r="AL81" i="36"/>
  <c r="R82" i="36"/>
  <c r="BB82" i="36"/>
  <c r="AB83" i="36"/>
  <c r="E84" i="36"/>
  <c r="D84" i="36" s="1"/>
  <c r="AP84" i="36"/>
  <c r="O85" i="36"/>
  <c r="W19" i="36"/>
  <c r="BJ25" i="36"/>
  <c r="AN30" i="36"/>
  <c r="W34" i="36"/>
  <c r="AA38" i="36"/>
  <c r="AE41" i="36"/>
  <c r="AN43" i="36"/>
  <c r="BK45" i="36"/>
  <c r="AO47" i="36"/>
  <c r="AZ49" i="36"/>
  <c r="L51" i="36"/>
  <c r="J53" i="36"/>
  <c r="AF54" i="36"/>
  <c r="BI55" i="36"/>
  <c r="R57" i="36"/>
  <c r="Z58" i="36"/>
  <c r="AG15" i="36"/>
  <c r="P28" i="36"/>
  <c r="Z36" i="36"/>
  <c r="AA42" i="36"/>
  <c r="AO46" i="36"/>
  <c r="AE50" i="36"/>
  <c r="AQ53" i="36"/>
  <c r="AG56" i="36"/>
  <c r="O59" i="36"/>
  <c r="L61" i="36"/>
  <c r="Z63" i="36"/>
  <c r="V65" i="36"/>
  <c r="BO66" i="36"/>
  <c r="AU68" i="36"/>
  <c r="K70" i="36"/>
  <c r="Y71" i="36"/>
  <c r="BA72" i="36"/>
  <c r="H74" i="36"/>
  <c r="J75" i="36"/>
  <c r="AG76" i="36"/>
  <c r="AU77" i="36"/>
  <c r="AR78" i="36"/>
  <c r="AT79" i="36"/>
  <c r="AW80" i="36"/>
  <c r="AQ81" i="36"/>
  <c r="AZ82" i="36"/>
  <c r="BC83" i="36"/>
  <c r="AU84" i="36"/>
  <c r="AU85" i="36"/>
  <c r="AF86" i="36"/>
  <c r="AA87" i="36"/>
  <c r="K88" i="36"/>
  <c r="BO88" i="36"/>
  <c r="BA89" i="36"/>
  <c r="AK90" i="36"/>
  <c r="R91" i="36"/>
  <c r="BO91" i="36"/>
  <c r="AU92" i="36"/>
  <c r="AJ93" i="36"/>
  <c r="M94" i="36"/>
  <c r="BM94" i="36"/>
  <c r="AQ95" i="36"/>
  <c r="AB96" i="36"/>
  <c r="C97" i="36"/>
  <c r="AZ97" i="36"/>
  <c r="AB98" i="36"/>
  <c r="K99" i="36"/>
  <c r="AW99" i="36"/>
  <c r="AE100" i="36"/>
  <c r="BO100" i="36"/>
  <c r="E89" i="36"/>
  <c r="D89" i="36" s="1"/>
  <c r="AK93" i="36"/>
  <c r="BN94" i="36"/>
  <c r="AC96" i="36"/>
  <c r="BA97" i="36"/>
  <c r="M99" i="36"/>
  <c r="AX99" i="36"/>
  <c r="AG100" i="36"/>
  <c r="BH89" i="36"/>
  <c r="AE96" i="36"/>
  <c r="AZ99" i="36"/>
  <c r="AK100" i="36"/>
  <c r="BL65" i="36"/>
  <c r="K85" i="36"/>
  <c r="BK97" i="36"/>
  <c r="AC89" i="36"/>
  <c r="M32" i="36"/>
  <c r="AE89" i="36"/>
  <c r="L58" i="36"/>
  <c r="T87" i="36"/>
  <c r="BH98" i="36"/>
  <c r="C75" i="36"/>
  <c r="BJ96" i="36"/>
  <c r="AR15" i="36"/>
  <c r="AQ28" i="36"/>
  <c r="AU36" i="36"/>
  <c r="I43" i="36"/>
  <c r="T47" i="36"/>
  <c r="BH50" i="36"/>
  <c r="AT53" i="36"/>
  <c r="AI56" i="36"/>
  <c r="S59" i="36"/>
  <c r="M61" i="36"/>
  <c r="AB63" i="36"/>
  <c r="W65" i="36"/>
  <c r="C67" i="36"/>
  <c r="AW68" i="36"/>
  <c r="L70" i="36"/>
  <c r="AQ71" i="36"/>
  <c r="BB72" i="36"/>
  <c r="I74" i="36"/>
  <c r="K75" i="36"/>
  <c r="AH76" i="36"/>
  <c r="AV77" i="36"/>
  <c r="AS78" i="36"/>
  <c r="AV79" i="36"/>
  <c r="BF80" i="36"/>
  <c r="AR81" i="36"/>
  <c r="BA82" i="36"/>
  <c r="BD83" i="36"/>
  <c r="AV84" i="36"/>
  <c r="AV85" i="36"/>
  <c r="AG86" i="36"/>
  <c r="AB87" i="36"/>
  <c r="U88" i="36"/>
  <c r="BB89" i="36"/>
  <c r="AL90" i="36"/>
  <c r="Z91" i="36"/>
  <c r="C92" i="36"/>
  <c r="AV92" i="36"/>
  <c r="N94" i="36"/>
  <c r="AR95" i="36"/>
  <c r="E97" i="36"/>
  <c r="D97" i="36" s="1"/>
  <c r="AC98" i="36"/>
  <c r="AF100" i="36"/>
  <c r="X88" i="36"/>
  <c r="Z94" i="36"/>
  <c r="BC97" i="36"/>
  <c r="AH100" i="36"/>
  <c r="AB57" i="36"/>
  <c r="BJ85" i="36"/>
  <c r="BJ95" i="36"/>
  <c r="X99" i="36"/>
  <c r="I90" i="36"/>
  <c r="L55" i="36"/>
  <c r="AS74" i="36"/>
  <c r="P85" i="36"/>
  <c r="BI93" i="36"/>
  <c r="BN44" i="36"/>
  <c r="AT74" i="36"/>
  <c r="BE87" i="36"/>
  <c r="L98" i="36"/>
  <c r="BG100" i="36"/>
  <c r="AX69" i="36"/>
  <c r="AD90" i="36"/>
  <c r="BI100" i="36"/>
  <c r="AH41" i="36"/>
  <c r="AU72" i="36"/>
  <c r="AO89" i="36"/>
  <c r="AR99" i="36"/>
  <c r="AS15" i="36"/>
  <c r="AT28" i="36"/>
  <c r="AW36" i="36"/>
  <c r="K43" i="36"/>
  <c r="U47" i="36"/>
  <c r="BK50" i="36"/>
  <c r="BM53" i="36"/>
  <c r="AJ56" i="36"/>
  <c r="T59" i="36"/>
  <c r="AJ61" i="36"/>
  <c r="AC63" i="36"/>
  <c r="X65" i="36"/>
  <c r="M67" i="36"/>
  <c r="AY68" i="36"/>
  <c r="AA70" i="36"/>
  <c r="AW71" i="36"/>
  <c r="BC72" i="36"/>
  <c r="J74" i="36"/>
  <c r="AF75" i="36"/>
  <c r="AI76" i="36"/>
  <c r="AW77" i="36"/>
  <c r="AT78" i="36"/>
  <c r="AW79" i="36"/>
  <c r="BG80" i="36"/>
  <c r="AZ81" i="36"/>
  <c r="BC82" i="36"/>
  <c r="BF83" i="36"/>
  <c r="AW84" i="36"/>
  <c r="AW85" i="36"/>
  <c r="AH86" i="36"/>
  <c r="AC87" i="36"/>
  <c r="W88" i="36"/>
  <c r="G89" i="36"/>
  <c r="BG89" i="36"/>
  <c r="AM90" i="36"/>
  <c r="AA91" i="36"/>
  <c r="H92" i="36"/>
  <c r="BD92" i="36"/>
  <c r="AL93" i="36"/>
  <c r="O94" i="36"/>
  <c r="BO94" i="36"/>
  <c r="AS95" i="36"/>
  <c r="AD96" i="36"/>
  <c r="G97" i="36"/>
  <c r="BB97" i="36"/>
  <c r="AD98" i="36"/>
  <c r="N99" i="36"/>
  <c r="AY99" i="36"/>
  <c r="AN90" i="36"/>
  <c r="AT95" i="36"/>
  <c r="AE98" i="36"/>
  <c r="I62" i="36"/>
  <c r="H82" i="36"/>
  <c r="E93" i="36"/>
  <c r="D93" i="36" s="1"/>
  <c r="AO100" i="36"/>
  <c r="BB87" i="36"/>
  <c r="X66" i="36"/>
  <c r="T82" i="36"/>
  <c r="Y95" i="36"/>
  <c r="BK67" i="36"/>
  <c r="Q85" i="36"/>
  <c r="AZ96" i="36"/>
  <c r="AI81" i="36"/>
  <c r="Y34" i="36"/>
  <c r="AM82" i="36"/>
  <c r="AV15" i="36"/>
  <c r="N29" i="36"/>
  <c r="AJ37" i="36"/>
  <c r="P43" i="36"/>
  <c r="X47" i="36"/>
  <c r="BN50" i="36"/>
  <c r="C54" i="36"/>
  <c r="BO56" i="36"/>
  <c r="AH59" i="36"/>
  <c r="AL61" i="36"/>
  <c r="AD63" i="36"/>
  <c r="AL65" i="36"/>
  <c r="N67" i="36"/>
  <c r="AZ68" i="36"/>
  <c r="AE70" i="36"/>
  <c r="AY71" i="36"/>
  <c r="BD72" i="36"/>
  <c r="K74" i="36"/>
  <c r="AH75" i="36"/>
  <c r="AJ76" i="36"/>
  <c r="AX77" i="36"/>
  <c r="BC78" i="36"/>
  <c r="AX79" i="36"/>
  <c r="BH80" i="36"/>
  <c r="BA81" i="36"/>
  <c r="BD82" i="36"/>
  <c r="BG83" i="36"/>
  <c r="AX84" i="36"/>
  <c r="AX85" i="36"/>
  <c r="AQ86" i="36"/>
  <c r="AD87" i="36"/>
  <c r="H89" i="36"/>
  <c r="AC91" i="36"/>
  <c r="J92" i="36"/>
  <c r="BE92" i="36"/>
  <c r="AM93" i="36"/>
  <c r="C95" i="36"/>
  <c r="H97" i="36"/>
  <c r="O99" i="36"/>
  <c r="AM70" i="36"/>
  <c r="BE86" i="36"/>
  <c r="AI94" i="36"/>
  <c r="AK94" i="36"/>
  <c r="X95" i="36"/>
  <c r="Y99" i="36"/>
  <c r="AV39" i="36"/>
  <c r="AU75" i="36"/>
  <c r="AM88" i="36"/>
  <c r="BO97" i="36"/>
  <c r="N62" i="36"/>
  <c r="AV75" i="36"/>
  <c r="M86" i="36"/>
  <c r="AE92" i="36"/>
  <c r="J100" i="36"/>
  <c r="O100" i="36"/>
  <c r="BA58" i="36"/>
  <c r="BI91" i="36"/>
  <c r="AX15" i="36"/>
  <c r="R29" i="36"/>
  <c r="AP37" i="36"/>
  <c r="R43" i="36"/>
  <c r="Y47" i="36"/>
  <c r="C51" i="36"/>
  <c r="E54" i="36"/>
  <c r="D54" i="36" s="1"/>
  <c r="E57" i="36"/>
  <c r="D57" i="36" s="1"/>
  <c r="AK59" i="36"/>
  <c r="AM61" i="36"/>
  <c r="AZ63" i="36"/>
  <c r="AN65" i="36"/>
  <c r="P67" i="36"/>
  <c r="BA68" i="36"/>
  <c r="AG70" i="36"/>
  <c r="BA71" i="36"/>
  <c r="BE72" i="36"/>
  <c r="L74" i="36"/>
  <c r="AI75" i="36"/>
  <c r="AK76" i="36"/>
  <c r="AY77" i="36"/>
  <c r="BE78" i="36"/>
  <c r="AZ79" i="36"/>
  <c r="BI80" i="36"/>
  <c r="BJ81" i="36"/>
  <c r="BE82" i="36"/>
  <c r="BH83" i="36"/>
  <c r="AY84" i="36"/>
  <c r="AY85" i="36"/>
  <c r="AS86" i="36"/>
  <c r="AE87" i="36"/>
  <c r="Z88" i="36"/>
  <c r="I89" i="36"/>
  <c r="BK89" i="36"/>
  <c r="AO90" i="36"/>
  <c r="AD91" i="36"/>
  <c r="K92" i="36"/>
  <c r="BG92" i="36"/>
  <c r="AN93" i="36"/>
  <c r="AA94" i="36"/>
  <c r="E95" i="36"/>
  <c r="D95" i="36" s="1"/>
  <c r="BB95" i="36"/>
  <c r="AF96" i="36"/>
  <c r="I97" i="36"/>
  <c r="BE97" i="36"/>
  <c r="AF98" i="36"/>
  <c r="P99" i="36"/>
  <c r="BA99" i="36"/>
  <c r="AI100" i="36"/>
  <c r="S69" i="36"/>
  <c r="AK87" i="36"/>
  <c r="X97" i="36"/>
  <c r="P95" i="36"/>
  <c r="AQ96" i="36"/>
  <c r="AR100" i="36"/>
  <c r="Y64" i="36"/>
  <c r="Q80" i="36"/>
  <c r="AQ91" i="36"/>
  <c r="Z64" i="36"/>
  <c r="X83" i="36"/>
  <c r="K93" i="36"/>
  <c r="AT100" i="36"/>
  <c r="AT72" i="36"/>
  <c r="BF88" i="36"/>
  <c r="M96" i="36"/>
  <c r="BB49" i="36"/>
  <c r="O76" i="36"/>
  <c r="AF90" i="36"/>
  <c r="BJ100" i="36"/>
  <c r="AT17" i="36"/>
  <c r="T29" i="36"/>
  <c r="AU37" i="36"/>
  <c r="U43" i="36"/>
  <c r="AH47" i="36"/>
  <c r="G51" i="36"/>
  <c r="O54" i="36"/>
  <c r="H57" i="36"/>
  <c r="AM59" i="36"/>
  <c r="AO61" i="36"/>
  <c r="BB63" i="36"/>
  <c r="AO65" i="36"/>
  <c r="Q67" i="36"/>
  <c r="BB68" i="36"/>
  <c r="AH70" i="36"/>
  <c r="BB71" i="36"/>
  <c r="BF72" i="36"/>
  <c r="V74" i="36"/>
  <c r="AK75" i="36"/>
  <c r="AL76" i="36"/>
  <c r="AZ77" i="36"/>
  <c r="BG78" i="36"/>
  <c r="BA79" i="36"/>
  <c r="BJ80" i="36"/>
  <c r="BL81" i="36"/>
  <c r="BG82" i="36"/>
  <c r="BI83" i="36"/>
  <c r="BN84" i="36"/>
  <c r="AZ85" i="36"/>
  <c r="AT86" i="36"/>
  <c r="AF87" i="36"/>
  <c r="AA88" i="36"/>
  <c r="J89" i="36"/>
  <c r="BL89" i="36"/>
  <c r="AP90" i="36"/>
  <c r="AF91" i="36"/>
  <c r="L92" i="36"/>
  <c r="BH92" i="36"/>
  <c r="AO93" i="36"/>
  <c r="AC94" i="36"/>
  <c r="G95" i="36"/>
  <c r="BC95" i="36"/>
  <c r="AG96" i="36"/>
  <c r="Q97" i="36"/>
  <c r="BF97" i="36"/>
  <c r="AG98" i="36"/>
  <c r="Q99" i="36"/>
  <c r="BB99" i="36"/>
  <c r="AJ100" i="36"/>
  <c r="R99" i="36"/>
  <c r="T64" i="36"/>
  <c r="C81" i="36"/>
  <c r="BF90" i="36"/>
  <c r="AU98" i="36"/>
  <c r="G100" i="36"/>
  <c r="BJ90" i="36"/>
  <c r="BE48" i="36"/>
  <c r="J72" i="36"/>
  <c r="V83" i="36"/>
  <c r="J93" i="36"/>
  <c r="O72" i="36"/>
  <c r="BJ86" i="36"/>
  <c r="AD97" i="36"/>
  <c r="N71" i="36"/>
  <c r="I91" i="36"/>
  <c r="Q100" i="36"/>
  <c r="AH80" i="36"/>
  <c r="AL97" i="36"/>
  <c r="BF17" i="36"/>
  <c r="AB29" i="36"/>
  <c r="R38" i="36"/>
  <c r="X43" i="36"/>
  <c r="AL47" i="36"/>
  <c r="I51" i="36"/>
  <c r="Y54" i="36"/>
  <c r="J57" i="36"/>
  <c r="AV59" i="36"/>
  <c r="BC61" i="36"/>
  <c r="BC63" i="36"/>
  <c r="BF65" i="36"/>
  <c r="R67" i="36"/>
  <c r="BC68" i="36"/>
  <c r="AI70" i="36"/>
  <c r="BC71" i="36"/>
  <c r="BG72" i="36"/>
  <c r="W74" i="36"/>
  <c r="AL75" i="36"/>
  <c r="AM76" i="36"/>
  <c r="BB77" i="36"/>
  <c r="C79" i="36"/>
  <c r="BB79" i="36"/>
  <c r="BK80" i="36"/>
  <c r="BN81" i="36"/>
  <c r="BH82" i="36"/>
  <c r="BJ83" i="36"/>
  <c r="C85" i="36"/>
  <c r="BA85" i="36"/>
  <c r="AZ86" i="36"/>
  <c r="AG87" i="36"/>
  <c r="AB88" i="36"/>
  <c r="K89" i="36"/>
  <c r="BM89" i="36"/>
  <c r="AQ90" i="36"/>
  <c r="AG91" i="36"/>
  <c r="M92" i="36"/>
  <c r="BL92" i="36"/>
  <c r="AP93" i="36"/>
  <c r="AD94" i="36"/>
  <c r="H95" i="36"/>
  <c r="BE95" i="36"/>
  <c r="AJ96" i="36"/>
  <c r="R97" i="36"/>
  <c r="BG97" i="36"/>
  <c r="AO98" i="36"/>
  <c r="BC99" i="36"/>
  <c r="AA74" i="36"/>
  <c r="AF88" i="36"/>
  <c r="AN96" i="36"/>
  <c r="BL95" i="36"/>
  <c r="I93" i="36"/>
  <c r="BO57" i="36"/>
  <c r="R78" i="36"/>
  <c r="J90" i="36"/>
  <c r="Z99" i="36"/>
  <c r="J33" i="36"/>
  <c r="AG69" i="36"/>
  <c r="U82" i="36"/>
  <c r="BM90" i="36"/>
  <c r="AA99" i="36"/>
  <c r="BO74" i="36"/>
  <c r="Y93" i="36"/>
  <c r="M53" i="36"/>
  <c r="AM78" i="36"/>
  <c r="J91" i="36"/>
  <c r="AZ18" i="36"/>
  <c r="AD29" i="36"/>
  <c r="Y38" i="36"/>
  <c r="Z43" i="36"/>
  <c r="AN47" i="36"/>
  <c r="K51" i="36"/>
  <c r="AD54" i="36"/>
  <c r="Q57" i="36"/>
  <c r="AY59" i="36"/>
  <c r="BN61" i="36"/>
  <c r="BE63" i="36"/>
  <c r="BH65" i="36"/>
  <c r="S67" i="36"/>
  <c r="BD68" i="36"/>
  <c r="AJ70" i="36"/>
  <c r="BD71" i="36"/>
  <c r="R73" i="36"/>
  <c r="X74" i="36"/>
  <c r="AM75" i="36"/>
  <c r="AN76" i="36"/>
  <c r="BC77" i="36"/>
  <c r="E79" i="36"/>
  <c r="D79" i="36" s="1"/>
  <c r="BJ79" i="36"/>
  <c r="BM80" i="36"/>
  <c r="C82" i="36"/>
  <c r="BI82" i="36"/>
  <c r="BK83" i="36"/>
  <c r="E85" i="36"/>
  <c r="D85" i="36" s="1"/>
  <c r="BF85" i="36"/>
  <c r="BA86" i="36"/>
  <c r="AH87" i="36"/>
  <c r="AC88" i="36"/>
  <c r="L89" i="36"/>
  <c r="BN89" i="36"/>
  <c r="AR90" i="36"/>
  <c r="AH91" i="36"/>
  <c r="N92" i="36"/>
  <c r="BN92" i="36"/>
  <c r="AQ93" i="36"/>
  <c r="AF94" i="36"/>
  <c r="I95" i="36"/>
  <c r="BF95" i="36"/>
  <c r="AK96" i="36"/>
  <c r="T97" i="36"/>
  <c r="BH97" i="36"/>
  <c r="AP98" i="36"/>
  <c r="S99" i="36"/>
  <c r="BK99" i="36"/>
  <c r="AL100" i="36"/>
  <c r="AX19" i="36"/>
  <c r="BO71" i="36"/>
  <c r="I79" i="36"/>
  <c r="P83" i="36"/>
  <c r="V89" i="36"/>
  <c r="AT93" i="36"/>
  <c r="V99" i="36"/>
  <c r="Z97" i="36"/>
  <c r="BM95" i="36"/>
  <c r="BK59" i="36"/>
  <c r="N79" i="36"/>
  <c r="BN95" i="36"/>
  <c r="Y23" i="36"/>
  <c r="AC73" i="36"/>
  <c r="K90" i="36"/>
  <c r="T77" i="36"/>
  <c r="BA60" i="36"/>
  <c r="AO85" i="36"/>
  <c r="R100" i="36"/>
  <c r="AA19" i="36"/>
  <c r="BB30" i="36"/>
  <c r="AB38" i="36"/>
  <c r="AQ43" i="36"/>
  <c r="BD47" i="36"/>
  <c r="M51" i="36"/>
  <c r="AG54" i="36"/>
  <c r="T57" i="36"/>
  <c r="BA59" i="36"/>
  <c r="E62" i="36"/>
  <c r="D62" i="36" s="1"/>
  <c r="BF63" i="36"/>
  <c r="BI65" i="36"/>
  <c r="AQ67" i="36"/>
  <c r="BE68" i="36"/>
  <c r="AK70" i="36"/>
  <c r="BE71" i="36"/>
  <c r="T73" i="36"/>
  <c r="Y74" i="36"/>
  <c r="AN75" i="36"/>
  <c r="BB76" i="36"/>
  <c r="BD77" i="36"/>
  <c r="G79" i="36"/>
  <c r="BK79" i="36"/>
  <c r="BN80" i="36"/>
  <c r="E82" i="36"/>
  <c r="D82" i="36" s="1"/>
  <c r="BJ82" i="36"/>
  <c r="H84" i="36"/>
  <c r="H85" i="36"/>
  <c r="BG85" i="36"/>
  <c r="BC86" i="36"/>
  <c r="AI87" i="36"/>
  <c r="AD88" i="36"/>
  <c r="M89" i="36"/>
  <c r="BO89" i="36"/>
  <c r="AS90" i="36"/>
  <c r="AI91" i="36"/>
  <c r="O92" i="36"/>
  <c r="BO92" i="36"/>
  <c r="AR93" i="36"/>
  <c r="AG94" i="36"/>
  <c r="J95" i="36"/>
  <c r="BH95" i="36"/>
  <c r="AL96" i="36"/>
  <c r="U97" i="36"/>
  <c r="BI97" i="36"/>
  <c r="AR98" i="36"/>
  <c r="T99" i="36"/>
  <c r="BL99" i="36"/>
  <c r="AM100" i="36"/>
  <c r="BF77" i="36"/>
  <c r="Q92" i="36"/>
  <c r="BM97" i="36"/>
  <c r="BG93" i="36"/>
  <c r="S52" i="36"/>
  <c r="E77" i="36"/>
  <c r="D77" i="36" s="1"/>
  <c r="BL90" i="36"/>
  <c r="I100" i="36"/>
  <c r="AB52" i="36"/>
  <c r="R80" i="36"/>
  <c r="AN94" i="36"/>
  <c r="AB78" i="36"/>
  <c r="O71" i="36"/>
  <c r="AC93" i="36"/>
  <c r="AV19" i="36"/>
  <c r="BD30" i="36"/>
  <c r="AJ38" i="36"/>
  <c r="AR43" i="36"/>
  <c r="BE47" i="36"/>
  <c r="Y51" i="36"/>
  <c r="AH54" i="36"/>
  <c r="AA57" i="36"/>
  <c r="BB59" i="36"/>
  <c r="H62" i="36"/>
  <c r="R64" i="36"/>
  <c r="BK65" i="36"/>
  <c r="AT67" i="36"/>
  <c r="BF68" i="36"/>
  <c r="AL70" i="36"/>
  <c r="BF71" i="36"/>
  <c r="U73" i="36"/>
  <c r="Z74" i="36"/>
  <c r="AO75" i="36"/>
  <c r="BD76" i="36"/>
  <c r="BE77" i="36"/>
  <c r="H79" i="36"/>
  <c r="I80" i="36"/>
  <c r="BO80" i="36"/>
  <c r="G82" i="36"/>
  <c r="BK82" i="36"/>
  <c r="I84" i="36"/>
  <c r="J85" i="36"/>
  <c r="BI85" i="36"/>
  <c r="BD86" i="36"/>
  <c r="AJ87" i="36"/>
  <c r="AE88" i="36"/>
  <c r="U89" i="36"/>
  <c r="C90" i="36"/>
  <c r="AT90" i="36"/>
  <c r="AJ91" i="36"/>
  <c r="P92" i="36"/>
  <c r="C93" i="36"/>
  <c r="AS93" i="36"/>
  <c r="AH94" i="36"/>
  <c r="K95" i="36"/>
  <c r="BI95" i="36"/>
  <c r="AM96" i="36"/>
  <c r="W97" i="36"/>
  <c r="BJ97" i="36"/>
  <c r="AS98" i="36"/>
  <c r="U99" i="36"/>
  <c r="BN99" i="36"/>
  <c r="AN100" i="36"/>
  <c r="BE76" i="36"/>
  <c r="AK91" i="36"/>
  <c r="BO99" i="36"/>
  <c r="AQ100" i="36"/>
  <c r="AN91" i="36"/>
  <c r="BJ44" i="36"/>
  <c r="AB73" i="36"/>
  <c r="BD87" i="36"/>
  <c r="AC97" i="36"/>
  <c r="Y66" i="36"/>
  <c r="O84" i="36"/>
  <c r="BO95" i="36"/>
  <c r="AM85" i="36"/>
  <c r="AX73" i="36"/>
  <c r="AJ95" i="36"/>
  <c r="BF30" i="36"/>
  <c r="AL38" i="36"/>
  <c r="AT43" i="36"/>
  <c r="BG47" i="36"/>
  <c r="Z51" i="36"/>
  <c r="AI54" i="36"/>
  <c r="BC59" i="36"/>
  <c r="AU67" i="36"/>
  <c r="W73" i="36"/>
  <c r="AP75" i="36"/>
  <c r="K80" i="36"/>
  <c r="J84" i="36"/>
  <c r="E90" i="36"/>
  <c r="D90" i="36" s="1"/>
  <c r="L95" i="36"/>
  <c r="AP96" i="36"/>
  <c r="AA97" i="36"/>
  <c r="H100" i="36"/>
  <c r="M62" i="36"/>
  <c r="J81" i="36"/>
  <c r="AY96" i="36"/>
  <c r="BG48" i="36"/>
  <c r="T78" i="36"/>
  <c r="BJ93" i="36"/>
  <c r="U77" i="36"/>
  <c r="AY19" i="36"/>
  <c r="AA31" i="36"/>
  <c r="AU38" i="36"/>
  <c r="BE43" i="36"/>
  <c r="BH47" i="36"/>
  <c r="AB51" i="36"/>
  <c r="AJ54" i="36"/>
  <c r="AD57" i="36"/>
  <c r="BD59" i="36"/>
  <c r="J62" i="36"/>
  <c r="V64" i="36"/>
  <c r="J66" i="36"/>
  <c r="AW67" i="36"/>
  <c r="U69" i="36"/>
  <c r="AN70" i="36"/>
  <c r="E72" i="36"/>
  <c r="D72" i="36" s="1"/>
  <c r="X73" i="36"/>
  <c r="AB74" i="36"/>
  <c r="AR75" i="36"/>
  <c r="BN76" i="36"/>
  <c r="BG77" i="36"/>
  <c r="J79" i="36"/>
  <c r="L80" i="36"/>
  <c r="E81" i="36"/>
  <c r="D81" i="36" s="1"/>
  <c r="I82" i="36"/>
  <c r="R83" i="36"/>
  <c r="K84" i="36"/>
  <c r="L85" i="36"/>
  <c r="BK85" i="36"/>
  <c r="BF86" i="36"/>
  <c r="AY87" i="36"/>
  <c r="AG88" i="36"/>
  <c r="X89" i="36"/>
  <c r="G90" i="36"/>
  <c r="BG90" i="36"/>
  <c r="AL91" i="36"/>
  <c r="Y92" i="36"/>
  <c r="G93" i="36"/>
  <c r="AU93" i="36"/>
  <c r="AJ94" i="36"/>
  <c r="O95" i="36"/>
  <c r="BK95" i="36"/>
  <c r="AO96" i="36"/>
  <c r="Y97" i="36"/>
  <c r="BL97" i="36"/>
  <c r="AV98" i="36"/>
  <c r="W99" i="36"/>
  <c r="E100" i="36"/>
  <c r="D100" i="36" s="1"/>
  <c r="AP100" i="36"/>
  <c r="V69" i="36"/>
  <c r="N80" i="36"/>
  <c r="S83" i="36"/>
  <c r="I86" i="36"/>
  <c r="BA87" i="36"/>
  <c r="Y89" i="36"/>
  <c r="BI90" i="36"/>
  <c r="H93" i="36"/>
  <c r="AX98" i="36"/>
  <c r="AL94" i="36"/>
  <c r="BB67" i="36"/>
  <c r="BI86" i="36"/>
  <c r="AZ98" i="36"/>
  <c r="N55" i="36"/>
  <c r="G77" i="36"/>
  <c r="AS91" i="36"/>
  <c r="AG41" i="36"/>
  <c r="AL82" i="36"/>
  <c r="AI95" i="36"/>
  <c r="C63" i="36"/>
  <c r="BG88" i="36"/>
  <c r="AZ19" i="36"/>
  <c r="AC31" i="36"/>
  <c r="AX38" i="36"/>
  <c r="BF43" i="36"/>
  <c r="H48" i="36"/>
  <c r="AC51" i="36"/>
  <c r="AK54" i="36"/>
  <c r="AF57" i="36"/>
  <c r="BE59" i="36"/>
  <c r="K62" i="36"/>
  <c r="W64" i="36"/>
  <c r="U66" i="36"/>
  <c r="AX67" i="36"/>
  <c r="BJ70" i="36"/>
  <c r="H72" i="36"/>
  <c r="Y73" i="36"/>
  <c r="AC74" i="36"/>
  <c r="AS75" i="36"/>
  <c r="BO76" i="36"/>
  <c r="H78" i="36"/>
  <c r="L79" i="36"/>
  <c r="G81" i="36"/>
  <c r="J82" i="36"/>
  <c r="L84" i="36"/>
  <c r="M85" i="36"/>
  <c r="BG86" i="36"/>
  <c r="AJ88" i="36"/>
  <c r="H90" i="36"/>
  <c r="AM91" i="36"/>
  <c r="Z92" i="36"/>
  <c r="BE93" i="36"/>
  <c r="BN97" i="36"/>
  <c r="AD69" i="36"/>
  <c r="N84" i="36"/>
  <c r="AC92" i="36"/>
  <c r="AS100" i="36"/>
  <c r="Q40" i="36"/>
  <c r="C71" i="36"/>
  <c r="Z81" i="36"/>
  <c r="AO88" i="36"/>
  <c r="AA95" i="36"/>
  <c r="AM84" i="36"/>
  <c r="V98" i="36"/>
  <c r="G65" i="36"/>
  <c r="AG83" i="36"/>
  <c r="H94" i="36"/>
  <c r="BA19" i="36"/>
  <c r="AF31" i="36"/>
  <c r="AZ38" i="36"/>
  <c r="V44" i="36"/>
  <c r="M48" i="36"/>
  <c r="AK51" i="36"/>
  <c r="AL54" i="36"/>
  <c r="AH57" i="36"/>
  <c r="BF59" i="36"/>
  <c r="L62" i="36"/>
  <c r="X64" i="36"/>
  <c r="W66" i="36"/>
  <c r="AZ67" i="36"/>
  <c r="X69" i="36"/>
  <c r="BM70" i="36"/>
  <c r="I72" i="36"/>
  <c r="AA73" i="36"/>
  <c r="AQ74" i="36"/>
  <c r="AT75" i="36"/>
  <c r="C77" i="36"/>
  <c r="I78" i="36"/>
  <c r="M79" i="36"/>
  <c r="O80" i="36"/>
  <c r="H81" i="36"/>
  <c r="S82" i="36"/>
  <c r="U83" i="36"/>
  <c r="M84" i="36"/>
  <c r="N85" i="36"/>
  <c r="J86" i="36"/>
  <c r="BH86" i="36"/>
  <c r="AL88" i="36"/>
  <c r="AB92" i="36"/>
  <c r="AY98" i="36"/>
  <c r="N23" i="36"/>
  <c r="BN70" i="36"/>
  <c r="L86" i="36"/>
  <c r="AM94" i="36"/>
  <c r="AG60" i="36"/>
  <c r="O79" i="36"/>
  <c r="AF89" i="36"/>
  <c r="BA98" i="36"/>
  <c r="AO99" i="36"/>
  <c r="AM79" i="36"/>
  <c r="BI96" i="36"/>
  <c r="BM45" i="36"/>
  <c r="X68" i="36"/>
  <c r="AN84" i="36"/>
  <c r="BF94" i="36"/>
  <c r="AA23" i="36"/>
  <c r="K33" i="36"/>
  <c r="T40" i="36"/>
  <c r="BO44" i="36"/>
  <c r="BH48" i="36"/>
  <c r="AE52" i="36"/>
  <c r="W55" i="36"/>
  <c r="O58" i="36"/>
  <c r="AI60" i="36"/>
  <c r="S62" i="36"/>
  <c r="AA64" i="36"/>
  <c r="Z66" i="36"/>
  <c r="E68" i="36"/>
  <c r="D68" i="36" s="1"/>
  <c r="AJ69" i="36"/>
  <c r="E71" i="36"/>
  <c r="D71" i="36" s="1"/>
  <c r="Q72" i="36"/>
  <c r="AE73" i="36"/>
  <c r="BC74" i="36"/>
  <c r="AW75" i="36"/>
  <c r="H77" i="36"/>
  <c r="U78" i="36"/>
  <c r="P79" i="36"/>
  <c r="S80" i="36"/>
  <c r="AB81" i="36"/>
  <c r="V82" i="36"/>
  <c r="Y83" i="36"/>
  <c r="Y84" i="36"/>
  <c r="R85" i="36"/>
  <c r="O86" i="36"/>
  <c r="BK86" i="36"/>
  <c r="BF87" i="36"/>
  <c r="AP88" i="36"/>
  <c r="AH89" i="36"/>
  <c r="L90" i="36"/>
  <c r="BN90" i="36"/>
  <c r="AT91" i="36"/>
  <c r="AF92" i="36"/>
  <c r="L93" i="36"/>
  <c r="BL93" i="36"/>
  <c r="AO94" i="36"/>
  <c r="AB95" i="36"/>
  <c r="C96" i="36"/>
  <c r="BB96" i="36"/>
  <c r="AE97" i="36"/>
  <c r="M98" i="36"/>
  <c r="BB98" i="36"/>
  <c r="AI99" i="36"/>
  <c r="K100" i="36"/>
  <c r="AU100" i="36"/>
  <c r="M93" i="36"/>
  <c r="AF97" i="36"/>
  <c r="BC98" i="36"/>
  <c r="L100" i="36"/>
  <c r="I96" i="36"/>
  <c r="AL99" i="36"/>
  <c r="BD100" i="36"/>
  <c r="AO69" i="36"/>
  <c r="AE80" i="36"/>
  <c r="AD83" i="36"/>
  <c r="S86" i="36"/>
  <c r="BC88" i="36"/>
  <c r="AA90" i="36"/>
  <c r="P93" i="36"/>
  <c r="AG95" i="36"/>
  <c r="AI97" i="36"/>
  <c r="BE66" i="36"/>
  <c r="Y86" i="36"/>
  <c r="G94" i="36"/>
  <c r="BO25" i="36"/>
  <c r="AZ69" i="36"/>
  <c r="BM87" i="36"/>
  <c r="BI98" i="36"/>
  <c r="AD23" i="36"/>
  <c r="AS33" i="36"/>
  <c r="X40" i="36"/>
  <c r="E45" i="36"/>
  <c r="D45" i="36" s="1"/>
  <c r="BJ48" i="36"/>
  <c r="AH52" i="36"/>
  <c r="Z55" i="36"/>
  <c r="Q58" i="36"/>
  <c r="AJ60" i="36"/>
  <c r="AY62" i="36"/>
  <c r="AB64" i="36"/>
  <c r="AA66" i="36"/>
  <c r="I68" i="36"/>
  <c r="AL69" i="36"/>
  <c r="G71" i="36"/>
  <c r="R72" i="36"/>
  <c r="AF73" i="36"/>
  <c r="BD74" i="36"/>
  <c r="BJ75" i="36"/>
  <c r="O77" i="36"/>
  <c r="W78" i="36"/>
  <c r="Q79" i="36"/>
  <c r="T80" i="36"/>
  <c r="AC81" i="36"/>
  <c r="W82" i="36"/>
  <c r="Z83" i="36"/>
  <c r="AA84" i="36"/>
  <c r="S85" i="36"/>
  <c r="P86" i="36"/>
  <c r="BL86" i="36"/>
  <c r="BG87" i="36"/>
  <c r="AQ88" i="36"/>
  <c r="AI89" i="36"/>
  <c r="M90" i="36"/>
  <c r="BO90" i="36"/>
  <c r="AU91" i="36"/>
  <c r="AG92" i="36"/>
  <c r="BM93" i="36"/>
  <c r="AP94" i="36"/>
  <c r="AD95" i="36"/>
  <c r="H96" i="36"/>
  <c r="BC96" i="36"/>
  <c r="O98" i="36"/>
  <c r="AJ99" i="36"/>
  <c r="AV100" i="36"/>
  <c r="BD98" i="36"/>
  <c r="AD72" i="36"/>
  <c r="V85" i="36"/>
  <c r="G91" i="36"/>
  <c r="AS94" i="36"/>
  <c r="S98" i="36"/>
  <c r="AN89" i="36"/>
  <c r="U87" i="36"/>
  <c r="AE23" i="36"/>
  <c r="AT33" i="36"/>
  <c r="Y40" i="36"/>
  <c r="G45" i="36"/>
  <c r="BK48" i="36"/>
  <c r="AI52" i="36"/>
  <c r="AA55" i="36"/>
  <c r="R58" i="36"/>
  <c r="AM60" i="36"/>
  <c r="BB62" i="36"/>
  <c r="AC64" i="36"/>
  <c r="AB66" i="36"/>
  <c r="K68" i="36"/>
  <c r="AM69" i="36"/>
  <c r="H71" i="36"/>
  <c r="AA72" i="36"/>
  <c r="AG73" i="36"/>
  <c r="BE74" i="36"/>
  <c r="BK75" i="36"/>
  <c r="P77" i="36"/>
  <c r="X78" i="36"/>
  <c r="R79" i="36"/>
  <c r="AC80" i="36"/>
  <c r="AE81" i="36"/>
  <c r="X82" i="36"/>
  <c r="AA83" i="36"/>
  <c r="AB84" i="36"/>
  <c r="T85" i="36"/>
  <c r="Q86" i="36"/>
  <c r="BM86" i="36"/>
  <c r="BH87" i="36"/>
  <c r="AR88" i="36"/>
  <c r="AJ89" i="36"/>
  <c r="N90" i="36"/>
  <c r="C91" i="36"/>
  <c r="AV91" i="36"/>
  <c r="AJ92" i="36"/>
  <c r="N93" i="36"/>
  <c r="BN93" i="36"/>
  <c r="AQ94" i="36"/>
  <c r="AE95" i="36"/>
  <c r="BE96" i="36"/>
  <c r="AG97" i="36"/>
  <c r="P98" i="36"/>
  <c r="M100" i="36"/>
  <c r="R77" i="36"/>
  <c r="BJ87" i="36"/>
  <c r="AM92" i="36"/>
  <c r="K96" i="36"/>
  <c r="BF98" i="36"/>
  <c r="BL25" i="36"/>
  <c r="BK55" i="36"/>
  <c r="AZ60" i="36"/>
  <c r="E65" i="36"/>
  <c r="D65" i="36" s="1"/>
  <c r="AW73" i="36"/>
  <c r="AG80" i="36"/>
  <c r="BH91" i="36"/>
  <c r="BE94" i="36"/>
  <c r="BF66" i="36"/>
  <c r="AA86" i="36"/>
  <c r="W98" i="36"/>
  <c r="AG23" i="36"/>
  <c r="I34" i="36"/>
  <c r="AN40" i="36"/>
  <c r="I45" i="36"/>
  <c r="BM48" i="36"/>
  <c r="AK52" i="36"/>
  <c r="AK55" i="36"/>
  <c r="T58" i="36"/>
  <c r="AN60" i="36"/>
  <c r="BC62" i="36"/>
  <c r="BG64" i="36"/>
  <c r="AC66" i="36"/>
  <c r="L68" i="36"/>
  <c r="AN69" i="36"/>
  <c r="I71" i="36"/>
  <c r="AC72" i="36"/>
  <c r="AH73" i="36"/>
  <c r="BJ74" i="36"/>
  <c r="I76" i="36"/>
  <c r="Q77" i="36"/>
  <c r="Y78" i="36"/>
  <c r="S79" i="36"/>
  <c r="AD80" i="36"/>
  <c r="AF81" i="36"/>
  <c r="Y82" i="36"/>
  <c r="AC83" i="36"/>
  <c r="AI84" i="36"/>
  <c r="U85" i="36"/>
  <c r="R86" i="36"/>
  <c r="BN86" i="36"/>
  <c r="BI87" i="36"/>
  <c r="BA88" i="36"/>
  <c r="AK89" i="36"/>
  <c r="Y90" i="36"/>
  <c r="E91" i="36"/>
  <c r="D91" i="36" s="1"/>
  <c r="AW91" i="36"/>
  <c r="AL92" i="36"/>
  <c r="O93" i="36"/>
  <c r="BO93" i="36"/>
  <c r="AR94" i="36"/>
  <c r="AF95" i="36"/>
  <c r="J96" i="36"/>
  <c r="BF96" i="36"/>
  <c r="AH97" i="36"/>
  <c r="R98" i="36"/>
  <c r="BE98" i="36"/>
  <c r="AM99" i="36"/>
  <c r="N100" i="36"/>
  <c r="BE100" i="36"/>
  <c r="S25" i="36"/>
  <c r="T34" i="36"/>
  <c r="AQ40" i="36"/>
  <c r="BE45" i="36"/>
  <c r="Q49" i="36"/>
  <c r="AQ52" i="36"/>
  <c r="AN55" i="36"/>
  <c r="V58" i="36"/>
  <c r="AP60" i="36"/>
  <c r="BE62" i="36"/>
  <c r="BM64" i="36"/>
  <c r="AD66" i="36"/>
  <c r="M68" i="36"/>
  <c r="J71" i="36"/>
  <c r="AM73" i="36"/>
  <c r="BL74" i="36"/>
  <c r="K76" i="36"/>
  <c r="Z78" i="36"/>
  <c r="AJ79" i="36"/>
  <c r="AG81" i="36"/>
  <c r="Z82" i="36"/>
  <c r="AK84" i="36"/>
  <c r="BO86" i="36"/>
  <c r="AL89" i="36"/>
  <c r="BE91" i="36"/>
  <c r="C94" i="36"/>
  <c r="BG96" i="36"/>
  <c r="AF83" i="36"/>
  <c r="AQ99" i="36"/>
  <c r="AO79" i="36"/>
  <c r="U96" i="36"/>
  <c r="AB25" i="36"/>
  <c r="V34" i="36"/>
  <c r="AD41" i="36"/>
  <c r="BJ45" i="36"/>
  <c r="AY49" i="36"/>
  <c r="G53" i="36"/>
  <c r="AQ55" i="36"/>
  <c r="Y58" i="36"/>
  <c r="AR60" i="36"/>
  <c r="BF62" i="36"/>
  <c r="BO64" i="36"/>
  <c r="BB66" i="36"/>
  <c r="N68" i="36"/>
  <c r="AW69" i="36"/>
  <c r="M71" i="36"/>
  <c r="AR72" i="36"/>
  <c r="AO73" i="36"/>
  <c r="BM74" i="36"/>
  <c r="L76" i="36"/>
  <c r="S77" i="36"/>
  <c r="AA78" i="36"/>
  <c r="AL79" i="36"/>
  <c r="AF80" i="36"/>
  <c r="AH81" i="36"/>
  <c r="AJ82" i="36"/>
  <c r="AE83" i="36"/>
  <c r="AL84" i="36"/>
  <c r="W85" i="36"/>
  <c r="X86" i="36"/>
  <c r="Q87" i="36"/>
  <c r="BK87" i="36"/>
  <c r="BD88" i="36"/>
  <c r="AM89" i="36"/>
  <c r="AC90" i="36"/>
  <c r="H91" i="36"/>
  <c r="BF91" i="36"/>
  <c r="AN92" i="36"/>
  <c r="X93" i="36"/>
  <c r="E94" i="36"/>
  <c r="D94" i="36" s="1"/>
  <c r="AT94" i="36"/>
  <c r="AH95" i="36"/>
  <c r="L96" i="36"/>
  <c r="BH96" i="36"/>
  <c r="AJ97" i="36"/>
  <c r="T98" i="36"/>
  <c r="BG98" i="36"/>
  <c r="AP99" i="36"/>
  <c r="P100" i="36"/>
  <c r="BH100" i="36"/>
  <c r="X34" i="36"/>
  <c r="BL45" i="36"/>
  <c r="BA49" i="36"/>
  <c r="L53" i="36"/>
  <c r="AX58" i="36"/>
  <c r="BH62" i="36"/>
  <c r="O68" i="36"/>
  <c r="N76" i="36"/>
  <c r="BL87" i="36"/>
  <c r="AO92" i="36"/>
  <c r="AK97" i="36"/>
  <c r="BL55" i="36"/>
  <c r="AJ81" i="36"/>
  <c r="AP92" i="36"/>
  <c r="C11" i="36"/>
  <c r="Z26" i="36"/>
  <c r="AE35" i="36"/>
  <c r="AK41" i="36"/>
  <c r="C46" i="36"/>
  <c r="BE49" i="36"/>
  <c r="P53" i="36"/>
  <c r="T56" i="36"/>
  <c r="BD58" i="36"/>
  <c r="J61" i="36"/>
  <c r="N63" i="36"/>
  <c r="S65" i="36"/>
  <c r="BK66" i="36"/>
  <c r="AQ68" i="36"/>
  <c r="H70" i="36"/>
  <c r="W71" i="36"/>
  <c r="AX72" i="36"/>
  <c r="BK73" i="36"/>
  <c r="H75" i="36"/>
  <c r="W76" i="36"/>
  <c r="AR77" i="36"/>
  <c r="AP78" i="36"/>
  <c r="AR79" i="36"/>
  <c r="AT80" i="36"/>
  <c r="AO81" i="36"/>
  <c r="AX82" i="36"/>
  <c r="AQ83" i="36"/>
  <c r="AS84" i="36"/>
  <c r="AS85" i="36"/>
  <c r="AD86" i="36"/>
  <c r="Y87" i="36"/>
  <c r="C88" i="36"/>
  <c r="BL88" i="36"/>
  <c r="AR89" i="36"/>
  <c r="AI90" i="36"/>
  <c r="O91" i="36"/>
  <c r="BM91" i="36"/>
  <c r="AS92" i="36"/>
  <c r="AH93" i="36"/>
  <c r="K94" i="36"/>
  <c r="BK94" i="36"/>
  <c r="AM95" i="36"/>
  <c r="Y96" i="36"/>
  <c r="BN96" i="36"/>
  <c r="AW97" i="36"/>
  <c r="Z98" i="36"/>
  <c r="H99" i="36"/>
  <c r="AU99" i="36"/>
  <c r="AB100" i="36"/>
  <c r="BM100" i="36"/>
  <c r="E11" i="36"/>
  <c r="AK26" i="36"/>
  <c r="AN35" i="36"/>
  <c r="AL41" i="36"/>
  <c r="P46" i="36"/>
  <c r="BF49" i="36"/>
  <c r="Q53" i="36"/>
  <c r="W56" i="36"/>
  <c r="BE58" i="36"/>
  <c r="K61" i="36"/>
  <c r="P63" i="36"/>
  <c r="U65" i="36"/>
  <c r="BM66" i="36"/>
  <c r="AS68" i="36"/>
  <c r="I70" i="36"/>
  <c r="X71" i="36"/>
  <c r="AZ72" i="36"/>
  <c r="G74" i="36"/>
  <c r="I75" i="36"/>
  <c r="X76" i="36"/>
  <c r="AS77" i="36"/>
  <c r="AQ78" i="36"/>
  <c r="AS79" i="36"/>
  <c r="AV80" i="36"/>
  <c r="AP81" i="36"/>
  <c r="AY82" i="36"/>
  <c r="BA83" i="36"/>
  <c r="AT84" i="36"/>
  <c r="AT85" i="36"/>
  <c r="AE86" i="36"/>
  <c r="Z87" i="36"/>
  <c r="J88" i="36"/>
  <c r="BN88" i="36"/>
  <c r="AS89" i="36"/>
  <c r="AJ90" i="36"/>
  <c r="Z34" i="36"/>
  <c r="AV72" i="36"/>
  <c r="W87" i="36"/>
  <c r="AK95" i="36"/>
  <c r="BN87" i="36"/>
  <c r="BH88" i="36"/>
  <c r="BM96" i="36"/>
  <c r="AO78" i="36"/>
  <c r="AV82" i="36"/>
  <c r="AC35" i="36"/>
  <c r="AW72" i="36"/>
  <c r="X87" i="36"/>
  <c r="AL95" i="36"/>
  <c r="BH73" i="36"/>
  <c r="AN95" i="36"/>
  <c r="BO87" i="36"/>
  <c r="BI88" i="36"/>
  <c r="BO96" i="36"/>
  <c r="AN81" i="36"/>
  <c r="BK100" i="36"/>
  <c r="T71" i="36"/>
  <c r="AI41" i="36"/>
  <c r="E75" i="36"/>
  <c r="D75" i="36" s="1"/>
  <c r="AA96" i="36"/>
  <c r="AG90" i="36"/>
  <c r="L91" i="36"/>
  <c r="AA98" i="36"/>
  <c r="AJ41" i="36"/>
  <c r="BJ73" i="36"/>
  <c r="V96" i="36"/>
  <c r="X96" i="36"/>
  <c r="G75" i="36"/>
  <c r="BN45" i="36"/>
  <c r="V77" i="36"/>
  <c r="AX97" i="36"/>
  <c r="J99" i="36"/>
  <c r="AO84" i="36"/>
  <c r="BO45" i="36"/>
  <c r="V76" i="36"/>
  <c r="N53" i="36"/>
  <c r="K91" i="36"/>
  <c r="M56" i="36"/>
  <c r="BH60" i="36"/>
  <c r="BC49" i="36"/>
  <c r="T76" i="36"/>
  <c r="AP89" i="36"/>
  <c r="BL96" i="36"/>
  <c r="BD49" i="36"/>
  <c r="AQ89" i="36"/>
  <c r="Z68" i="36"/>
  <c r="AP85" i="36"/>
  <c r="AU97" i="36"/>
  <c r="BL91" i="36"/>
  <c r="BH94" i="36"/>
  <c r="AB86" i="36"/>
  <c r="O53" i="36"/>
  <c r="AP77" i="36"/>
  <c r="AH90" i="36"/>
  <c r="AT97" i="36"/>
  <c r="I56" i="36"/>
  <c r="AN78" i="36"/>
  <c r="E70" i="36"/>
  <c r="D70" i="36" s="1"/>
  <c r="BN100" i="36"/>
  <c r="BI94" i="36"/>
  <c r="AT92" i="36"/>
  <c r="AR85" i="36"/>
  <c r="BB58" i="36"/>
  <c r="AP79" i="36"/>
  <c r="Q91" i="36"/>
  <c r="X98" i="36"/>
  <c r="BC58" i="36"/>
  <c r="AQ79" i="36"/>
  <c r="BK91" i="36"/>
  <c r="Y98" i="36"/>
  <c r="AI80" i="36"/>
  <c r="AR92" i="36"/>
  <c r="H61" i="36"/>
  <c r="AJ80" i="36"/>
  <c r="BN91" i="36"/>
  <c r="BJ98" i="36"/>
  <c r="H63" i="36"/>
  <c r="AM81" i="36"/>
  <c r="AQ92" i="36"/>
  <c r="G99" i="36"/>
  <c r="I65" i="36"/>
  <c r="S100" i="36"/>
  <c r="T100" i="36"/>
  <c r="L94" i="36"/>
  <c r="I63" i="36"/>
  <c r="I94" i="36"/>
  <c r="BA69" i="36"/>
  <c r="K65" i="36"/>
  <c r="AW82" i="36"/>
  <c r="AE93" i="36"/>
  <c r="AT99" i="36"/>
  <c r="BH66" i="36"/>
  <c r="AH83" i="36"/>
  <c r="AG93" i="36"/>
  <c r="AV99" i="36"/>
  <c r="BI66" i="36"/>
  <c r="AP83" i="36"/>
  <c r="AI93" i="36"/>
  <c r="AA68" i="36"/>
  <c r="AQ84" i="36"/>
  <c r="J94" i="36"/>
  <c r="AC100" i="36"/>
  <c r="BL100" i="36"/>
  <c r="X26" i="36"/>
  <c r="V71" i="36"/>
  <c r="AC86" i="36"/>
  <c r="BL94" i="36"/>
  <c r="AS99" i="36"/>
  <c r="H26" i="36"/>
  <c r="I2" i="36"/>
  <c r="E2" i="36"/>
  <c r="AN2" i="36"/>
  <c r="AL2" i="36"/>
  <c r="AC2" i="36"/>
  <c r="AJ2" i="36"/>
  <c r="AO2" i="36"/>
  <c r="Q2" i="36"/>
  <c r="AI2" i="36"/>
  <c r="AF2" i="36"/>
  <c r="AG2" i="36"/>
  <c r="AH2" i="36"/>
  <c r="D31" i="36" l="1"/>
  <c r="D30" i="36"/>
  <c r="D29" i="36"/>
  <c r="D28" i="36"/>
  <c r="D27" i="36"/>
  <c r="D26" i="36"/>
  <c r="D25" i="36"/>
  <c r="D22" i="36"/>
  <c r="D23" i="36"/>
  <c r="D21" i="36"/>
  <c r="D24" i="36"/>
  <c r="D2" i="36"/>
  <c r="D20" i="36"/>
  <c r="D13" i="36"/>
  <c r="D5" i="36"/>
  <c r="D4" i="36"/>
  <c r="D3" i="36"/>
  <c r="D9" i="36"/>
  <c r="D19" i="36"/>
  <c r="D6" i="36"/>
  <c r="D16" i="36"/>
  <c r="D8" i="36"/>
  <c r="D11" i="36"/>
  <c r="D7" i="36"/>
  <c r="D15" i="36"/>
  <c r="D18" i="36"/>
  <c r="D14" i="36"/>
  <c r="D10" i="36"/>
  <c r="D17" i="36"/>
  <c r="D12" i="36"/>
  <c r="AE2" i="36"/>
  <c r="AD2" i="36"/>
  <c r="AB2" i="36"/>
  <c r="AA2" i="36"/>
  <c r="Z2" i="36"/>
  <c r="Y2" i="36"/>
  <c r="X2" i="36"/>
  <c r="W2" i="36"/>
  <c r="V2" i="36"/>
  <c r="U2" i="36"/>
  <c r="T2" i="36"/>
  <c r="S2" i="36"/>
  <c r="R2" i="36"/>
  <c r="P2" i="36"/>
  <c r="O2" i="36"/>
  <c r="N2" i="36"/>
  <c r="M2" i="36"/>
  <c r="L2" i="36"/>
  <c r="K2" i="36"/>
  <c r="J2" i="36"/>
  <c r="G2" i="36"/>
  <c r="C3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C7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C8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E2" i="34"/>
  <c r="F2" i="34"/>
  <c r="D2" i="34"/>
  <c r="W29" i="34"/>
  <c r="G24" i="34" l="1"/>
  <c r="N26" i="34"/>
  <c r="I38" i="34"/>
  <c r="AA38" i="34"/>
  <c r="I29" i="34"/>
  <c r="M27" i="34"/>
  <c r="Y21" i="34"/>
  <c r="I21" i="34"/>
  <c r="N30" i="34"/>
  <c r="S10" i="34"/>
  <c r="AA12" i="34"/>
  <c r="I15" i="34"/>
  <c r="L17" i="34"/>
  <c r="Q19" i="34"/>
  <c r="S21" i="34"/>
  <c r="V23" i="34"/>
  <c r="W25" i="34"/>
  <c r="S27" i="34"/>
  <c r="P29" i="34"/>
  <c r="L31" i="34"/>
  <c r="I33" i="34"/>
  <c r="E35" i="34"/>
  <c r="AB36" i="34"/>
  <c r="X38" i="34"/>
  <c r="V40" i="34"/>
  <c r="P42" i="34"/>
  <c r="D44" i="34"/>
  <c r="P45" i="34"/>
  <c r="AA46" i="34"/>
  <c r="M48" i="34"/>
  <c r="V49" i="34"/>
  <c r="AB50" i="34"/>
  <c r="T10" i="34"/>
  <c r="AB12" i="34"/>
  <c r="J15" i="34"/>
  <c r="O17" i="34"/>
  <c r="R19" i="34"/>
  <c r="T21" i="34"/>
  <c r="W23" i="34"/>
  <c r="X25" i="34"/>
  <c r="T27" i="34"/>
  <c r="Q29" i="34"/>
  <c r="M31" i="34"/>
  <c r="J33" i="34"/>
  <c r="F35" i="34"/>
  <c r="D37" i="34"/>
  <c r="Z38" i="34"/>
  <c r="W40" i="34"/>
  <c r="R42" i="34"/>
  <c r="E44" i="34"/>
  <c r="Q45" i="34"/>
  <c r="C47" i="34"/>
  <c r="B47" i="34" s="1"/>
  <c r="N48" i="34"/>
  <c r="W49" i="34"/>
  <c r="E51" i="34"/>
  <c r="K52" i="34"/>
  <c r="S53" i="34"/>
  <c r="AA54" i="34"/>
  <c r="I56" i="34"/>
  <c r="Q57" i="34"/>
  <c r="U58" i="34"/>
  <c r="Z59" i="34"/>
  <c r="D61" i="34"/>
  <c r="I62" i="34"/>
  <c r="M63" i="34"/>
  <c r="R64" i="34"/>
  <c r="V65" i="34"/>
  <c r="AA66" i="34"/>
  <c r="F68" i="34"/>
  <c r="J69" i="34"/>
  <c r="O70" i="34"/>
  <c r="S71" i="34"/>
  <c r="X72" i="34"/>
  <c r="AB73" i="34"/>
  <c r="G75" i="34"/>
  <c r="K76" i="34"/>
  <c r="N77" i="34"/>
  <c r="P78" i="34"/>
  <c r="R79" i="34"/>
  <c r="T80" i="34"/>
  <c r="V81" i="34"/>
  <c r="X82" i="34"/>
  <c r="Z83" i="34"/>
  <c r="AB84" i="34"/>
  <c r="D86" i="34"/>
  <c r="F87" i="34"/>
  <c r="H88" i="34"/>
  <c r="J89" i="34"/>
  <c r="L90" i="34"/>
  <c r="N91" i="34"/>
  <c r="P92" i="34"/>
  <c r="R93" i="34"/>
  <c r="T94" i="34"/>
  <c r="V95" i="34"/>
  <c r="X96" i="34"/>
  <c r="Z97" i="34"/>
  <c r="AB98" i="34"/>
  <c r="D100" i="34"/>
  <c r="J46" i="34"/>
  <c r="K66" i="34"/>
  <c r="Q86" i="34"/>
  <c r="X10" i="34"/>
  <c r="D13" i="34"/>
  <c r="N15" i="34"/>
  <c r="U17" i="34"/>
  <c r="S19" i="34"/>
  <c r="U21" i="34"/>
  <c r="X23" i="34"/>
  <c r="Y25" i="34"/>
  <c r="U27" i="34"/>
  <c r="R29" i="34"/>
  <c r="N31" i="34"/>
  <c r="L33" i="34"/>
  <c r="H35" i="34"/>
  <c r="E37" i="34"/>
  <c r="AB38" i="34"/>
  <c r="X40" i="34"/>
  <c r="U42" i="34"/>
  <c r="I44" i="34"/>
  <c r="S45" i="34"/>
  <c r="D47" i="34"/>
  <c r="O48" i="34"/>
  <c r="X49" i="34"/>
  <c r="F51" i="34"/>
  <c r="L52" i="34"/>
  <c r="T53" i="34"/>
  <c r="AB54" i="34"/>
  <c r="J56" i="34"/>
  <c r="R57" i="34"/>
  <c r="V58" i="34"/>
  <c r="AA59" i="34"/>
  <c r="E61" i="34"/>
  <c r="J62" i="34"/>
  <c r="N63" i="34"/>
  <c r="S64" i="34"/>
  <c r="X65" i="34"/>
  <c r="AB66" i="34"/>
  <c r="G68" i="34"/>
  <c r="K69" i="34"/>
  <c r="P70" i="34"/>
  <c r="T71" i="34"/>
  <c r="Y72" i="34"/>
  <c r="C74" i="34"/>
  <c r="B74" i="34" s="1"/>
  <c r="H75" i="34"/>
  <c r="L76" i="34"/>
  <c r="O77" i="34"/>
  <c r="Q78" i="34"/>
  <c r="S79" i="34"/>
  <c r="U80" i="34"/>
  <c r="W81" i="34"/>
  <c r="Y82" i="34"/>
  <c r="AA83" i="34"/>
  <c r="C85" i="34"/>
  <c r="B85" i="34" s="1"/>
  <c r="E86" i="34"/>
  <c r="G87" i="34"/>
  <c r="I88" i="34"/>
  <c r="K89" i="34"/>
  <c r="M90" i="34"/>
  <c r="O91" i="34"/>
  <c r="Q92" i="34"/>
  <c r="S93" i="34"/>
  <c r="U94" i="34"/>
  <c r="W95" i="34"/>
  <c r="Y96" i="34"/>
  <c r="AA97" i="34"/>
  <c r="C99" i="34"/>
  <c r="B99" i="34" s="1"/>
  <c r="E100" i="34"/>
  <c r="U93" i="34"/>
  <c r="AA96" i="34"/>
  <c r="J100" i="34"/>
  <c r="U91" i="34"/>
  <c r="C96" i="34"/>
  <c r="B96" i="34" s="1"/>
  <c r="D30" i="34"/>
  <c r="Q44" i="34"/>
  <c r="C54" i="34"/>
  <c r="B54" i="34" s="1"/>
  <c r="R62" i="34"/>
  <c r="W70" i="34"/>
  <c r="V77" i="34"/>
  <c r="H84" i="34"/>
  <c r="R89" i="34"/>
  <c r="D96" i="34"/>
  <c r="C94" i="34"/>
  <c r="B94" i="34" s="1"/>
  <c r="AB52" i="34"/>
  <c r="U75" i="34"/>
  <c r="W89" i="34"/>
  <c r="Y10" i="34"/>
  <c r="K13" i="34"/>
  <c r="O15" i="34"/>
  <c r="V17" i="34"/>
  <c r="T19" i="34"/>
  <c r="V21" i="34"/>
  <c r="AA23" i="34"/>
  <c r="Z25" i="34"/>
  <c r="V27" i="34"/>
  <c r="T29" i="34"/>
  <c r="P31" i="34"/>
  <c r="M33" i="34"/>
  <c r="J35" i="34"/>
  <c r="F37" i="34"/>
  <c r="G39" i="34"/>
  <c r="C41" i="34"/>
  <c r="B41" i="34" s="1"/>
  <c r="V42" i="34"/>
  <c r="J44" i="34"/>
  <c r="V45" i="34"/>
  <c r="E47" i="34"/>
  <c r="P48" i="34"/>
  <c r="Y49" i="34"/>
  <c r="G51" i="34"/>
  <c r="O52" i="34"/>
  <c r="U53" i="34"/>
  <c r="C55" i="34"/>
  <c r="B55" i="34" s="1"/>
  <c r="K56" i="34"/>
  <c r="S57" i="34"/>
  <c r="W58" i="34"/>
  <c r="AB59" i="34"/>
  <c r="F61" i="34"/>
  <c r="K62" i="34"/>
  <c r="P63" i="34"/>
  <c r="T64" i="34"/>
  <c r="Y65" i="34"/>
  <c r="C67" i="34"/>
  <c r="B67" i="34" s="1"/>
  <c r="H68" i="34"/>
  <c r="L69" i="34"/>
  <c r="Q70" i="34"/>
  <c r="U71" i="34"/>
  <c r="Z72" i="34"/>
  <c r="D74" i="34"/>
  <c r="I75" i="34"/>
  <c r="N76" i="34"/>
  <c r="P77" i="34"/>
  <c r="R78" i="34"/>
  <c r="T79" i="34"/>
  <c r="V80" i="34"/>
  <c r="X81" i="34"/>
  <c r="Z82" i="34"/>
  <c r="AB83" i="34"/>
  <c r="D85" i="34"/>
  <c r="F86" i="34"/>
  <c r="H87" i="34"/>
  <c r="J88" i="34"/>
  <c r="L89" i="34"/>
  <c r="N90" i="34"/>
  <c r="P91" i="34"/>
  <c r="R92" i="34"/>
  <c r="T93" i="34"/>
  <c r="V94" i="34"/>
  <c r="X95" i="34"/>
  <c r="Z96" i="34"/>
  <c r="AB97" i="34"/>
  <c r="D99" i="34"/>
  <c r="F100" i="34"/>
  <c r="W94" i="34"/>
  <c r="C98" i="34"/>
  <c r="B98" i="34" s="1"/>
  <c r="G100" i="34"/>
  <c r="O88" i="34"/>
  <c r="G98" i="34"/>
  <c r="I20" i="34"/>
  <c r="U35" i="34"/>
  <c r="M47" i="34"/>
  <c r="S56" i="34"/>
  <c r="E66" i="34"/>
  <c r="K74" i="34"/>
  <c r="D82" i="34"/>
  <c r="T90" i="34"/>
  <c r="J99" i="34"/>
  <c r="E95" i="34"/>
  <c r="H54" i="34"/>
  <c r="Y76" i="34"/>
  <c r="Y90" i="34"/>
  <c r="D11" i="34"/>
  <c r="L13" i="34"/>
  <c r="P15" i="34"/>
  <c r="W17" i="34"/>
  <c r="Y19" i="34"/>
  <c r="Z21" i="34"/>
  <c r="AB23" i="34"/>
  <c r="AB25" i="34"/>
  <c r="X27" i="34"/>
  <c r="U29" i="34"/>
  <c r="R31" i="34"/>
  <c r="N33" i="34"/>
  <c r="O35" i="34"/>
  <c r="K37" i="34"/>
  <c r="H39" i="34"/>
  <c r="D41" i="34"/>
  <c r="W42" i="34"/>
  <c r="K44" i="34"/>
  <c r="W45" i="34"/>
  <c r="F47" i="34"/>
  <c r="Q48" i="34"/>
  <c r="Z49" i="34"/>
  <c r="H51" i="34"/>
  <c r="P52" i="34"/>
  <c r="V53" i="34"/>
  <c r="D55" i="34"/>
  <c r="L56" i="34"/>
  <c r="T57" i="34"/>
  <c r="X58" i="34"/>
  <c r="C60" i="34"/>
  <c r="B60" i="34" s="1"/>
  <c r="H61" i="34"/>
  <c r="L62" i="34"/>
  <c r="Q63" i="34"/>
  <c r="U64" i="34"/>
  <c r="Z65" i="34"/>
  <c r="D67" i="34"/>
  <c r="I68" i="34"/>
  <c r="M69" i="34"/>
  <c r="R70" i="34"/>
  <c r="V71" i="34"/>
  <c r="AA72" i="34"/>
  <c r="F74" i="34"/>
  <c r="J75" i="34"/>
  <c r="O76" i="34"/>
  <c r="Q77" i="34"/>
  <c r="S78" i="34"/>
  <c r="U79" i="34"/>
  <c r="W80" i="34"/>
  <c r="Y81" i="34"/>
  <c r="AA82" i="34"/>
  <c r="C84" i="34"/>
  <c r="B84" i="34" s="1"/>
  <c r="E85" i="34"/>
  <c r="G86" i="34"/>
  <c r="I87" i="34"/>
  <c r="K88" i="34"/>
  <c r="M89" i="34"/>
  <c r="O90" i="34"/>
  <c r="Q91" i="34"/>
  <c r="S92" i="34"/>
  <c r="Y95" i="34"/>
  <c r="E99" i="34"/>
  <c r="Y93" i="34"/>
  <c r="S13" i="34"/>
  <c r="H28" i="34"/>
  <c r="K41" i="34"/>
  <c r="U52" i="34"/>
  <c r="M61" i="34"/>
  <c r="S69" i="34"/>
  <c r="T76" i="34"/>
  <c r="F83" i="34"/>
  <c r="P88" i="34"/>
  <c r="F97" i="34"/>
  <c r="AA92" i="34"/>
  <c r="E58" i="34"/>
  <c r="C71" i="34"/>
  <c r="B71" i="34" s="1"/>
  <c r="M84" i="34"/>
  <c r="E11" i="34"/>
  <c r="M13" i="34"/>
  <c r="V15" i="34"/>
  <c r="X17" i="34"/>
  <c r="Z19" i="34"/>
  <c r="AA21" i="34"/>
  <c r="C24" i="34"/>
  <c r="B24" i="34" s="1"/>
  <c r="C26" i="34"/>
  <c r="B26" i="34" s="1"/>
  <c r="Z27" i="34"/>
  <c r="V29" i="34"/>
  <c r="W31" i="34"/>
  <c r="S33" i="34"/>
  <c r="P35" i="34"/>
  <c r="L37" i="34"/>
  <c r="I39" i="34"/>
  <c r="E41" i="34"/>
  <c r="Y42" i="34"/>
  <c r="L44" i="34"/>
  <c r="X45" i="34"/>
  <c r="I47" i="34"/>
  <c r="R48" i="34"/>
  <c r="AA49" i="34"/>
  <c r="I51" i="34"/>
  <c r="Q52" i="34"/>
  <c r="Y53" i="34"/>
  <c r="E55" i="34"/>
  <c r="M56" i="34"/>
  <c r="U57" i="34"/>
  <c r="Z58" i="34"/>
  <c r="D60" i="34"/>
  <c r="I61" i="34"/>
  <c r="M62" i="34"/>
  <c r="R63" i="34"/>
  <c r="V64" i="34"/>
  <c r="AA65" i="34"/>
  <c r="E67" i="34"/>
  <c r="J68" i="34"/>
  <c r="N69" i="34"/>
  <c r="S70" i="34"/>
  <c r="X71" i="34"/>
  <c r="AB72" i="34"/>
  <c r="G74" i="34"/>
  <c r="K75" i="34"/>
  <c r="P76" i="34"/>
  <c r="R77" i="34"/>
  <c r="T78" i="34"/>
  <c r="V79" i="34"/>
  <c r="X80" i="34"/>
  <c r="Z81" i="34"/>
  <c r="AB82" i="34"/>
  <c r="D84" i="34"/>
  <c r="F85" i="34"/>
  <c r="H86" i="34"/>
  <c r="J87" i="34"/>
  <c r="L88" i="34"/>
  <c r="N89" i="34"/>
  <c r="P90" i="34"/>
  <c r="R91" i="34"/>
  <c r="T92" i="34"/>
  <c r="V93" i="34"/>
  <c r="X94" i="34"/>
  <c r="Z95" i="34"/>
  <c r="AB96" i="34"/>
  <c r="D98" i="34"/>
  <c r="F99" i="34"/>
  <c r="H100" i="34"/>
  <c r="V92" i="34"/>
  <c r="AB95" i="34"/>
  <c r="H99" i="34"/>
  <c r="S90" i="34"/>
  <c r="AA94" i="34"/>
  <c r="J22" i="34"/>
  <c r="R37" i="34"/>
  <c r="G50" i="34"/>
  <c r="D59" i="34"/>
  <c r="J67" i="34"/>
  <c r="F73" i="34"/>
  <c r="Z79" i="34"/>
  <c r="L86" i="34"/>
  <c r="X92" i="34"/>
  <c r="L100" i="34"/>
  <c r="M100" i="34"/>
  <c r="M99" i="34"/>
  <c r="T51" i="34"/>
  <c r="AA77" i="34"/>
  <c r="F11" i="34"/>
  <c r="P13" i="34"/>
  <c r="X15" i="34"/>
  <c r="AA17" i="34"/>
  <c r="D20" i="34"/>
  <c r="F22" i="34"/>
  <c r="D24" i="34"/>
  <c r="D26" i="34"/>
  <c r="E28" i="34"/>
  <c r="AA29" i="34"/>
  <c r="X31" i="34"/>
  <c r="T33" i="34"/>
  <c r="Q35" i="34"/>
  <c r="M37" i="34"/>
  <c r="J39" i="34"/>
  <c r="F41" i="34"/>
  <c r="Z42" i="34"/>
  <c r="N44" i="34"/>
  <c r="Y45" i="34"/>
  <c r="J47" i="34"/>
  <c r="S48" i="34"/>
  <c r="AB49" i="34"/>
  <c r="J51" i="34"/>
  <c r="R52" i="34"/>
  <c r="Z53" i="34"/>
  <c r="F55" i="34"/>
  <c r="N56" i="34"/>
  <c r="V57" i="34"/>
  <c r="AA58" i="34"/>
  <c r="E60" i="34"/>
  <c r="J61" i="34"/>
  <c r="N62" i="34"/>
  <c r="S63" i="34"/>
  <c r="W64" i="34"/>
  <c r="AB65" i="34"/>
  <c r="F67" i="34"/>
  <c r="K68" i="34"/>
  <c r="P69" i="34"/>
  <c r="T70" i="34"/>
  <c r="Y71" i="34"/>
  <c r="C73" i="34"/>
  <c r="B73" i="34" s="1"/>
  <c r="H74" i="34"/>
  <c r="L75" i="34"/>
  <c r="Q76" i="34"/>
  <c r="S77" i="34"/>
  <c r="U78" i="34"/>
  <c r="W79" i="34"/>
  <c r="Y80" i="34"/>
  <c r="AA81" i="34"/>
  <c r="C83" i="34"/>
  <c r="B83" i="34" s="1"/>
  <c r="E84" i="34"/>
  <c r="G85" i="34"/>
  <c r="I86" i="34"/>
  <c r="K87" i="34"/>
  <c r="M88" i="34"/>
  <c r="O89" i="34"/>
  <c r="Q90" i="34"/>
  <c r="S91" i="34"/>
  <c r="U92" i="34"/>
  <c r="W93" i="34"/>
  <c r="Y94" i="34"/>
  <c r="AA95" i="34"/>
  <c r="C97" i="34"/>
  <c r="B97" i="34" s="1"/>
  <c r="E98" i="34"/>
  <c r="G99" i="34"/>
  <c r="I100" i="34"/>
  <c r="T91" i="34"/>
  <c r="Z94" i="34"/>
  <c r="F98" i="34"/>
  <c r="Q89" i="34"/>
  <c r="E97" i="34"/>
  <c r="N24" i="34"/>
  <c r="Y33" i="34"/>
  <c r="AB45" i="34"/>
  <c r="K55" i="34"/>
  <c r="V63" i="34"/>
  <c r="AB71" i="34"/>
  <c r="X78" i="34"/>
  <c r="J85" i="34"/>
  <c r="V91" i="34"/>
  <c r="H98" i="34"/>
  <c r="G96" i="34"/>
  <c r="X56" i="34"/>
  <c r="O67" i="34"/>
  <c r="E80" i="34"/>
  <c r="I11" i="34"/>
  <c r="Q13" i="34"/>
  <c r="Y15" i="34"/>
  <c r="AB17" i="34"/>
  <c r="E20" i="34"/>
  <c r="G22" i="34"/>
  <c r="F24" i="34"/>
  <c r="I26" i="34"/>
  <c r="F28" i="34"/>
  <c r="AB29" i="34"/>
  <c r="Y31" i="34"/>
  <c r="U33" i="34"/>
  <c r="R35" i="34"/>
  <c r="N37" i="34"/>
  <c r="L39" i="34"/>
  <c r="I41" i="34"/>
  <c r="AA42" i="34"/>
  <c r="O44" i="34"/>
  <c r="Z45" i="34"/>
  <c r="K47" i="34"/>
  <c r="V48" i="34"/>
  <c r="C50" i="34"/>
  <c r="B50" i="34" s="1"/>
  <c r="K51" i="34"/>
  <c r="S52" i="34"/>
  <c r="AA53" i="34"/>
  <c r="I55" i="34"/>
  <c r="O56" i="34"/>
  <c r="W57" i="34"/>
  <c r="AB58" i="34"/>
  <c r="F60" i="34"/>
  <c r="K61" i="34"/>
  <c r="O62" i="34"/>
  <c r="T63" i="34"/>
  <c r="X64" i="34"/>
  <c r="C66" i="34"/>
  <c r="B66" i="34" s="1"/>
  <c r="H67" i="34"/>
  <c r="L68" i="34"/>
  <c r="Q69" i="34"/>
  <c r="U70" i="34"/>
  <c r="Z71" i="34"/>
  <c r="D73" i="34"/>
  <c r="I74" i="34"/>
  <c r="M75" i="34"/>
  <c r="R76" i="34"/>
  <c r="T77" i="34"/>
  <c r="V78" i="34"/>
  <c r="X79" i="34"/>
  <c r="Z80" i="34"/>
  <c r="AB81" i="34"/>
  <c r="D83" i="34"/>
  <c r="F84" i="34"/>
  <c r="H85" i="34"/>
  <c r="J86" i="34"/>
  <c r="L87" i="34"/>
  <c r="N88" i="34"/>
  <c r="P89" i="34"/>
  <c r="R90" i="34"/>
  <c r="X93" i="34"/>
  <c r="D97" i="34"/>
  <c r="M87" i="34"/>
  <c r="I99" i="34"/>
  <c r="AA15" i="34"/>
  <c r="K26" i="34"/>
  <c r="N39" i="34"/>
  <c r="Y48" i="34"/>
  <c r="Y57" i="34"/>
  <c r="AA64" i="34"/>
  <c r="AB94" i="34"/>
  <c r="L50" i="34"/>
  <c r="G72" i="34"/>
  <c r="U88" i="34"/>
  <c r="J11" i="34"/>
  <c r="R13" i="34"/>
  <c r="Z15" i="34"/>
  <c r="C18" i="34"/>
  <c r="B18" i="34" s="1"/>
  <c r="F20" i="34"/>
  <c r="H22" i="34"/>
  <c r="M24" i="34"/>
  <c r="J26" i="34"/>
  <c r="G28" i="34"/>
  <c r="C30" i="34"/>
  <c r="B30" i="34" s="1"/>
  <c r="Z31" i="34"/>
  <c r="V33" i="34"/>
  <c r="T35" i="34"/>
  <c r="Q37" i="34"/>
  <c r="M39" i="34"/>
  <c r="J41" i="34"/>
  <c r="AB42" i="34"/>
  <c r="P44" i="34"/>
  <c r="AA45" i="34"/>
  <c r="L47" i="34"/>
  <c r="W48" i="34"/>
  <c r="D50" i="34"/>
  <c r="L51" i="34"/>
  <c r="T52" i="34"/>
  <c r="AB53" i="34"/>
  <c r="J55" i="34"/>
  <c r="P56" i="34"/>
  <c r="X57" i="34"/>
  <c r="C59" i="34"/>
  <c r="B59" i="34" s="1"/>
  <c r="G60" i="34"/>
  <c r="L61" i="34"/>
  <c r="P62" i="34"/>
  <c r="U63" i="34"/>
  <c r="Z64" i="34"/>
  <c r="D66" i="34"/>
  <c r="I67" i="34"/>
  <c r="M68" i="34"/>
  <c r="R69" i="34"/>
  <c r="V70" i="34"/>
  <c r="AA71" i="34"/>
  <c r="E73" i="34"/>
  <c r="J74" i="34"/>
  <c r="N75" i="34"/>
  <c r="S76" i="34"/>
  <c r="U77" i="34"/>
  <c r="W78" i="34"/>
  <c r="Y79" i="34"/>
  <c r="AA80" i="34"/>
  <c r="C82" i="34"/>
  <c r="B82" i="34" s="1"/>
  <c r="E83" i="34"/>
  <c r="G84" i="34"/>
  <c r="I85" i="34"/>
  <c r="K86" i="34"/>
  <c r="W92" i="34"/>
  <c r="K100" i="34"/>
  <c r="D18" i="34"/>
  <c r="AB31" i="34"/>
  <c r="C43" i="34"/>
  <c r="B43" i="34" s="1"/>
  <c r="M51" i="34"/>
  <c r="H60" i="34"/>
  <c r="N68" i="34"/>
  <c r="P75" i="34"/>
  <c r="AB80" i="34"/>
  <c r="N87" i="34"/>
  <c r="Z93" i="34"/>
  <c r="K99" i="34"/>
  <c r="O100" i="34"/>
  <c r="P55" i="34"/>
  <c r="X69" i="34"/>
  <c r="K83" i="34"/>
  <c r="O11" i="34"/>
  <c r="P11" i="34"/>
  <c r="T13" i="34"/>
  <c r="AB15" i="34"/>
  <c r="H18" i="34"/>
  <c r="J20" i="34"/>
  <c r="K22" i="34"/>
  <c r="O24" i="34"/>
  <c r="L26" i="34"/>
  <c r="J28" i="34"/>
  <c r="G30" i="34"/>
  <c r="C32" i="34"/>
  <c r="B32" i="34" s="1"/>
  <c r="Z33" i="34"/>
  <c r="V35" i="34"/>
  <c r="S37" i="34"/>
  <c r="O39" i="34"/>
  <c r="L41" i="34"/>
  <c r="D43" i="34"/>
  <c r="R44" i="34"/>
  <c r="C46" i="34"/>
  <c r="B46" i="34" s="1"/>
  <c r="O47" i="34"/>
  <c r="Z48" i="34"/>
  <c r="H50" i="34"/>
  <c r="N51" i="34"/>
  <c r="V52" i="34"/>
  <c r="D54" i="34"/>
  <c r="L55" i="34"/>
  <c r="T56" i="34"/>
  <c r="Z57" i="34"/>
  <c r="E59" i="34"/>
  <c r="J60" i="34"/>
  <c r="N61" i="34"/>
  <c r="S62" i="34"/>
  <c r="W63" i="34"/>
  <c r="AB64" i="34"/>
  <c r="F66" i="34"/>
  <c r="K67" i="34"/>
  <c r="O68" i="34"/>
  <c r="T69" i="34"/>
  <c r="X70" i="34"/>
  <c r="C72" i="34"/>
  <c r="B72" i="34" s="1"/>
  <c r="H73" i="34"/>
  <c r="L74" i="34"/>
  <c r="Q75" i="34"/>
  <c r="U76" i="34"/>
  <c r="W77" i="34"/>
  <c r="Y78" i="34"/>
  <c r="AA79" i="34"/>
  <c r="C81" i="34"/>
  <c r="B81" i="34" s="1"/>
  <c r="E82" i="34"/>
  <c r="G83" i="34"/>
  <c r="I84" i="34"/>
  <c r="K85" i="34"/>
  <c r="M86" i="34"/>
  <c r="O87" i="34"/>
  <c r="Q88" i="34"/>
  <c r="S89" i="34"/>
  <c r="U90" i="34"/>
  <c r="W91" i="34"/>
  <c r="Y92" i="34"/>
  <c r="AA93" i="34"/>
  <c r="C95" i="34"/>
  <c r="B95" i="34" s="1"/>
  <c r="E96" i="34"/>
  <c r="G97" i="34"/>
  <c r="I98" i="34"/>
  <c r="I97" i="34"/>
  <c r="W62" i="34"/>
  <c r="S87" i="34"/>
  <c r="Q11" i="34"/>
  <c r="W13" i="34"/>
  <c r="G16" i="34"/>
  <c r="I18" i="34"/>
  <c r="K20" i="34"/>
  <c r="L22" i="34"/>
  <c r="P24" i="34"/>
  <c r="O26" i="34"/>
  <c r="K28" i="34"/>
  <c r="H30" i="34"/>
  <c r="D32" i="34"/>
  <c r="AA33" i="34"/>
  <c r="W35" i="34"/>
  <c r="T37" i="34"/>
  <c r="P39" i="34"/>
  <c r="O41" i="34"/>
  <c r="E43" i="34"/>
  <c r="V44" i="34"/>
  <c r="E46" i="34"/>
  <c r="P47" i="34"/>
  <c r="AA48" i="34"/>
  <c r="I50" i="34"/>
  <c r="Q51" i="34"/>
  <c r="W52" i="34"/>
  <c r="E54" i="34"/>
  <c r="M55" i="34"/>
  <c r="U56" i="34"/>
  <c r="AB57" i="34"/>
  <c r="F59" i="34"/>
  <c r="K60" i="34"/>
  <c r="O61" i="34"/>
  <c r="T62" i="34"/>
  <c r="X63" i="34"/>
  <c r="C65" i="34"/>
  <c r="B65" i="34" s="1"/>
  <c r="G66" i="34"/>
  <c r="L67" i="34"/>
  <c r="P68" i="34"/>
  <c r="U69" i="34"/>
  <c r="Z70" i="34"/>
  <c r="D72" i="34"/>
  <c r="I73" i="34"/>
  <c r="M74" i="34"/>
  <c r="R75" i="34"/>
  <c r="V76" i="34"/>
  <c r="X77" i="34"/>
  <c r="Z78" i="34"/>
  <c r="AB79" i="34"/>
  <c r="D81" i="34"/>
  <c r="F82" i="34"/>
  <c r="H83" i="34"/>
  <c r="J84" i="34"/>
  <c r="L85" i="34"/>
  <c r="N86" i="34"/>
  <c r="P87" i="34"/>
  <c r="R88" i="34"/>
  <c r="T89" i="34"/>
  <c r="V90" i="34"/>
  <c r="X91" i="34"/>
  <c r="Z92" i="34"/>
  <c r="AB93" i="34"/>
  <c r="D95" i="34"/>
  <c r="F96" i="34"/>
  <c r="H97" i="34"/>
  <c r="J98" i="34"/>
  <c r="L99" i="34"/>
  <c r="N100" i="34"/>
  <c r="S47" i="34"/>
  <c r="C79" i="34"/>
  <c r="B79" i="34" s="1"/>
  <c r="R11" i="34"/>
  <c r="C14" i="34"/>
  <c r="B14" i="34" s="1"/>
  <c r="H16" i="34"/>
  <c r="N18" i="34"/>
  <c r="L20" i="34"/>
  <c r="Q22" i="34"/>
  <c r="R24" i="34"/>
  <c r="P26" i="34"/>
  <c r="L28" i="34"/>
  <c r="I30" i="34"/>
  <c r="E32" i="34"/>
  <c r="AB33" i="34"/>
  <c r="X35" i="34"/>
  <c r="W37" i="34"/>
  <c r="S39" i="34"/>
  <c r="R41" i="34"/>
  <c r="I43" i="34"/>
  <c r="W44" i="34"/>
  <c r="F46" i="34"/>
  <c r="Q47" i="34"/>
  <c r="AB48" i="34"/>
  <c r="J50" i="34"/>
  <c r="R51" i="34"/>
  <c r="X52" i="34"/>
  <c r="F54" i="34"/>
  <c r="N55" i="34"/>
  <c r="V56" i="34"/>
  <c r="C58" i="34"/>
  <c r="B58" i="34" s="1"/>
  <c r="G59" i="34"/>
  <c r="L60" i="34"/>
  <c r="P61" i="34"/>
  <c r="U62" i="34"/>
  <c r="Y63" i="34"/>
  <c r="D65" i="34"/>
  <c r="H66" i="34"/>
  <c r="M67" i="34"/>
  <c r="R68" i="34"/>
  <c r="V69" i="34"/>
  <c r="AA70" i="34"/>
  <c r="E72" i="34"/>
  <c r="J73" i="34"/>
  <c r="N74" i="34"/>
  <c r="S75" i="34"/>
  <c r="W76" i="34"/>
  <c r="Y77" i="34"/>
  <c r="AA78" i="34"/>
  <c r="C80" i="34"/>
  <c r="B80" i="34" s="1"/>
  <c r="E81" i="34"/>
  <c r="G82" i="34"/>
  <c r="I83" i="34"/>
  <c r="K84" i="34"/>
  <c r="M85" i="34"/>
  <c r="O86" i="34"/>
  <c r="Q87" i="34"/>
  <c r="S88" i="34"/>
  <c r="U89" i="34"/>
  <c r="W90" i="34"/>
  <c r="Y91" i="34"/>
  <c r="K98" i="34"/>
  <c r="I59" i="34"/>
  <c r="P74" i="34"/>
  <c r="O85" i="34"/>
  <c r="V11" i="34"/>
  <c r="D14" i="34"/>
  <c r="L16" i="34"/>
  <c r="O18" i="34"/>
  <c r="N20" i="34"/>
  <c r="R22" i="34"/>
  <c r="S24" i="34"/>
  <c r="Q26" i="34"/>
  <c r="M28" i="34"/>
  <c r="J30" i="34"/>
  <c r="F32" i="34"/>
  <c r="E34" i="34"/>
  <c r="AA35" i="34"/>
  <c r="Z37" i="34"/>
  <c r="X39" i="34"/>
  <c r="T41" i="34"/>
  <c r="K43" i="34"/>
  <c r="X44" i="34"/>
  <c r="I46" i="34"/>
  <c r="R47" i="34"/>
  <c r="C49" i="34"/>
  <c r="B49" i="34" s="1"/>
  <c r="K50" i="34"/>
  <c r="S51" i="34"/>
  <c r="AA52" i="34"/>
  <c r="G54" i="34"/>
  <c r="O55" i="34"/>
  <c r="W56" i="34"/>
  <c r="D58" i="34"/>
  <c r="H59" i="34"/>
  <c r="M60" i="34"/>
  <c r="Q61" i="34"/>
  <c r="V62" i="34"/>
  <c r="Z63" i="34"/>
  <c r="E65" i="34"/>
  <c r="J66" i="34"/>
  <c r="N67" i="34"/>
  <c r="S68" i="34"/>
  <c r="W69" i="34"/>
  <c r="AB70" i="34"/>
  <c r="F72" i="34"/>
  <c r="K73" i="34"/>
  <c r="O74" i="34"/>
  <c r="T75" i="34"/>
  <c r="X76" i="34"/>
  <c r="Z77" i="34"/>
  <c r="AB78" i="34"/>
  <c r="D80" i="34"/>
  <c r="F81" i="34"/>
  <c r="H82" i="34"/>
  <c r="J83" i="34"/>
  <c r="L84" i="34"/>
  <c r="N85" i="34"/>
  <c r="P86" i="34"/>
  <c r="R87" i="34"/>
  <c r="T88" i="34"/>
  <c r="V89" i="34"/>
  <c r="X90" i="34"/>
  <c r="Z91" i="34"/>
  <c r="AB92" i="34"/>
  <c r="D94" i="34"/>
  <c r="F95" i="34"/>
  <c r="H96" i="34"/>
  <c r="J97" i="34"/>
  <c r="L98" i="34"/>
  <c r="N99" i="34"/>
  <c r="P100" i="34"/>
  <c r="E14" i="34"/>
  <c r="P18" i="34"/>
  <c r="U20" i="34"/>
  <c r="S22" i="34"/>
  <c r="R26" i="34"/>
  <c r="M30" i="34"/>
  <c r="H34" i="34"/>
  <c r="AB37" i="34"/>
  <c r="U41" i="34"/>
  <c r="Y44" i="34"/>
  <c r="N60" i="34"/>
  <c r="AB63" i="34"/>
  <c r="T68" i="34"/>
  <c r="G81" i="34"/>
  <c r="W11" i="34"/>
  <c r="N16" i="34"/>
  <c r="T24" i="34"/>
  <c r="N28" i="34"/>
  <c r="I32" i="34"/>
  <c r="F36" i="34"/>
  <c r="Y39" i="34"/>
  <c r="L43" i="34"/>
  <c r="D49" i="34"/>
  <c r="R61" i="34"/>
  <c r="F65" i="34"/>
  <c r="L73" i="34"/>
  <c r="I82" i="34"/>
  <c r="D12" i="34"/>
  <c r="F12" i="34"/>
  <c r="G12" i="34"/>
  <c r="I12" i="34"/>
  <c r="Q14" i="34"/>
  <c r="C17" i="34"/>
  <c r="B17" i="34" s="1"/>
  <c r="AA18" i="34"/>
  <c r="AB20" i="34"/>
  <c r="F23" i="34"/>
  <c r="G25" i="34"/>
  <c r="C27" i="34"/>
  <c r="B27" i="34" s="1"/>
  <c r="Z28" i="34"/>
  <c r="V30" i="34"/>
  <c r="U32" i="34"/>
  <c r="R34" i="34"/>
  <c r="N36" i="34"/>
  <c r="K38" i="34"/>
  <c r="G40" i="34"/>
  <c r="D42" i="34"/>
  <c r="R43" i="34"/>
  <c r="E45" i="34"/>
  <c r="Q46" i="34"/>
  <c r="AB47" i="34"/>
  <c r="L49" i="34"/>
  <c r="T50" i="34"/>
  <c r="Z51" i="34"/>
  <c r="H53" i="34"/>
  <c r="P54" i="34"/>
  <c r="X55" i="34"/>
  <c r="F57" i="34"/>
  <c r="K58" i="34"/>
  <c r="P59" i="34"/>
  <c r="T60" i="34"/>
  <c r="Y61" i="34"/>
  <c r="D63" i="34"/>
  <c r="H64" i="34"/>
  <c r="M65" i="34"/>
  <c r="Q66" i="34"/>
  <c r="V67" i="34"/>
  <c r="Z68" i="34"/>
  <c r="E70" i="34"/>
  <c r="I71" i="34"/>
  <c r="N72" i="34"/>
  <c r="R73" i="34"/>
  <c r="W74" i="34"/>
  <c r="AB75" i="34"/>
  <c r="E77" i="34"/>
  <c r="G78" i="34"/>
  <c r="I79" i="34"/>
  <c r="K80" i="34"/>
  <c r="M81" i="34"/>
  <c r="O82" i="34"/>
  <c r="Q83" i="34"/>
  <c r="S84" i="34"/>
  <c r="U85" i="34"/>
  <c r="W86" i="34"/>
  <c r="Y87" i="34"/>
  <c r="AA88" i="34"/>
  <c r="C90" i="34"/>
  <c r="B90" i="34" s="1"/>
  <c r="E91" i="34"/>
  <c r="G92" i="34"/>
  <c r="I93" i="34"/>
  <c r="K94" i="34"/>
  <c r="M95" i="34"/>
  <c r="O96" i="34"/>
  <c r="Q97" i="34"/>
  <c r="S98" i="34"/>
  <c r="U99" i="34"/>
  <c r="W100" i="34"/>
  <c r="L10" i="34"/>
  <c r="H12" i="34"/>
  <c r="H17" i="34"/>
  <c r="T22" i="34"/>
  <c r="AB26" i="34"/>
  <c r="F31" i="34"/>
  <c r="G36" i="34"/>
  <c r="F40" i="34"/>
  <c r="Z43" i="34"/>
  <c r="V47" i="34"/>
  <c r="S50" i="34"/>
  <c r="M53" i="34"/>
  <c r="C56" i="34"/>
  <c r="B56" i="34" s="1"/>
  <c r="S58" i="34"/>
  <c r="T61" i="34"/>
  <c r="E64" i="34"/>
  <c r="P66" i="34"/>
  <c r="AB68" i="34"/>
  <c r="N71" i="34"/>
  <c r="Y73" i="34"/>
  <c r="J76" i="34"/>
  <c r="E79" i="34"/>
  <c r="K81" i="34"/>
  <c r="R83" i="34"/>
  <c r="X85" i="34"/>
  <c r="D88" i="34"/>
  <c r="J90" i="34"/>
  <c r="O92" i="34"/>
  <c r="S94" i="34"/>
  <c r="W96" i="34"/>
  <c r="AA98" i="34"/>
  <c r="D56" i="34"/>
  <c r="Z73" i="34"/>
  <c r="L81" i="34"/>
  <c r="Y85" i="34"/>
  <c r="K90" i="34"/>
  <c r="G95" i="34"/>
  <c r="O99" i="34"/>
  <c r="F48" i="34"/>
  <c r="O95" i="34"/>
  <c r="R95" i="34"/>
  <c r="L77" i="34"/>
  <c r="U67" i="34"/>
  <c r="G33" i="34"/>
  <c r="S72" i="34"/>
  <c r="E29" i="34"/>
  <c r="L65" i="34"/>
  <c r="M98" i="34"/>
  <c r="V20" i="34"/>
  <c r="Y67" i="34"/>
  <c r="R100" i="34"/>
  <c r="W38" i="34"/>
  <c r="L83" i="34"/>
  <c r="J12" i="34"/>
  <c r="I17" i="34"/>
  <c r="X22" i="34"/>
  <c r="D27" i="34"/>
  <c r="G31" i="34"/>
  <c r="H36" i="34"/>
  <c r="H40" i="34"/>
  <c r="AA43" i="34"/>
  <c r="W47" i="34"/>
  <c r="U50" i="34"/>
  <c r="N53" i="34"/>
  <c r="T58" i="34"/>
  <c r="U61" i="34"/>
  <c r="F64" i="34"/>
  <c r="R66" i="34"/>
  <c r="D69" i="34"/>
  <c r="O71" i="34"/>
  <c r="Z76" i="34"/>
  <c r="F79" i="34"/>
  <c r="S83" i="34"/>
  <c r="E88" i="34"/>
  <c r="C93" i="34"/>
  <c r="B93" i="34" s="1"/>
  <c r="K97" i="34"/>
  <c r="R97" i="34"/>
  <c r="U51" i="34"/>
  <c r="S97" i="34"/>
  <c r="V97" i="34"/>
  <c r="AB74" i="34"/>
  <c r="M77" i="34"/>
  <c r="F89" i="34"/>
  <c r="T54" i="34"/>
  <c r="G89" i="34"/>
  <c r="E25" i="34"/>
  <c r="Z62" i="34"/>
  <c r="I96" i="34"/>
  <c r="X54" i="34"/>
  <c r="J96" i="34"/>
  <c r="S25" i="34"/>
  <c r="R80" i="34"/>
  <c r="O12" i="34"/>
  <c r="J17" i="34"/>
  <c r="Y22" i="34"/>
  <c r="H27" i="34"/>
  <c r="H31" i="34"/>
  <c r="I36" i="34"/>
  <c r="L40" i="34"/>
  <c r="AB43" i="34"/>
  <c r="X47" i="34"/>
  <c r="V50" i="34"/>
  <c r="O53" i="34"/>
  <c r="G56" i="34"/>
  <c r="J59" i="34"/>
  <c r="V61" i="34"/>
  <c r="G64" i="34"/>
  <c r="S66" i="34"/>
  <c r="E69" i="34"/>
  <c r="P71" i="34"/>
  <c r="AA73" i="34"/>
  <c r="AA76" i="34"/>
  <c r="G79" i="34"/>
  <c r="N81" i="34"/>
  <c r="T83" i="34"/>
  <c r="Z85" i="34"/>
  <c r="F88" i="34"/>
  <c r="Z90" i="34"/>
  <c r="D93" i="34"/>
  <c r="H95" i="34"/>
  <c r="L97" i="34"/>
  <c r="P99" i="34"/>
  <c r="G88" i="34"/>
  <c r="E93" i="34"/>
  <c r="M97" i="34"/>
  <c r="Q81" i="34"/>
  <c r="K95" i="34"/>
  <c r="S86" i="34"/>
  <c r="O64" i="34"/>
  <c r="K93" i="34"/>
  <c r="D89" i="34"/>
  <c r="H65" i="34"/>
  <c r="T84" i="34"/>
  <c r="W14" i="34"/>
  <c r="J65" i="34"/>
  <c r="H33" i="34"/>
  <c r="X67" i="34"/>
  <c r="Q100" i="34"/>
  <c r="J38" i="34"/>
  <c r="Q82" i="34"/>
  <c r="Z100" i="34"/>
  <c r="P12" i="34"/>
  <c r="K17" i="34"/>
  <c r="Z22" i="34"/>
  <c r="I27" i="34"/>
  <c r="K31" i="34"/>
  <c r="J36" i="34"/>
  <c r="M40" i="34"/>
  <c r="C44" i="34"/>
  <c r="B44" i="34" s="1"/>
  <c r="Y47" i="34"/>
  <c r="W50" i="34"/>
  <c r="P53" i="34"/>
  <c r="H56" i="34"/>
  <c r="L59" i="34"/>
  <c r="W61" i="34"/>
  <c r="I64" i="34"/>
  <c r="T66" i="34"/>
  <c r="F69" i="34"/>
  <c r="Q71" i="34"/>
  <c r="R74" i="34"/>
  <c r="AB76" i="34"/>
  <c r="H79" i="34"/>
  <c r="O81" i="34"/>
  <c r="U83" i="34"/>
  <c r="AA85" i="34"/>
  <c r="AA90" i="34"/>
  <c r="I95" i="34"/>
  <c r="Q99" i="34"/>
  <c r="C86" i="34"/>
  <c r="B86" i="34" s="1"/>
  <c r="C91" i="34"/>
  <c r="B91" i="34" s="1"/>
  <c r="S99" i="34"/>
  <c r="F91" i="34"/>
  <c r="R59" i="34"/>
  <c r="X86" i="34"/>
  <c r="V59" i="34"/>
  <c r="T95" i="34"/>
  <c r="I42" i="34"/>
  <c r="AA86" i="34"/>
  <c r="X14" i="34"/>
  <c r="T72" i="34"/>
  <c r="K46" i="34"/>
  <c r="D78" i="34"/>
  <c r="E53" i="34"/>
  <c r="N94" i="34"/>
  <c r="T12" i="34"/>
  <c r="R18" i="34"/>
  <c r="C23" i="34"/>
  <c r="B23" i="34" s="1"/>
  <c r="J27" i="34"/>
  <c r="N32" i="34"/>
  <c r="M36" i="34"/>
  <c r="Q40" i="34"/>
  <c r="Z44" i="34"/>
  <c r="AA47" i="34"/>
  <c r="X50" i="34"/>
  <c r="Q53" i="34"/>
  <c r="Y56" i="34"/>
  <c r="M59" i="34"/>
  <c r="X61" i="34"/>
  <c r="J64" i="34"/>
  <c r="V66" i="34"/>
  <c r="G69" i="34"/>
  <c r="R71" i="34"/>
  <c r="S74" i="34"/>
  <c r="C77" i="34"/>
  <c r="B77" i="34" s="1"/>
  <c r="J79" i="34"/>
  <c r="P81" i="34"/>
  <c r="V83" i="34"/>
  <c r="AB85" i="34"/>
  <c r="V88" i="34"/>
  <c r="AB90" i="34"/>
  <c r="F93" i="34"/>
  <c r="J95" i="34"/>
  <c r="N97" i="34"/>
  <c r="R99" i="34"/>
  <c r="S81" i="34"/>
  <c r="L72" i="34"/>
  <c r="Z88" i="34"/>
  <c r="P72" i="34"/>
  <c r="E89" i="34"/>
  <c r="K57" i="34"/>
  <c r="Y59" i="34"/>
  <c r="C100" i="34"/>
  <c r="B100" i="34" s="1"/>
  <c r="P19" i="34"/>
  <c r="I70" i="34"/>
  <c r="F25" i="34"/>
  <c r="J70" i="34"/>
  <c r="W55" i="34"/>
  <c r="R96" i="34"/>
  <c r="V12" i="34"/>
  <c r="S18" i="34"/>
  <c r="H23" i="34"/>
  <c r="N27" i="34"/>
  <c r="O32" i="34"/>
  <c r="O36" i="34"/>
  <c r="R40" i="34"/>
  <c r="AA44" i="34"/>
  <c r="C48" i="34"/>
  <c r="B48" i="34" s="1"/>
  <c r="Y50" i="34"/>
  <c r="R53" i="34"/>
  <c r="Z56" i="34"/>
  <c r="N59" i="34"/>
  <c r="Z61" i="34"/>
  <c r="K64" i="34"/>
  <c r="W66" i="34"/>
  <c r="H69" i="34"/>
  <c r="H72" i="34"/>
  <c r="T74" i="34"/>
  <c r="D77" i="34"/>
  <c r="K79" i="34"/>
  <c r="W83" i="34"/>
  <c r="W88" i="34"/>
  <c r="G93" i="34"/>
  <c r="O97" i="34"/>
  <c r="Y88" i="34"/>
  <c r="E57" i="34"/>
  <c r="N79" i="34"/>
  <c r="G91" i="34"/>
  <c r="M93" i="34"/>
  <c r="AA74" i="34"/>
  <c r="Q72" i="34"/>
  <c r="K91" i="34"/>
  <c r="C52" i="34"/>
  <c r="B52" i="34" s="1"/>
  <c r="AB99" i="34"/>
  <c r="N19" i="34"/>
  <c r="W67" i="34"/>
  <c r="U95" i="34"/>
  <c r="E52" i="34"/>
  <c r="H89" i="34"/>
  <c r="F29" i="34"/>
  <c r="V72" i="34"/>
  <c r="Q85" i="34"/>
  <c r="G21" i="34"/>
  <c r="E76" i="34"/>
  <c r="Y12" i="34"/>
  <c r="T18" i="34"/>
  <c r="I23" i="34"/>
  <c r="O27" i="34"/>
  <c r="P32" i="34"/>
  <c r="P36" i="34"/>
  <c r="S40" i="34"/>
  <c r="AB44" i="34"/>
  <c r="D48" i="34"/>
  <c r="Z50" i="34"/>
  <c r="K54" i="34"/>
  <c r="AA56" i="34"/>
  <c r="O59" i="34"/>
  <c r="AA61" i="34"/>
  <c r="L64" i="34"/>
  <c r="X66" i="34"/>
  <c r="I69" i="34"/>
  <c r="J72" i="34"/>
  <c r="U74" i="34"/>
  <c r="F77" i="34"/>
  <c r="L79" i="34"/>
  <c r="R81" i="34"/>
  <c r="X83" i="34"/>
  <c r="R86" i="34"/>
  <c r="X88" i="34"/>
  <c r="D91" i="34"/>
  <c r="H93" i="34"/>
  <c r="L95" i="34"/>
  <c r="P97" i="34"/>
  <c r="T99" i="34"/>
  <c r="V74" i="34"/>
  <c r="Y83" i="34"/>
  <c r="N95" i="34"/>
  <c r="V99" i="34"/>
  <c r="C62" i="34"/>
  <c r="B62" i="34" s="1"/>
  <c r="X74" i="34"/>
  <c r="T86" i="34"/>
  <c r="W99" i="34"/>
  <c r="Y99" i="34"/>
  <c r="Q79" i="34"/>
  <c r="N93" i="34"/>
  <c r="L82" i="34"/>
  <c r="S95" i="34"/>
  <c r="F49" i="34"/>
  <c r="Y24" i="34"/>
  <c r="E75" i="34"/>
  <c r="J42" i="34"/>
  <c r="V84" i="34"/>
  <c r="P60" i="34"/>
  <c r="AB91" i="34"/>
  <c r="Q96" i="34"/>
  <c r="J63" i="34"/>
  <c r="Z12" i="34"/>
  <c r="Y18" i="34"/>
  <c r="J23" i="34"/>
  <c r="P27" i="34"/>
  <c r="Q32" i="34"/>
  <c r="T36" i="34"/>
  <c r="T40" i="34"/>
  <c r="C45" i="34"/>
  <c r="B45" i="34" s="1"/>
  <c r="E48" i="34"/>
  <c r="AA50" i="34"/>
  <c r="L54" i="34"/>
  <c r="AB56" i="34"/>
  <c r="Q59" i="34"/>
  <c r="AB61" i="34"/>
  <c r="N64" i="34"/>
  <c r="Y66" i="34"/>
  <c r="Y69" i="34"/>
  <c r="K72" i="34"/>
  <c r="G77" i="34"/>
  <c r="M79" i="34"/>
  <c r="J93" i="34"/>
  <c r="Z66" i="34"/>
  <c r="H77" i="34"/>
  <c r="N84" i="34"/>
  <c r="I91" i="34"/>
  <c r="K77" i="34"/>
  <c r="F70" i="34"/>
  <c r="O93" i="34"/>
  <c r="X62" i="34"/>
  <c r="X97" i="34"/>
  <c r="N45" i="34"/>
  <c r="H80" i="34"/>
  <c r="O45" i="34"/>
  <c r="I80" i="34"/>
  <c r="AA14" i="34"/>
  <c r="N65" i="34"/>
  <c r="N98" i="34"/>
  <c r="Y60" i="34"/>
  <c r="I14" i="34"/>
  <c r="Z18" i="34"/>
  <c r="K23" i="34"/>
  <c r="Q28" i="34"/>
  <c r="R32" i="34"/>
  <c r="U36" i="34"/>
  <c r="V41" i="34"/>
  <c r="D45" i="34"/>
  <c r="M54" i="34"/>
  <c r="Z69" i="34"/>
  <c r="T81" i="34"/>
  <c r="Q95" i="34"/>
  <c r="K82" i="34"/>
  <c r="H62" i="34"/>
  <c r="I65" i="34"/>
  <c r="M82" i="34"/>
  <c r="Y62" i="34"/>
  <c r="Q93" i="34"/>
  <c r="O60" i="34"/>
  <c r="E94" i="34"/>
  <c r="N57" i="34"/>
  <c r="F94" i="34"/>
  <c r="U98" i="34"/>
  <c r="T16" i="34"/>
  <c r="R85" i="34"/>
  <c r="J14" i="34"/>
  <c r="AB18" i="34"/>
  <c r="L23" i="34"/>
  <c r="V28" i="34"/>
  <c r="V32" i="34"/>
  <c r="Y36" i="34"/>
  <c r="W41" i="34"/>
  <c r="I45" i="34"/>
  <c r="I48" i="34"/>
  <c r="V51" i="34"/>
  <c r="N54" i="34"/>
  <c r="G57" i="34"/>
  <c r="S59" i="34"/>
  <c r="D62" i="34"/>
  <c r="P64" i="34"/>
  <c r="P67" i="34"/>
  <c r="AB69" i="34"/>
  <c r="M72" i="34"/>
  <c r="Y74" i="34"/>
  <c r="I77" i="34"/>
  <c r="O79" i="34"/>
  <c r="U81" i="34"/>
  <c r="O84" i="34"/>
  <c r="U86" i="34"/>
  <c r="AB88" i="34"/>
  <c r="H91" i="34"/>
  <c r="L93" i="34"/>
  <c r="P95" i="34"/>
  <c r="T97" i="34"/>
  <c r="X99" i="34"/>
  <c r="J82" i="34"/>
  <c r="C89" i="34"/>
  <c r="B89" i="34" s="1"/>
  <c r="D70" i="34"/>
  <c r="Z99" i="34"/>
  <c r="Y86" i="34"/>
  <c r="W97" i="34"/>
  <c r="S54" i="34"/>
  <c r="P93" i="34"/>
  <c r="I49" i="34"/>
  <c r="AB77" i="34"/>
  <c r="J49" i="34"/>
  <c r="P82" i="34"/>
  <c r="K42" i="34"/>
  <c r="J80" i="34"/>
  <c r="W82" i="34"/>
  <c r="T30" i="34"/>
  <c r="U65" i="34"/>
  <c r="V98" i="34"/>
  <c r="K14" i="34"/>
  <c r="F19" i="34"/>
  <c r="Q23" i="34"/>
  <c r="W28" i="34"/>
  <c r="W32" i="34"/>
  <c r="Z36" i="34"/>
  <c r="X41" i="34"/>
  <c r="J45" i="34"/>
  <c r="J48" i="34"/>
  <c r="W51" i="34"/>
  <c r="O54" i="34"/>
  <c r="H57" i="34"/>
  <c r="T59" i="34"/>
  <c r="F62" i="34"/>
  <c r="Q64" i="34"/>
  <c r="Q67" i="34"/>
  <c r="C70" i="34"/>
  <c r="B70" i="34" s="1"/>
  <c r="O72" i="34"/>
  <c r="Z74" i="34"/>
  <c r="J77" i="34"/>
  <c r="P79" i="34"/>
  <c r="P84" i="34"/>
  <c r="V86" i="34"/>
  <c r="U97" i="34"/>
  <c r="J91" i="34"/>
  <c r="T67" i="34"/>
  <c r="X59" i="34"/>
  <c r="Z86" i="34"/>
  <c r="D52" i="34"/>
  <c r="N82" i="34"/>
  <c r="C78" i="34"/>
  <c r="B78" i="34" s="1"/>
  <c r="K49" i="34"/>
  <c r="W84" i="34"/>
  <c r="D90" i="34"/>
  <c r="K10" i="34"/>
  <c r="L14" i="34"/>
  <c r="G19" i="34"/>
  <c r="R23" i="34"/>
  <c r="X28" i="34"/>
  <c r="X32" i="34"/>
  <c r="AA36" i="34"/>
  <c r="AB41" i="34"/>
  <c r="K45" i="34"/>
  <c r="K48" i="34"/>
  <c r="X51" i="34"/>
  <c r="Q54" i="34"/>
  <c r="I57" i="34"/>
  <c r="U59" i="34"/>
  <c r="G62" i="34"/>
  <c r="G65" i="34"/>
  <c r="R67" i="34"/>
  <c r="Q84" i="34"/>
  <c r="F80" i="34"/>
  <c r="AA99" i="34"/>
  <c r="G70" i="34"/>
  <c r="L91" i="34"/>
  <c r="D29" i="34"/>
  <c r="H70" i="34"/>
  <c r="Y97" i="34"/>
  <c r="F38" i="34"/>
  <c r="F75" i="34"/>
  <c r="J34" i="34"/>
  <c r="V75" i="34"/>
  <c r="I92" i="34"/>
  <c r="X34" i="34"/>
  <c r="V68" i="34"/>
  <c r="P14" i="34"/>
  <c r="H19" i="34"/>
  <c r="U24" i="34"/>
  <c r="Y28" i="34"/>
  <c r="AB32" i="34"/>
  <c r="C38" i="34"/>
  <c r="B38" i="34" s="1"/>
  <c r="C42" i="34"/>
  <c r="B42" i="34" s="1"/>
  <c r="L45" i="34"/>
  <c r="E49" i="34"/>
  <c r="Y51" i="34"/>
  <c r="R54" i="34"/>
  <c r="J57" i="34"/>
  <c r="R84" i="34"/>
  <c r="R72" i="34"/>
  <c r="G80" i="34"/>
  <c r="E38" i="34"/>
  <c r="U84" i="34"/>
  <c r="M57" i="34"/>
  <c r="AB86" i="34"/>
  <c r="AA62" i="34"/>
  <c r="I89" i="34"/>
  <c r="W87" i="34"/>
  <c r="P43" i="34"/>
  <c r="J92" i="34"/>
  <c r="V14" i="34"/>
  <c r="K19" i="34"/>
  <c r="V24" i="34"/>
  <c r="C29" i="34"/>
  <c r="B29" i="34" s="1"/>
  <c r="C33" i="34"/>
  <c r="B33" i="34" s="1"/>
  <c r="D38" i="34"/>
  <c r="H42" i="34"/>
  <c r="M45" i="34"/>
  <c r="D75" i="34"/>
  <c r="L57" i="34"/>
  <c r="M91" i="34"/>
  <c r="W54" i="34"/>
  <c r="AA91" i="34"/>
  <c r="F52" i="34"/>
  <c r="C87" i="34"/>
  <c r="B87" i="34" s="1"/>
  <c r="M94" i="34"/>
  <c r="G71" i="34"/>
  <c r="AB14" i="34"/>
  <c r="W20" i="34"/>
  <c r="H25" i="34"/>
  <c r="J29" i="34"/>
  <c r="K34" i="34"/>
  <c r="L38" i="34"/>
  <c r="M42" i="34"/>
  <c r="L46" i="34"/>
  <c r="M49" i="34"/>
  <c r="G52" i="34"/>
  <c r="Y54" i="34"/>
  <c r="F58" i="34"/>
  <c r="Q60" i="34"/>
  <c r="AB62" i="34"/>
  <c r="O65" i="34"/>
  <c r="Z67" i="34"/>
  <c r="K70" i="34"/>
  <c r="W72" i="34"/>
  <c r="W75" i="34"/>
  <c r="E78" i="34"/>
  <c r="L80" i="34"/>
  <c r="R82" i="34"/>
  <c r="X84" i="34"/>
  <c r="D87" i="34"/>
  <c r="X89" i="34"/>
  <c r="C92" i="34"/>
  <c r="B92" i="34" s="1"/>
  <c r="G94" i="34"/>
  <c r="K96" i="34"/>
  <c r="O98" i="34"/>
  <c r="S100" i="34"/>
  <c r="P38" i="34"/>
  <c r="N49" i="34"/>
  <c r="H52" i="34"/>
  <c r="G58" i="34"/>
  <c r="R60" i="34"/>
  <c r="E63" i="34"/>
  <c r="AA67" i="34"/>
  <c r="L70" i="34"/>
  <c r="M73" i="34"/>
  <c r="F78" i="34"/>
  <c r="M80" i="34"/>
  <c r="S82" i="34"/>
  <c r="E87" i="34"/>
  <c r="Y89" i="34"/>
  <c r="D92" i="34"/>
  <c r="L96" i="34"/>
  <c r="P98" i="34"/>
  <c r="T100" i="34"/>
  <c r="F63" i="34"/>
  <c r="N73" i="34"/>
  <c r="Y75" i="34"/>
  <c r="H78" i="34"/>
  <c r="Z84" i="34"/>
  <c r="T87" i="34"/>
  <c r="E92" i="34"/>
  <c r="M96" i="34"/>
  <c r="U100" i="34"/>
  <c r="S34" i="34"/>
  <c r="P73" i="34"/>
  <c r="V82" i="34"/>
  <c r="AB89" i="34"/>
  <c r="L94" i="34"/>
  <c r="T98" i="34"/>
  <c r="E10" i="34"/>
  <c r="S46" i="34"/>
  <c r="L58" i="34"/>
  <c r="T65" i="34"/>
  <c r="Q73" i="34"/>
  <c r="K78" i="34"/>
  <c r="V46" i="34"/>
  <c r="T73" i="34"/>
  <c r="G15" i="34"/>
  <c r="X20" i="34"/>
  <c r="K25" i="34"/>
  <c r="K29" i="34"/>
  <c r="L34" i="34"/>
  <c r="N42" i="34"/>
  <c r="M46" i="34"/>
  <c r="Z54" i="34"/>
  <c r="P65" i="34"/>
  <c r="X75" i="34"/>
  <c r="Y84" i="34"/>
  <c r="H94" i="34"/>
  <c r="AB67" i="34"/>
  <c r="T82" i="34"/>
  <c r="I94" i="34"/>
  <c r="U55" i="34"/>
  <c r="X100" i="34"/>
  <c r="R25" i="34"/>
  <c r="D76" i="34"/>
  <c r="E90" i="34"/>
  <c r="H15" i="34"/>
  <c r="Z20" i="34"/>
  <c r="L25" i="34"/>
  <c r="O29" i="34"/>
  <c r="M34" i="34"/>
  <c r="Q38" i="34"/>
  <c r="O42" i="34"/>
  <c r="N46" i="34"/>
  <c r="O49" i="34"/>
  <c r="I52" i="34"/>
  <c r="Q55" i="34"/>
  <c r="H58" i="34"/>
  <c r="S60" i="34"/>
  <c r="Q65" i="34"/>
  <c r="N70" i="34"/>
  <c r="N80" i="34"/>
  <c r="Z89" i="34"/>
  <c r="Q98" i="34"/>
  <c r="Q49" i="34"/>
  <c r="V87" i="34"/>
  <c r="V38" i="34"/>
  <c r="V55" i="34"/>
  <c r="U68" i="34"/>
  <c r="Y100" i="34"/>
  <c r="N58" i="34"/>
  <c r="Q16" i="34"/>
  <c r="AA20" i="34"/>
  <c r="M25" i="34"/>
  <c r="P30" i="34"/>
  <c r="N34" i="34"/>
  <c r="R38" i="34"/>
  <c r="M43" i="34"/>
  <c r="O46" i="34"/>
  <c r="P49" i="34"/>
  <c r="J52" i="34"/>
  <c r="R55" i="34"/>
  <c r="I58" i="34"/>
  <c r="V60" i="34"/>
  <c r="G63" i="34"/>
  <c r="R65" i="34"/>
  <c r="C68" i="34"/>
  <c r="B68" i="34" s="1"/>
  <c r="D71" i="34"/>
  <c r="O73" i="34"/>
  <c r="Z75" i="34"/>
  <c r="I78" i="34"/>
  <c r="O80" i="34"/>
  <c r="U82" i="34"/>
  <c r="AA84" i="34"/>
  <c r="U87" i="34"/>
  <c r="AA89" i="34"/>
  <c r="F92" i="34"/>
  <c r="J94" i="34"/>
  <c r="N96" i="34"/>
  <c r="R98" i="34"/>
  <c r="V100" i="34"/>
  <c r="R16" i="34"/>
  <c r="C21" i="34"/>
  <c r="B21" i="34" s="1"/>
  <c r="N25" i="34"/>
  <c r="R30" i="34"/>
  <c r="U38" i="34"/>
  <c r="N43" i="34"/>
  <c r="R46" i="34"/>
  <c r="C53" i="34"/>
  <c r="B53" i="34" s="1"/>
  <c r="J58" i="34"/>
  <c r="W60" i="34"/>
  <c r="H63" i="34"/>
  <c r="S65" i="34"/>
  <c r="D68" i="34"/>
  <c r="E71" i="34"/>
  <c r="C76" i="34"/>
  <c r="B76" i="34" s="1"/>
  <c r="J78" i="34"/>
  <c r="P80" i="34"/>
  <c r="P85" i="34"/>
  <c r="H92" i="34"/>
  <c r="P96" i="34"/>
  <c r="S16" i="34"/>
  <c r="D21" i="34"/>
  <c r="S30" i="34"/>
  <c r="T34" i="34"/>
  <c r="O43" i="34"/>
  <c r="R49" i="34"/>
  <c r="D53" i="34"/>
  <c r="X60" i="34"/>
  <c r="I63" i="34"/>
  <c r="F71" i="34"/>
  <c r="Q80" i="34"/>
  <c r="U49" i="34"/>
  <c r="L78" i="34"/>
  <c r="M10" i="34"/>
  <c r="V16" i="34"/>
  <c r="M21" i="34"/>
  <c r="U26" i="34"/>
  <c r="U30" i="34"/>
  <c r="Y34" i="34"/>
  <c r="Z39" i="34"/>
  <c r="Q43" i="34"/>
  <c r="W46" i="34"/>
  <c r="M50" i="34"/>
  <c r="F53" i="34"/>
  <c r="Y55" i="34"/>
  <c r="O58" i="34"/>
  <c r="Z60" i="34"/>
  <c r="K63" i="34"/>
  <c r="L66" i="34"/>
  <c r="W68" i="34"/>
  <c r="H71" i="34"/>
  <c r="U73" i="34"/>
  <c r="F76" i="34"/>
  <c r="M78" i="34"/>
  <c r="S80" i="34"/>
  <c r="M83" i="34"/>
  <c r="S85" i="34"/>
  <c r="Z87" i="34"/>
  <c r="F90" i="34"/>
  <c r="K92" i="34"/>
  <c r="O94" i="34"/>
  <c r="S96" i="34"/>
  <c r="W98" i="34"/>
  <c r="AA100" i="34"/>
  <c r="Q10" i="34"/>
  <c r="D17" i="34"/>
  <c r="N21" i="34"/>
  <c r="X26" i="34"/>
  <c r="Z30" i="34"/>
  <c r="Z34" i="34"/>
  <c r="AA39" i="34"/>
  <c r="U43" i="34"/>
  <c r="X46" i="34"/>
  <c r="N50" i="34"/>
  <c r="G53" i="34"/>
  <c r="Z55" i="34"/>
  <c r="P58" i="34"/>
  <c r="AA60" i="34"/>
  <c r="L63" i="34"/>
  <c r="M66" i="34"/>
  <c r="X68" i="34"/>
  <c r="J71" i="34"/>
  <c r="V73" i="34"/>
  <c r="G76" i="34"/>
  <c r="N78" i="34"/>
  <c r="H81" i="34"/>
  <c r="N83" i="34"/>
  <c r="T85" i="34"/>
  <c r="AA87" i="34"/>
  <c r="G90" i="34"/>
  <c r="L92" i="34"/>
  <c r="P94" i="34"/>
  <c r="T96" i="34"/>
  <c r="X98" i="34"/>
  <c r="AB100" i="34"/>
  <c r="P21" i="34"/>
  <c r="Z46" i="34"/>
  <c r="J53" i="34"/>
  <c r="R58" i="34"/>
  <c r="C61" i="34"/>
  <c r="B61" i="34" s="1"/>
  <c r="O66" i="34"/>
  <c r="AA68" i="34"/>
  <c r="M71" i="34"/>
  <c r="I76" i="34"/>
  <c r="D79" i="34"/>
  <c r="P83" i="34"/>
  <c r="W85" i="34"/>
  <c r="C88" i="34"/>
  <c r="B88" i="34" s="1"/>
  <c r="N92" i="34"/>
  <c r="R94" i="34"/>
  <c r="V96" i="34"/>
  <c r="X87" i="34"/>
  <c r="R10" i="34"/>
  <c r="E17" i="34"/>
  <c r="O21" i="34"/>
  <c r="Z26" i="34"/>
  <c r="AA30" i="34"/>
  <c r="C35" i="34"/>
  <c r="B35" i="34" s="1"/>
  <c r="AB39" i="34"/>
  <c r="W43" i="34"/>
  <c r="Y46" i="34"/>
  <c r="O50" i="34"/>
  <c r="I53" i="34"/>
  <c r="AA55" i="34"/>
  <c r="Q58" i="34"/>
  <c r="AB60" i="34"/>
  <c r="C64" i="34"/>
  <c r="B64" i="34" s="1"/>
  <c r="N66" i="34"/>
  <c r="Y68" i="34"/>
  <c r="L71" i="34"/>
  <c r="W73" i="34"/>
  <c r="H76" i="34"/>
  <c r="O78" i="34"/>
  <c r="I81" i="34"/>
  <c r="O83" i="34"/>
  <c r="V85" i="34"/>
  <c r="AB87" i="34"/>
  <c r="H90" i="34"/>
  <c r="M92" i="34"/>
  <c r="Q94" i="34"/>
  <c r="U96" i="34"/>
  <c r="Y98" i="34"/>
  <c r="X11" i="34"/>
  <c r="F17" i="34"/>
  <c r="AA26" i="34"/>
  <c r="AB30" i="34"/>
  <c r="D35" i="34"/>
  <c r="E40" i="34"/>
  <c r="Y43" i="34"/>
  <c r="P50" i="34"/>
  <c r="AB55" i="34"/>
  <c r="D64" i="34"/>
  <c r="X73" i="34"/>
  <c r="J81" i="34"/>
  <c r="I90" i="34"/>
  <c r="Z98" i="34"/>
  <c r="N10" i="34"/>
  <c r="X18" i="34"/>
  <c r="V31" i="34"/>
  <c r="T44" i="34"/>
  <c r="Q18" i="34"/>
  <c r="O31" i="34"/>
  <c r="Y11" i="34"/>
  <c r="W24" i="34"/>
  <c r="U37" i="34"/>
  <c r="H21" i="34"/>
  <c r="N38" i="34"/>
  <c r="Y52" i="34"/>
  <c r="W65" i="34"/>
  <c r="S12" i="34"/>
  <c r="X29" i="34"/>
  <c r="H46" i="34"/>
  <c r="W22" i="34"/>
  <c r="P37" i="34"/>
  <c r="W16" i="34"/>
  <c r="M16" i="34"/>
  <c r="J19" i="34"/>
  <c r="H32" i="34"/>
  <c r="F45" i="34"/>
  <c r="C19" i="34"/>
  <c r="B19" i="34" s="1"/>
  <c r="AA31" i="34"/>
  <c r="K12" i="34"/>
  <c r="I25" i="34"/>
  <c r="G38" i="34"/>
  <c r="X21" i="34"/>
  <c r="C39" i="34"/>
  <c r="B39" i="34" s="1"/>
  <c r="K53" i="34"/>
  <c r="I66" i="34"/>
  <c r="H13" i="34"/>
  <c r="O30" i="34"/>
  <c r="U46" i="34"/>
  <c r="E22" i="34"/>
  <c r="V36" i="34"/>
  <c r="E16" i="34"/>
  <c r="S15" i="34"/>
  <c r="V19" i="34"/>
  <c r="T32" i="34"/>
  <c r="R45" i="34"/>
  <c r="O19" i="34"/>
  <c r="M32" i="34"/>
  <c r="W12" i="34"/>
  <c r="U25" i="34"/>
  <c r="S38" i="34"/>
  <c r="M22" i="34"/>
  <c r="T39" i="34"/>
  <c r="W53" i="34"/>
  <c r="U66" i="34"/>
  <c r="Y13" i="34"/>
  <c r="E31" i="34"/>
  <c r="H47" i="34"/>
  <c r="L21" i="34"/>
  <c r="D36" i="34"/>
  <c r="L15" i="34"/>
  <c r="Z14" i="34"/>
  <c r="H20" i="34"/>
  <c r="F33" i="34"/>
  <c r="D46" i="34"/>
  <c r="AA19" i="34"/>
  <c r="Y32" i="34"/>
  <c r="I13" i="34"/>
  <c r="G26" i="34"/>
  <c r="E39" i="34"/>
  <c r="D23" i="34"/>
  <c r="J40" i="34"/>
  <c r="I54" i="34"/>
  <c r="G67" i="34"/>
  <c r="O14" i="34"/>
  <c r="T31" i="34"/>
  <c r="U47" i="34"/>
  <c r="P20" i="34"/>
  <c r="I35" i="34"/>
  <c r="R14" i="34"/>
  <c r="F14" i="34"/>
  <c r="T20" i="34"/>
  <c r="R33" i="34"/>
  <c r="P46" i="34"/>
  <c r="M20" i="34"/>
  <c r="K33" i="34"/>
  <c r="U13" i="34"/>
  <c r="S26" i="34"/>
  <c r="Q39" i="34"/>
  <c r="T23" i="34"/>
  <c r="Y40" i="34"/>
  <c r="U54" i="34"/>
  <c r="S67" i="34"/>
  <c r="D15" i="34"/>
  <c r="K32" i="34"/>
  <c r="H48" i="34"/>
  <c r="X19" i="34"/>
  <c r="Q34" i="34"/>
  <c r="Z13" i="34"/>
  <c r="N13" i="34"/>
  <c r="F21" i="34"/>
  <c r="D34" i="34"/>
  <c r="AB46" i="34"/>
  <c r="Y20" i="34"/>
  <c r="W33" i="34"/>
  <c r="G14" i="34"/>
  <c r="E27" i="34"/>
  <c r="C40" i="34"/>
  <c r="B40" i="34" s="1"/>
  <c r="I24" i="34"/>
  <c r="P41" i="34"/>
  <c r="G55" i="34"/>
  <c r="E68" i="34"/>
  <c r="U15" i="34"/>
  <c r="AA32" i="34"/>
  <c r="U48" i="34"/>
  <c r="E19" i="34"/>
  <c r="X33" i="34"/>
  <c r="E13" i="34"/>
  <c r="U12" i="34"/>
  <c r="R21" i="34"/>
  <c r="P34" i="34"/>
  <c r="N47" i="34"/>
  <c r="K21" i="34"/>
  <c r="I34" i="34"/>
  <c r="S14" i="34"/>
  <c r="Q27" i="34"/>
  <c r="O40" i="34"/>
  <c r="Z24" i="34"/>
  <c r="F42" i="34"/>
  <c r="S55" i="34"/>
  <c r="Q68" i="34"/>
  <c r="K16" i="34"/>
  <c r="P33" i="34"/>
  <c r="H49" i="34"/>
  <c r="M18" i="34"/>
  <c r="D33" i="34"/>
  <c r="M12" i="34"/>
  <c r="AA11" i="34"/>
  <c r="D22" i="34"/>
  <c r="AB34" i="34"/>
  <c r="Z47" i="34"/>
  <c r="W21" i="34"/>
  <c r="U34" i="34"/>
  <c r="E15" i="34"/>
  <c r="C28" i="34"/>
  <c r="B28" i="34" s="1"/>
  <c r="AA40" i="34"/>
  <c r="P25" i="34"/>
  <c r="S42" i="34"/>
  <c r="E56" i="34"/>
  <c r="C69" i="34"/>
  <c r="B69" i="34" s="1"/>
  <c r="Z16" i="34"/>
  <c r="G34" i="34"/>
  <c r="T49" i="34"/>
  <c r="T17" i="34"/>
  <c r="L32" i="34"/>
  <c r="T11" i="34"/>
  <c r="H11" i="34"/>
  <c r="P22" i="34"/>
  <c r="N35" i="34"/>
  <c r="L48" i="34"/>
  <c r="I22" i="34"/>
  <c r="G35" i="34"/>
  <c r="Q15" i="34"/>
  <c r="O28" i="34"/>
  <c r="M41" i="34"/>
  <c r="E26" i="34"/>
  <c r="F43" i="34"/>
  <c r="Q56" i="34"/>
  <c r="O69" i="34"/>
  <c r="Q17" i="34"/>
  <c r="W34" i="34"/>
  <c r="F50" i="34"/>
  <c r="X16" i="34"/>
  <c r="Q31" i="34"/>
  <c r="Z10" i="34"/>
  <c r="D10" i="34"/>
  <c r="AB22" i="34"/>
  <c r="Z35" i="34"/>
  <c r="X48" i="34"/>
  <c r="U22" i="34"/>
  <c r="S35" i="34"/>
  <c r="C16" i="34"/>
  <c r="B16" i="34" s="1"/>
  <c r="AA28" i="34"/>
  <c r="Y41" i="34"/>
  <c r="V26" i="34"/>
  <c r="S43" i="34"/>
  <c r="C57" i="34"/>
  <c r="B57" i="34" s="1"/>
  <c r="AA69" i="34"/>
  <c r="G18" i="34"/>
  <c r="L35" i="34"/>
  <c r="R50" i="34"/>
  <c r="F16" i="34"/>
  <c r="Y30" i="34"/>
  <c r="H10" i="34"/>
  <c r="P10" i="34"/>
  <c r="N23" i="34"/>
  <c r="L36" i="34"/>
  <c r="I10" i="34"/>
  <c r="G23" i="34"/>
  <c r="E36" i="34"/>
  <c r="O16" i="34"/>
  <c r="M29" i="34"/>
  <c r="F10" i="34"/>
  <c r="L27" i="34"/>
  <c r="F44" i="34"/>
  <c r="O57" i="34"/>
  <c r="M70" i="34"/>
  <c r="V18" i="34"/>
  <c r="C36" i="34"/>
  <c r="B36" i="34" s="1"/>
  <c r="D51" i="34"/>
  <c r="M15" i="34"/>
  <c r="F30" i="34"/>
  <c r="AB10" i="34"/>
  <c r="Z23" i="34"/>
  <c r="X36" i="34"/>
  <c r="U10" i="34"/>
  <c r="S23" i="34"/>
  <c r="Q36" i="34"/>
  <c r="AA16" i="34"/>
  <c r="Y29" i="34"/>
  <c r="V10" i="34"/>
  <c r="AA27" i="34"/>
  <c r="S44" i="34"/>
  <c r="AA57" i="34"/>
  <c r="Y70" i="34"/>
  <c r="M19" i="34"/>
  <c r="S36" i="34"/>
  <c r="P51" i="34"/>
  <c r="U14" i="34"/>
  <c r="L29" i="34"/>
  <c r="N11" i="34"/>
  <c r="L24" i="34"/>
  <c r="J37" i="34"/>
  <c r="G11" i="34"/>
  <c r="E24" i="34"/>
  <c r="C37" i="34"/>
  <c r="B37" i="34" s="1"/>
  <c r="M17" i="34"/>
  <c r="K30" i="34"/>
  <c r="K11" i="34"/>
  <c r="R28" i="34"/>
  <c r="G45" i="34"/>
  <c r="M58" i="34"/>
  <c r="K71" i="34"/>
  <c r="C20" i="34"/>
  <c r="B20" i="34" s="1"/>
  <c r="Z11" i="34"/>
  <c r="X24" i="34"/>
  <c r="V37" i="34"/>
  <c r="S11" i="34"/>
  <c r="Q24" i="34"/>
  <c r="O37" i="34"/>
  <c r="Y17" i="34"/>
  <c r="W30" i="34"/>
  <c r="AB11" i="34"/>
  <c r="H29" i="34"/>
  <c r="T45" i="34"/>
  <c r="Y58" i="34"/>
  <c r="W71" i="34"/>
  <c r="R20" i="34"/>
  <c r="Y37" i="34"/>
  <c r="N52" i="34"/>
  <c r="F13" i="34"/>
  <c r="Y27" i="34"/>
  <c r="J13" i="34"/>
  <c r="H26" i="34"/>
  <c r="F39" i="34"/>
  <c r="C13" i="34"/>
  <c r="B13" i="34" s="1"/>
  <c r="AA25" i="34"/>
  <c r="Y38" i="34"/>
  <c r="I19" i="34"/>
  <c r="G32" i="34"/>
  <c r="X13" i="34"/>
  <c r="D31" i="34"/>
  <c r="G47" i="34"/>
  <c r="I60" i="34"/>
  <c r="G73" i="34"/>
  <c r="N22" i="34"/>
  <c r="U39" i="34"/>
  <c r="X53" i="34"/>
  <c r="C11" i="34"/>
  <c r="B11" i="34" s="1"/>
  <c r="T25" i="34"/>
  <c r="V13" i="34"/>
  <c r="T26" i="34"/>
  <c r="R39" i="34"/>
  <c r="O13" i="34"/>
  <c r="M26" i="34"/>
  <c r="K39" i="34"/>
  <c r="U19" i="34"/>
  <c r="S32" i="34"/>
  <c r="N14" i="34"/>
  <c r="S31" i="34"/>
  <c r="T47" i="34"/>
  <c r="U60" i="34"/>
  <c r="S73" i="34"/>
  <c r="E23" i="34"/>
  <c r="K40" i="34"/>
  <c r="J54" i="34"/>
  <c r="J10" i="34"/>
  <c r="AB24" i="34"/>
  <c r="H14" i="34"/>
  <c r="F27" i="34"/>
  <c r="D40" i="34"/>
  <c r="AA13" i="34"/>
  <c r="Y26" i="34"/>
  <c r="W39" i="34"/>
  <c r="G20" i="34"/>
  <c r="E33" i="34"/>
  <c r="C15" i="34"/>
  <c r="B15" i="34" s="1"/>
  <c r="J32" i="34"/>
  <c r="G48" i="34"/>
  <c r="G61" i="34"/>
  <c r="E74" i="34"/>
  <c r="U23" i="34"/>
  <c r="Z40" i="34"/>
  <c r="V54" i="34"/>
  <c r="T14" i="34"/>
  <c r="R27" i="34"/>
  <c r="P40" i="34"/>
  <c r="M14" i="34"/>
  <c r="K27" i="34"/>
  <c r="I40" i="34"/>
  <c r="S20" i="34"/>
  <c r="Q33" i="34"/>
  <c r="T15" i="34"/>
  <c r="Z32" i="34"/>
  <c r="T48" i="34"/>
  <c r="S61" i="34"/>
  <c r="Q74" i="34"/>
  <c r="J24" i="34"/>
  <c r="Q41" i="34"/>
  <c r="H55" i="34"/>
  <c r="X43" i="34"/>
  <c r="O23" i="34"/>
  <c r="F15" i="34"/>
  <c r="D28" i="34"/>
  <c r="AB40" i="34"/>
  <c r="Y14" i="34"/>
  <c r="W27" i="34"/>
  <c r="U40" i="34"/>
  <c r="E21" i="34"/>
  <c r="C34" i="34"/>
  <c r="B34" i="34" s="1"/>
  <c r="J16" i="34"/>
  <c r="O33" i="34"/>
  <c r="G49" i="34"/>
  <c r="E62" i="34"/>
  <c r="C75" i="34"/>
  <c r="B75" i="34" s="1"/>
  <c r="AA24" i="34"/>
  <c r="G42" i="34"/>
  <c r="T55" i="34"/>
  <c r="H43" i="34"/>
  <c r="V22" i="34"/>
  <c r="D16" i="34"/>
  <c r="AB28" i="34"/>
  <c r="Z41" i="34"/>
  <c r="W15" i="34"/>
  <c r="U28" i="34"/>
  <c r="S41" i="34"/>
  <c r="C22" i="34"/>
  <c r="B22" i="34" s="1"/>
  <c r="AA34" i="34"/>
  <c r="P17" i="34"/>
  <c r="V34" i="34"/>
  <c r="E50" i="34"/>
  <c r="C63" i="34"/>
  <c r="B63" i="34" s="1"/>
  <c r="AA75" i="34"/>
  <c r="F26" i="34"/>
  <c r="G43" i="34"/>
  <c r="R56" i="34"/>
  <c r="AA41" i="34"/>
  <c r="J21" i="34"/>
  <c r="N17" i="34"/>
  <c r="L30" i="34"/>
  <c r="J43" i="34"/>
  <c r="G17" i="34"/>
  <c r="E30" i="34"/>
  <c r="O10" i="34"/>
  <c r="M23" i="34"/>
  <c r="K36" i="34"/>
  <c r="L19" i="34"/>
  <c r="R36" i="34"/>
  <c r="O51" i="34"/>
  <c r="M64" i="34"/>
  <c r="W10" i="34"/>
  <c r="AB27" i="34"/>
  <c r="U44" i="34"/>
  <c r="D25" i="34"/>
  <c r="V39" i="34"/>
  <c r="D19" i="34"/>
  <c r="Z17" i="34"/>
  <c r="X30" i="34"/>
  <c r="V43" i="34"/>
  <c r="S17" i="34"/>
  <c r="Q30" i="34"/>
  <c r="AA10" i="34"/>
  <c r="Y23" i="34"/>
  <c r="W36" i="34"/>
  <c r="AB19" i="34"/>
  <c r="G37" i="34"/>
  <c r="AA51" i="34"/>
  <c r="Y64" i="34"/>
  <c r="L11" i="34"/>
  <c r="S28" i="34"/>
  <c r="H45" i="34"/>
  <c r="L12" i="34"/>
  <c r="S29" i="34"/>
  <c r="F34" i="34"/>
  <c r="H37" i="34"/>
  <c r="AB21" i="34"/>
  <c r="X12" i="34"/>
  <c r="C31" i="34"/>
  <c r="B31" i="34" s="1"/>
  <c r="K35" i="34"/>
  <c r="O38" i="34"/>
  <c r="O20" i="34"/>
  <c r="R15" i="34"/>
  <c r="AA37" i="34"/>
  <c r="AB35" i="34"/>
  <c r="D39" i="34"/>
  <c r="W19" i="34"/>
  <c r="P16" i="34"/>
  <c r="M38" i="34"/>
  <c r="X37" i="34"/>
  <c r="T42" i="34"/>
  <c r="J18" i="34"/>
  <c r="AB16" i="34"/>
  <c r="G41" i="34"/>
  <c r="G46" i="34"/>
  <c r="T43" i="34"/>
  <c r="R17" i="34"/>
  <c r="L18" i="34"/>
  <c r="E42" i="34"/>
  <c r="T46" i="34"/>
  <c r="G44" i="34"/>
  <c r="J25" i="34"/>
  <c r="C10" i="34"/>
  <c r="B10" i="34" s="1"/>
  <c r="S49" i="34"/>
  <c r="U45" i="34"/>
  <c r="I31" i="34"/>
  <c r="U31" i="34"/>
  <c r="V25" i="34"/>
  <c r="M11" i="34"/>
  <c r="Q50" i="34"/>
  <c r="AB51" i="34"/>
  <c r="P28" i="34"/>
  <c r="K18" i="34"/>
  <c r="C51" i="34"/>
  <c r="B51" i="34" s="1"/>
  <c r="Z52" i="34"/>
  <c r="AB13" i="34"/>
  <c r="N29" i="34"/>
  <c r="W18" i="34"/>
  <c r="M52" i="34"/>
  <c r="L53" i="34"/>
  <c r="L42" i="34"/>
  <c r="Z29" i="34"/>
  <c r="Q21" i="34"/>
  <c r="K59" i="34"/>
  <c r="F56" i="34"/>
  <c r="P23" i="34"/>
  <c r="J31" i="34"/>
  <c r="O22" i="34"/>
  <c r="W59" i="34"/>
  <c r="D57" i="34"/>
  <c r="AA63" i="34"/>
  <c r="H38" i="34"/>
  <c r="AA22" i="34"/>
  <c r="Q62" i="34"/>
  <c r="P57" i="34"/>
  <c r="T38" i="34"/>
  <c r="K24" i="34"/>
  <c r="O63" i="34"/>
  <c r="H24" i="34"/>
  <c r="N41" i="34"/>
  <c r="K65" i="34"/>
  <c r="X42" i="34"/>
  <c r="O34" i="34"/>
  <c r="I72" i="34"/>
  <c r="N12" i="34"/>
  <c r="H44" i="34"/>
  <c r="M35" i="34"/>
  <c r="U72" i="34"/>
  <c r="U11" i="34"/>
  <c r="E12" i="34"/>
  <c r="Y35" i="34"/>
  <c r="O75" i="34"/>
  <c r="M44" i="34"/>
  <c r="Q12" i="34"/>
  <c r="I37" i="34"/>
  <c r="M76" i="34"/>
  <c r="Q42" i="34"/>
  <c r="G13" i="34"/>
  <c r="N40" i="34"/>
  <c r="K15" i="34"/>
  <c r="R12" i="34"/>
  <c r="G10" i="34"/>
  <c r="H41" i="34"/>
  <c r="I16" i="34"/>
  <c r="C12" i="34"/>
  <c r="B12" i="34" s="1"/>
  <c r="C25" i="34"/>
  <c r="B25" i="34" s="1"/>
  <c r="U18" i="34"/>
  <c r="Q25" i="34"/>
  <c r="T28" i="34"/>
  <c r="O25" i="34"/>
  <c r="Q20" i="34"/>
  <c r="W26" i="34"/>
  <c r="G27" i="34"/>
  <c r="F18" i="34"/>
  <c r="Y16" i="34"/>
  <c r="G29" i="34"/>
  <c r="I28" i="34"/>
  <c r="E18" i="34"/>
  <c r="U16" i="34"/>
  <c r="C2" i="34"/>
  <c r="B2" i="34" s="1"/>
  <c r="B9" i="34" l="1"/>
  <c r="B6" i="34"/>
  <c r="B7" i="34"/>
  <c r="B8" i="34"/>
  <c r="B4" i="34"/>
  <c r="B3" i="34"/>
  <c r="B5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C86B376D-8339-43C6-AB06-835FBD02DE27}">
      <text>
        <r>
          <rPr>
            <b/>
            <sz val="11"/>
            <color indexed="81"/>
            <rFont val="細明體"/>
            <family val="3"/>
            <charset val="136"/>
          </rPr>
          <t>For 2M、3M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總</t>
        </r>
        <r>
          <rPr>
            <sz val="9"/>
            <color indexed="81"/>
            <rFont val="Tahoma"/>
            <family val="2"/>
          </rPr>
          <t>-1</t>
        </r>
        <r>
          <rPr>
            <sz val="9"/>
            <color indexed="81"/>
            <rFont val="細明體"/>
            <family val="3"/>
            <charset val="136"/>
          </rPr>
          <t>、總-2，以此類推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CC958710-6B27-47A7-AA61-FCE43BBF6921}">
      <text>
        <r>
          <rPr>
            <b/>
            <sz val="12"/>
            <color indexed="81"/>
            <rFont val="Tahoma"/>
            <family val="2"/>
          </rPr>
          <t>FOR 18M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18-1</t>
        </r>
        <r>
          <rPr>
            <sz val="9"/>
            <color indexed="81"/>
            <rFont val="細明體"/>
            <family val="3"/>
            <charset val="136"/>
          </rPr>
          <t>、18-2…以此類推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A20792BF-BC79-41F7-9593-DE8132052F14}">
      <text>
        <r>
          <rPr>
            <b/>
            <sz val="11"/>
            <color indexed="81"/>
            <rFont val="Tahoma"/>
            <family val="2"/>
          </rPr>
          <t>FOR  BOM</t>
        </r>
        <r>
          <rPr>
            <b/>
            <sz val="11"/>
            <color indexed="81"/>
            <rFont val="細明體"/>
            <family val="3"/>
            <charset val="136"/>
          </rPr>
          <t>、書、19M、20M、APL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全-1；全-2…以此類推</t>
        </r>
      </text>
    </comment>
  </commentList>
</comments>
</file>

<file path=xl/sharedStrings.xml><?xml version="1.0" encoding="utf-8"?>
<sst xmlns="http://schemas.openxmlformats.org/spreadsheetml/2006/main" count="2907" uniqueCount="1648">
  <si>
    <t>INC</t>
    <phoneticPr fontId="1" type="noConversion"/>
  </si>
  <si>
    <t>FIIG</t>
    <phoneticPr fontId="1" type="noConversion"/>
  </si>
  <si>
    <t>撥發單位</t>
    <phoneticPr fontId="1" type="noConversion"/>
  </si>
  <si>
    <t>美金單價</t>
    <phoneticPr fontId="1" type="noConversion"/>
  </si>
  <si>
    <t>艦型</t>
    <phoneticPr fontId="1" type="noConversion"/>
  </si>
  <si>
    <t>CID/NO.</t>
    <phoneticPr fontId="1" type="noConversion"/>
  </si>
  <si>
    <t>型式</t>
    <phoneticPr fontId="1" type="noConversion"/>
  </si>
  <si>
    <t>品名</t>
    <phoneticPr fontId="1" type="noConversion"/>
  </si>
  <si>
    <t>表單
編號</t>
    <phoneticPr fontId="1" type="noConversion"/>
  </si>
  <si>
    <t>文件來源</t>
    <phoneticPr fontId="1" type="noConversion"/>
  </si>
  <si>
    <t>製造商</t>
    <phoneticPr fontId="1" type="noConversion"/>
  </si>
  <si>
    <t>代理商</t>
    <phoneticPr fontId="1" type="noConversion"/>
  </si>
  <si>
    <t>消耗性代號</t>
    <phoneticPr fontId="1" type="noConversion"/>
  </si>
  <si>
    <t>圖片路徑</t>
    <phoneticPr fontId="1" type="noConversion"/>
  </si>
  <si>
    <t>中文品名</t>
    <phoneticPr fontId="1" type="noConversion"/>
  </si>
  <si>
    <t>YETL</t>
    <phoneticPr fontId="1" type="noConversion"/>
  </si>
  <si>
    <t>規格指示</t>
    <phoneticPr fontId="1" type="noConversion"/>
  </si>
  <si>
    <t>單位包裝量</t>
    <phoneticPr fontId="1" type="noConversion"/>
  </si>
  <si>
    <t>儲存型式</t>
    <phoneticPr fontId="1" type="noConversion"/>
  </si>
  <si>
    <t>機密性代號</t>
    <phoneticPr fontId="1" type="noConversion"/>
  </si>
  <si>
    <t>修理能量</t>
    <phoneticPr fontId="1" type="noConversion"/>
  </si>
  <si>
    <t>製造能量</t>
    <phoneticPr fontId="1" type="noConversion"/>
  </si>
  <si>
    <t>檔別代號</t>
    <phoneticPr fontId="1" type="noConversion"/>
  </si>
  <si>
    <t>P/N獲得
程度</t>
    <phoneticPr fontId="1" type="noConversion"/>
  </si>
  <si>
    <t>P/N獲得來源</t>
    <phoneticPr fontId="1" type="noConversion"/>
  </si>
  <si>
    <t>裝置數</t>
    <phoneticPr fontId="1" type="noConversion"/>
  </si>
  <si>
    <t>位置</t>
    <phoneticPr fontId="1" type="noConversion"/>
  </si>
  <si>
    <t>規格資料(1)
縮寫</t>
    <phoneticPr fontId="1" type="noConversion"/>
  </si>
  <si>
    <t>規格資料(1)翻譯</t>
    <phoneticPr fontId="1" type="noConversion"/>
  </si>
  <si>
    <t>規格資料(2)翻譯</t>
    <phoneticPr fontId="1" type="noConversion"/>
  </si>
  <si>
    <t>規格資料(3)縮寫</t>
    <phoneticPr fontId="1" type="noConversion"/>
  </si>
  <si>
    <t>規格資料(5)縮寫</t>
    <phoneticPr fontId="1" type="noConversion"/>
  </si>
  <si>
    <t>規格資料(1)
英文</t>
    <phoneticPr fontId="1" type="noConversion"/>
  </si>
  <si>
    <t>規格資料(2)
縮寫</t>
    <phoneticPr fontId="1" type="noConversion"/>
  </si>
  <si>
    <t>規格資料(2)
英文</t>
    <phoneticPr fontId="1" type="noConversion"/>
  </si>
  <si>
    <t>規格資料(3)
英文</t>
    <phoneticPr fontId="1" type="noConversion"/>
  </si>
  <si>
    <t>規格資料(3)
翻譯</t>
    <phoneticPr fontId="1" type="noConversion"/>
  </si>
  <si>
    <t>規格資料(4)
縮寫</t>
    <phoneticPr fontId="1" type="noConversion"/>
  </si>
  <si>
    <t>規格資料(4)
英文</t>
    <phoneticPr fontId="1" type="noConversion"/>
  </si>
  <si>
    <t>規格資料(4)
翻譯</t>
    <phoneticPr fontId="1" type="noConversion"/>
  </si>
  <si>
    <t>規格資料(5)
英文</t>
    <phoneticPr fontId="1" type="noConversion"/>
  </si>
  <si>
    <t>規格資料(5)
翻譯</t>
    <phoneticPr fontId="1" type="noConversion"/>
  </si>
  <si>
    <t>英答(1)</t>
    <phoneticPr fontId="1" type="noConversion"/>
  </si>
  <si>
    <t>中答(1)</t>
    <phoneticPr fontId="1" type="noConversion"/>
  </si>
  <si>
    <t>英答(2)</t>
    <phoneticPr fontId="1" type="noConversion"/>
  </si>
  <si>
    <t>中答(2)</t>
    <phoneticPr fontId="1" type="noConversion"/>
  </si>
  <si>
    <t>英答(3)</t>
    <phoneticPr fontId="1" type="noConversion"/>
  </si>
  <si>
    <t>中答(3)</t>
    <phoneticPr fontId="1" type="noConversion"/>
  </si>
  <si>
    <t>英答(4)</t>
    <phoneticPr fontId="1" type="noConversion"/>
  </si>
  <si>
    <t>中答(4)</t>
    <phoneticPr fontId="1" type="noConversion"/>
  </si>
  <si>
    <t>英答(5)</t>
    <phoneticPr fontId="1" type="noConversion"/>
  </si>
  <si>
    <t>中答(5)</t>
    <phoneticPr fontId="1" type="noConversion"/>
  </si>
  <si>
    <t>送審中</t>
    <phoneticPr fontId="1" type="noConversion"/>
  </si>
  <si>
    <t>繳交成功</t>
    <phoneticPr fontId="1" type="noConversion"/>
  </si>
  <si>
    <t>待送出</t>
    <phoneticPr fontId="1" type="noConversion"/>
  </si>
  <si>
    <t>申編單
提送狀態</t>
    <phoneticPr fontId="1" type="noConversion"/>
  </si>
  <si>
    <t>總計</t>
    <phoneticPr fontId="1" type="noConversion"/>
  </si>
  <si>
    <t>項次</t>
    <phoneticPr fontId="1" type="noConversion"/>
  </si>
  <si>
    <t>適用裝備
名稱</t>
    <phoneticPr fontId="1" type="noConversion"/>
  </si>
  <si>
    <t>統一組類別</t>
  </si>
  <si>
    <t>廠商英文品名</t>
    <phoneticPr fontId="1" type="noConversion"/>
  </si>
  <si>
    <t>武器系統代號</t>
    <phoneticPr fontId="8" type="noConversion"/>
  </si>
  <si>
    <t>會計編號</t>
    <phoneticPr fontId="1" type="noConversion"/>
  </si>
  <si>
    <t>廠商來源代號</t>
    <phoneticPr fontId="8" type="noConversion"/>
  </si>
  <si>
    <t>廠家登記代號</t>
    <phoneticPr fontId="8" type="noConversion"/>
  </si>
  <si>
    <t>存儲壽限代號</t>
    <phoneticPr fontId="1" type="noConversion"/>
  </si>
  <si>
    <t>品名代號</t>
    <phoneticPr fontId="1" type="noConversion"/>
  </si>
  <si>
    <t>海軍軍品來源</t>
    <phoneticPr fontId="1" type="noConversion"/>
  </si>
  <si>
    <t>壽限處理代號</t>
    <phoneticPr fontId="8" type="noConversion"/>
  </si>
  <si>
    <t>配件號碼(P/N)</t>
    <phoneticPr fontId="1" type="noConversion"/>
  </si>
  <si>
    <t>品項識別碼</t>
    <phoneticPr fontId="8" type="noConversion"/>
  </si>
  <si>
    <t>族群結構碼</t>
    <phoneticPr fontId="8" type="noConversion"/>
  </si>
  <si>
    <t>技術文件版別</t>
    <phoneticPr fontId="8" type="noConversion"/>
  </si>
  <si>
    <t>圖名/書名</t>
    <phoneticPr fontId="8" type="noConversion"/>
  </si>
  <si>
    <t>船廠圖號</t>
    <phoneticPr fontId="8" type="noConversion"/>
  </si>
  <si>
    <t>設計圖號</t>
    <phoneticPr fontId="8" type="noConversion"/>
  </si>
  <si>
    <t>C35</t>
  </si>
  <si>
    <t>EA</t>
  </si>
  <si>
    <t>1</t>
  </si>
  <si>
    <t>2</t>
  </si>
  <si>
    <t>B21317</t>
  </si>
  <si>
    <t>前/後機艙</t>
  </si>
  <si>
    <t>FFG</t>
  </si>
  <si>
    <t>項次</t>
    <phoneticPr fontId="9" type="noConversion"/>
  </si>
  <si>
    <t>ITEM
NO
PLSIN</t>
    <phoneticPr fontId="9" type="noConversion"/>
  </si>
  <si>
    <t>配件號碼
(P/N)</t>
    <phoneticPr fontId="9" type="noConversion"/>
  </si>
  <si>
    <t>英文名稱</t>
  </si>
  <si>
    <t>中文名稱</t>
  </si>
  <si>
    <t>料號
(NSN/NATO)</t>
    <phoneticPr fontId="9" type="noConversion"/>
  </si>
  <si>
    <t>單位</t>
    <phoneticPr fontId="9" type="noConversion"/>
  </si>
  <si>
    <t>美金
單價
(USD)</t>
    <phoneticPr fontId="9" type="noConversion"/>
  </si>
  <si>
    <t>交貨時間</t>
    <phoneticPr fontId="9" type="noConversion"/>
  </si>
  <si>
    <t>每百萬小時預估故障次數</t>
    <phoneticPr fontId="1" type="noConversion"/>
  </si>
  <si>
    <t>平均故障間隔(MTBF)
(小時)</t>
    <phoneticPr fontId="1" type="noConversion"/>
  </si>
  <si>
    <t>平均修護時間(MTTR)
(小時)</t>
    <phoneticPr fontId="1" type="noConversion"/>
  </si>
  <si>
    <t>是否為
可修件
(Y/N)</t>
    <phoneticPr fontId="9" type="noConversion"/>
  </si>
  <si>
    <t>資料類別</t>
  </si>
  <si>
    <t>資料來源文號</t>
  </si>
  <si>
    <t>ESWBS(五碼)</t>
  </si>
  <si>
    <t>有</t>
  </si>
  <si>
    <t>0001</t>
    <phoneticPr fontId="1" type="noConversion"/>
  </si>
  <si>
    <t>0002</t>
    <phoneticPr fontId="1" type="noConversion"/>
  </si>
  <si>
    <t>數量</t>
    <phoneticPr fontId="1" type="noConversion"/>
  </si>
  <si>
    <t>全艦裝置數</t>
    <phoneticPr fontId="9" type="noConversion"/>
  </si>
  <si>
    <t>NSN</t>
    <phoneticPr fontId="1" type="noConversion"/>
  </si>
  <si>
    <t>備註_廠商代號</t>
    <phoneticPr fontId="1" type="noConversion"/>
  </si>
  <si>
    <t>輔助列</t>
    <phoneticPr fontId="1" type="noConversion"/>
  </si>
  <si>
    <t>統一組類別</t>
    <phoneticPr fontId="1" type="noConversion"/>
  </si>
  <si>
    <t>英文品名</t>
    <phoneticPr fontId="1" type="noConversion"/>
  </si>
  <si>
    <t>參考號獲得程度</t>
    <phoneticPr fontId="8" type="noConversion"/>
  </si>
  <si>
    <t>參考號獲得來源</t>
    <phoneticPr fontId="8" type="noConversion"/>
  </si>
  <si>
    <t>單機識別碼(CID)</t>
    <phoneticPr fontId="8" type="noConversion"/>
  </si>
  <si>
    <t>有無料號</t>
    <phoneticPr fontId="1" type="noConversion"/>
  </si>
  <si>
    <t>無</t>
  </si>
  <si>
    <t>武器系統代號</t>
  </si>
  <si>
    <t>會計編號</t>
  </si>
  <si>
    <t>艦型</t>
  </si>
  <si>
    <t>參考號獲得程度</t>
  </si>
  <si>
    <t>參考號獲得來源</t>
  </si>
  <si>
    <t>中文品名(9字內)</t>
    <phoneticPr fontId="1" type="noConversion"/>
  </si>
  <si>
    <t>INC英文品名</t>
    <phoneticPr fontId="1" type="noConversion"/>
  </si>
  <si>
    <t>YETL</t>
  </si>
  <si>
    <t>D</t>
  </si>
  <si>
    <t>D</t>
    <phoneticPr fontId="1" type="noConversion"/>
  </si>
  <si>
    <t>上一層裝備(英)</t>
    <phoneticPr fontId="8" type="noConversion"/>
  </si>
  <si>
    <t>廠家製造商</t>
    <phoneticPr fontId="1" type="noConversion"/>
  </si>
  <si>
    <t>此顏色的標題</t>
    <phoneticPr fontId="1" type="noConversion"/>
  </si>
  <si>
    <t>欄位標題說明</t>
    <phoneticPr fontId="1" type="noConversion"/>
  </si>
  <si>
    <t>此檔案其他分頁中，紅色網底為填寫的基本資料的部分(會跟其他分頁有標深藍色網底的資料同步)</t>
    <phoneticPr fontId="1" type="noConversion"/>
  </si>
  <si>
    <t>此檔案其他分頁中，有標深藍色網底的整欄(1~100筆)都有下函數，跟紅色網底同步連結，所以已設定鎖定，因此不能填寫其他的值</t>
    <phoneticPr fontId="1" type="noConversion"/>
  </si>
  <si>
    <t>C</t>
  </si>
  <si>
    <t>I</t>
  </si>
  <si>
    <t>系統功能名稱(中+英)
(族群結構碼上的名稱)</t>
    <phoneticPr fontId="1" type="noConversion"/>
  </si>
  <si>
    <t>EQUIPMENT / COMPONENT NOMENCLATURE/CHARACTERISTICS</t>
    <phoneticPr fontId="1" type="noConversion"/>
  </si>
  <si>
    <t>TECHNICAL DOCUMENT
NUMBER</t>
    <phoneticPr fontId="1" type="noConversion"/>
  </si>
  <si>
    <t>MANUAL</t>
    <phoneticPr fontId="1" type="noConversion"/>
  </si>
  <si>
    <t>None</t>
    <phoneticPr fontId="1" type="noConversion"/>
  </si>
  <si>
    <t>IDENTIFICATION NO</t>
    <phoneticPr fontId="1" type="noConversion"/>
  </si>
  <si>
    <t>DATE</t>
    <phoneticPr fontId="1" type="noConversion"/>
  </si>
  <si>
    <t>PAGE</t>
    <phoneticPr fontId="1" type="noConversion"/>
  </si>
  <si>
    <t>PLAN</t>
    <phoneticPr fontId="1" type="noConversion"/>
  </si>
  <si>
    <t>2025/04/16</t>
    <phoneticPr fontId="1" type="noConversion"/>
  </si>
  <si>
    <t>P
A
R
T
M
E
C</t>
    <phoneticPr fontId="1" type="noConversion"/>
  </si>
  <si>
    <t>S
O
U
R
C
E</t>
    <phoneticPr fontId="1" type="noConversion"/>
  </si>
  <si>
    <t>M
A
I
N
T</t>
    <phoneticPr fontId="1" type="noConversion"/>
  </si>
  <si>
    <t>R
E
C
O
V
E
R</t>
    <phoneticPr fontId="1" type="noConversion"/>
  </si>
  <si>
    <t>N
O
T
E
S</t>
    <phoneticPr fontId="1" type="noConversion"/>
  </si>
  <si>
    <t>QTY
IN
ONE
EQPT COMP</t>
    <phoneticPr fontId="1" type="noConversion"/>
  </si>
  <si>
    <t>U
I</t>
    <phoneticPr fontId="1" type="noConversion"/>
  </si>
  <si>
    <t>ON BOARD ALLOWANCE TABLE</t>
    <phoneticPr fontId="1" type="noConversion"/>
  </si>
  <si>
    <t>NUMBER
OF EQUIPMENTS COMPONENTS</t>
    <phoneticPr fontId="1" type="noConversion"/>
  </si>
  <si>
    <t>5-8</t>
    <phoneticPr fontId="1" type="noConversion"/>
  </si>
  <si>
    <t>9-20</t>
    <phoneticPr fontId="1" type="noConversion"/>
  </si>
  <si>
    <t>21-50</t>
    <phoneticPr fontId="1" type="noConversion"/>
  </si>
  <si>
    <t>PART_ NO</t>
    <phoneticPr fontId="1" type="noConversion"/>
  </si>
  <si>
    <t>CAGE</t>
    <phoneticPr fontId="1" type="noConversion"/>
  </si>
  <si>
    <t>ITEM NAME</t>
    <phoneticPr fontId="1" type="noConversion"/>
  </si>
  <si>
    <t>N</t>
    <phoneticPr fontId="1" type="noConversion"/>
  </si>
  <si>
    <t>PA</t>
    <phoneticPr fontId="1" type="noConversion"/>
  </si>
  <si>
    <t>Z</t>
    <phoneticPr fontId="1" type="noConversion"/>
  </si>
  <si>
    <t>ˇ</t>
    <phoneticPr fontId="1" type="noConversion"/>
  </si>
  <si>
    <t>REFERENCE SYMBOL NO</t>
    <phoneticPr fontId="1" type="noConversion"/>
  </si>
  <si>
    <t>STOCK NUMBER</t>
    <phoneticPr fontId="1" type="noConversion"/>
  </si>
  <si>
    <t>FFG</t>
    <phoneticPr fontId="1" type="noConversion"/>
  </si>
  <si>
    <t>ALLOWANCE PARTS LISTS (APL)</t>
    <phoneticPr fontId="1" type="noConversion"/>
  </si>
  <si>
    <t>SHIP TYPE</t>
  </si>
  <si>
    <t>HULL NO</t>
    <phoneticPr fontId="1" type="noConversion"/>
  </si>
  <si>
    <t>0</t>
  </si>
  <si>
    <t>U</t>
  </si>
  <si>
    <t>M</t>
  </si>
  <si>
    <t>E</t>
  </si>
  <si>
    <t>00</t>
  </si>
  <si>
    <t>Y</t>
  </si>
  <si>
    <t>N</t>
  </si>
  <si>
    <t>CLQL</t>
  </si>
  <si>
    <t>COLLOQUIAL NAME</t>
  </si>
  <si>
    <t>口語名稱</t>
  </si>
  <si>
    <r>
      <rPr>
        <sz val="14"/>
        <color theme="1"/>
        <rFont val="標楷體"/>
        <family val="4"/>
        <charset val="136"/>
      </rPr>
      <t>單機配賦表</t>
    </r>
    <r>
      <rPr>
        <sz val="14"/>
        <color theme="1"/>
        <rFont val="Times New Roman"/>
        <family val="1"/>
      </rPr>
      <t>(APL)</t>
    </r>
    <phoneticPr fontId="1" type="noConversion"/>
  </si>
  <si>
    <t>*異動方式
(N新增、C修改、D刪除)</t>
    <phoneticPr fontId="1" type="noConversion"/>
  </si>
  <si>
    <t>MODIFY_TYPE</t>
    <phoneticPr fontId="1" type="noConversion"/>
  </si>
  <si>
    <t>*項次</t>
    <phoneticPr fontId="1" type="noConversion"/>
  </si>
  <si>
    <t>——</t>
    <phoneticPr fontId="1" type="noConversion"/>
  </si>
  <si>
    <t>IMPORT_ITEM_NUMBER</t>
    <phoneticPr fontId="1" type="noConversion"/>
  </si>
  <si>
    <t>N00001</t>
  </si>
  <si>
    <t>UNIT_ID</t>
  </si>
  <si>
    <t>N00009</t>
  </si>
  <si>
    <t>HSC</t>
  </si>
  <si>
    <t>組類別</t>
  </si>
  <si>
    <t>品項識別號</t>
  </si>
  <si>
    <t>N00013</t>
  </si>
  <si>
    <t>N05054</t>
  </si>
  <si>
    <t>N05086</t>
  </si>
  <si>
    <t>CID</t>
  </si>
  <si>
    <t>FSC</t>
  </si>
  <si>
    <t>NIIN</t>
  </si>
  <si>
    <t>N00075</t>
  </si>
  <si>
    <t>N00111</t>
  </si>
  <si>
    <t>ITEM_NAME_ENG</t>
  </si>
  <si>
    <t>ITEM_NAME_CHT</t>
  </si>
  <si>
    <t>裝備形式</t>
  </si>
  <si>
    <t>裝備代號</t>
  </si>
  <si>
    <t>N00077</t>
  </si>
  <si>
    <t>N00024</t>
  </si>
  <si>
    <t>COMPONENT_TYPE</t>
  </si>
  <si>
    <t>COMPONENT_ID</t>
  </si>
  <si>
    <t>上層適用裝備中文名稱</t>
  </si>
  <si>
    <t>N00014</t>
  </si>
  <si>
    <t>CSYS_NAME</t>
  </si>
  <si>
    <t>UPPER_LAYER_CID</t>
  </si>
  <si>
    <t>UPPER_LAYER_ITEM_NAME_CHT</t>
  </si>
  <si>
    <t>上層適用裝備英文名稱</t>
  </si>
  <si>
    <t>SYS_NAME</t>
  </si>
  <si>
    <t>UPPER_LAYER_ITEM_NAME_ENG</t>
  </si>
  <si>
    <t>同一類型數量</t>
  </si>
  <si>
    <t>N00015</t>
  </si>
  <si>
    <t>SAME_TYPE_COMPONENT_QUANTITY</t>
  </si>
  <si>
    <t>裝設地點</t>
  </si>
  <si>
    <t>N00026</t>
  </si>
  <si>
    <t>SETUP_PLACE</t>
  </si>
  <si>
    <t>N00051</t>
  </si>
  <si>
    <t>WARSHIP_TYPE</t>
  </si>
  <si>
    <t>ESEQ</t>
  </si>
  <si>
    <t>COMPONENT_SERIAL_NUMBER</t>
  </si>
  <si>
    <t>構型報告單位</t>
  </si>
  <si>
    <t>構型報告人員</t>
  </si>
  <si>
    <t>N00004</t>
  </si>
  <si>
    <t>N00005</t>
  </si>
  <si>
    <t>N00010</t>
  </si>
  <si>
    <t>CONFIG_UNIT</t>
  </si>
  <si>
    <t>CONFIG_USER</t>
  </si>
  <si>
    <t>MILITARY_IMPORTANCE_CODE</t>
  </si>
  <si>
    <t>一般性代碼</t>
  </si>
  <si>
    <t>N00011</t>
  </si>
  <si>
    <t>GENERAL_CODE</t>
  </si>
  <si>
    <t>安全等級</t>
  </si>
  <si>
    <t>原始序號</t>
  </si>
  <si>
    <t>N00012</t>
  </si>
  <si>
    <t>N00016</t>
  </si>
  <si>
    <t>SECURITY_LEVEL</t>
  </si>
  <si>
    <t>ORIGINAL_SERIAL_NUMBER</t>
  </si>
  <si>
    <t>VM_ESN類別</t>
  </si>
  <si>
    <t>原始資料代碼</t>
  </si>
  <si>
    <t>裝備供應者代碼</t>
  </si>
  <si>
    <t>N00017</t>
  </si>
  <si>
    <t>N00018</t>
  </si>
  <si>
    <t>N00019</t>
  </si>
  <si>
    <t>VM_ESN_CATEGORY</t>
  </si>
  <si>
    <t>ORIGINAL_DATA_CODE</t>
  </si>
  <si>
    <t>COMPONENT_SUPPLIER_CODE</t>
  </si>
  <si>
    <t>安裝圖號版別</t>
  </si>
  <si>
    <t>N00020</t>
  </si>
  <si>
    <t>N00021</t>
  </si>
  <si>
    <t>INSTALL_CHART_NUMBER</t>
  </si>
  <si>
    <t>INSTALL_CHART_NUMBER_VN</t>
  </si>
  <si>
    <t>安裝圖號元件編號</t>
  </si>
  <si>
    <t>安裝圖號數量</t>
  </si>
  <si>
    <t>N00022</t>
  </si>
  <si>
    <t>N00023</t>
  </si>
  <si>
    <t>INSTALL_CHART_NUMBER_EN</t>
  </si>
  <si>
    <t>INSTALL_CHART_NUMBER_QTY</t>
  </si>
  <si>
    <t>VM_ESN序號</t>
  </si>
  <si>
    <t>統計驗證代碼</t>
  </si>
  <si>
    <t>安裝狀況代碼</t>
  </si>
  <si>
    <t>裝備品管行動代碼</t>
  </si>
  <si>
    <t>次總成名稱</t>
  </si>
  <si>
    <t>N00027</t>
  </si>
  <si>
    <t>N00028</t>
  </si>
  <si>
    <t>N00029</t>
  </si>
  <si>
    <t>N00030</t>
  </si>
  <si>
    <t>N00031</t>
  </si>
  <si>
    <t>VM_ESN_SERIAL_NUMBER</t>
  </si>
  <si>
    <t>STATISTICAL_VERIFICATION_CODE</t>
  </si>
  <si>
    <t>INSTALL_STATUS_CODE</t>
  </si>
  <si>
    <t>COMPONENT_QC_ACTION_CODE</t>
  </si>
  <si>
    <t>SUB_ASSEMBLY_NAME</t>
  </si>
  <si>
    <t>未獲檢驗通過原因</t>
  </si>
  <si>
    <t>工作管制號碼</t>
  </si>
  <si>
    <t>構型變更表單頁次</t>
  </si>
  <si>
    <t>主裝備名稱</t>
  </si>
  <si>
    <t>構型報表日期</t>
  </si>
  <si>
    <t>N00032</t>
  </si>
  <si>
    <t>N00033</t>
  </si>
  <si>
    <t>N00034</t>
  </si>
  <si>
    <t>N00035</t>
  </si>
  <si>
    <t>N00036</t>
  </si>
  <si>
    <t>SURVEY_FAILED_CAUSE</t>
  </si>
  <si>
    <t>WORK_CONTORL_ID</t>
  </si>
  <si>
    <t>CHANGE_SHEET_CONFIG_PAGE</t>
  </si>
  <si>
    <t>MAIN_COMPONENT_NAME</t>
  </si>
  <si>
    <t>CONFIG_DATE</t>
  </si>
  <si>
    <t>後勤支援需求代號</t>
  </si>
  <si>
    <t>PWSF記錄狀況代碼</t>
  </si>
  <si>
    <t>船艦區域維護代碼</t>
  </si>
  <si>
    <t>負責維修之工作班代碼</t>
  </si>
  <si>
    <t>配賦處理代碼</t>
  </si>
  <si>
    <t>N00037</t>
  </si>
  <si>
    <t>N00038</t>
  </si>
  <si>
    <t>N00064</t>
  </si>
  <si>
    <t>N00065</t>
  </si>
  <si>
    <t>N00066</t>
  </si>
  <si>
    <t>LOGISTIC_SUPPORT_DEMAND_CODE</t>
  </si>
  <si>
    <t>PWSF_RECODE_STATUS_CODE</t>
  </si>
  <si>
    <t>MAINTAIN_CODE_WARSHIP_ZONE</t>
  </si>
  <si>
    <t>MAINTAIN_TEAM_CODE</t>
  </si>
  <si>
    <t>QUOTA_PROCESS_CODE</t>
  </si>
  <si>
    <t>輸入PWSF代碼</t>
  </si>
  <si>
    <t>廠商專用管制編號</t>
  </si>
  <si>
    <t>記錄轉移PWSF日期</t>
  </si>
  <si>
    <t>PSDN類別</t>
  </si>
  <si>
    <t>N00067</t>
  </si>
  <si>
    <t>N00068</t>
  </si>
  <si>
    <t>N00070</t>
  </si>
  <si>
    <t>N00130</t>
  </si>
  <si>
    <t>PWSF_INPUT_CODE</t>
  </si>
  <si>
    <t>FIRM_REGULATORY_NUMBER</t>
  </si>
  <si>
    <t>PWSF_DATE</t>
  </si>
  <si>
    <t>PSDN_CATEGORY</t>
  </si>
  <si>
    <t>採購來源文件編號</t>
  </si>
  <si>
    <t>N00142</t>
  </si>
  <si>
    <t>PURCHASE_SOURCE_DOC_NO</t>
  </si>
  <si>
    <t>採購來源文件項目編號</t>
  </si>
  <si>
    <t>配賦附錄表頁次</t>
  </si>
  <si>
    <t>APL日期</t>
  </si>
  <si>
    <t>廠商專用代碼</t>
  </si>
  <si>
    <t>N00143</t>
  </si>
  <si>
    <t>N00146</t>
  </si>
  <si>
    <t>N00147</t>
  </si>
  <si>
    <t>N00148</t>
  </si>
  <si>
    <t>N00149</t>
  </si>
  <si>
    <t>PURCHASE_SOURCE_DOC_ITEM_NO</t>
  </si>
  <si>
    <t>QUOTA_APPENDIX_TABLE_PAGE</t>
  </si>
  <si>
    <t>APL_DATE</t>
  </si>
  <si>
    <t>NEW_DATA_NUMBER</t>
  </si>
  <si>
    <t>FIRM_CODE</t>
  </si>
  <si>
    <t>設備類別</t>
  </si>
  <si>
    <t>N00159</t>
  </si>
  <si>
    <t>EQUIPMENT_CATEGORY</t>
  </si>
  <si>
    <t>變更代碼</t>
  </si>
  <si>
    <t>零附件號碼</t>
  </si>
  <si>
    <t>實際開工日期</t>
  </si>
  <si>
    <t>裝備識別代號</t>
  </si>
  <si>
    <t>N00164</t>
  </si>
  <si>
    <t>N05064</t>
  </si>
  <si>
    <t>N05865</t>
  </si>
  <si>
    <t>N05881</t>
  </si>
  <si>
    <t>N05882</t>
  </si>
  <si>
    <t>CHANGE_CODE</t>
  </si>
  <si>
    <t>ACCESSORY_NUMBER</t>
  </si>
  <si>
    <t>OPINION_PROCESS_CODE</t>
  </si>
  <si>
    <t>ACTUAL_OPERATION_DATE</t>
  </si>
  <si>
    <t>EQUIPMENT_SERIAL_NUMBER</t>
  </si>
  <si>
    <t>計劃完工日期</t>
  </si>
  <si>
    <t>上層RIN</t>
  </si>
  <si>
    <t>武器系統檔轉送標示</t>
  </si>
  <si>
    <t>單機識別代碼</t>
  </si>
  <si>
    <t>裝備組碼</t>
  </si>
  <si>
    <t>N05884</t>
  </si>
  <si>
    <t>N05886</t>
  </si>
  <si>
    <t>N06114</t>
  </si>
  <si>
    <t>N06115</t>
  </si>
  <si>
    <t>N06117</t>
  </si>
  <si>
    <t>PLAN_COMPLETION_DATE</t>
  </si>
  <si>
    <t>UPPER_LAYER_RIN</t>
  </si>
  <si>
    <t>WS_TRANSFER_MARK</t>
  </si>
  <si>
    <t>DEVICE_IDENTIFY_CODE</t>
  </si>
  <si>
    <t>COMPONENT_GRUOP_CODE</t>
  </si>
  <si>
    <t>記錄識別碼</t>
  </si>
  <si>
    <t>核裝日期</t>
  </si>
  <si>
    <t>核裝者</t>
  </si>
  <si>
    <t>核裝卡編號</t>
  </si>
  <si>
    <t>核裝意見</t>
  </si>
  <si>
    <t>N06118</t>
  </si>
  <si>
    <t>T00009</t>
  </si>
  <si>
    <t>T00010</t>
  </si>
  <si>
    <t>T00012</t>
  </si>
  <si>
    <t>T00018</t>
  </si>
  <si>
    <t>RECODE_IDENTIFY_CODE</t>
  </si>
  <si>
    <t>APPROVED_DATE</t>
  </si>
  <si>
    <t>APPROVED_USER</t>
  </si>
  <si>
    <t>APPROVED_CARD_NUMBER</t>
  </si>
  <si>
    <t>APPROVED_NOTE</t>
  </si>
  <si>
    <t>全艦裝置數</t>
  </si>
  <si>
    <t>武器級別(英)</t>
  </si>
  <si>
    <t>ALL_QTY</t>
  </si>
  <si>
    <t>DEVICE_TOTAL_QUANTITY</t>
  </si>
  <si>
    <t>WEAPIN_CATEGORY</t>
  </si>
  <si>
    <t>EIC</t>
  </si>
  <si>
    <t>請勿改動本欄與本列！</t>
    <phoneticPr fontId="9" type="noConversion"/>
  </si>
  <si>
    <t>Class</t>
  </si>
  <si>
    <t>CID</t>
    <phoneticPr fontId="1" type="noConversion"/>
  </si>
  <si>
    <t>N00073</t>
  </si>
  <si>
    <t>N00074</t>
  </si>
  <si>
    <t>N00076</t>
  </si>
  <si>
    <t>N00072</t>
  </si>
  <si>
    <t>N00078</t>
  </si>
  <si>
    <t>N00079</t>
  </si>
  <si>
    <t>N00080</t>
  </si>
  <si>
    <t>N00083</t>
  </si>
  <si>
    <t>N00116</t>
  </si>
  <si>
    <t>N00117</t>
  </si>
  <si>
    <t>N00118</t>
  </si>
  <si>
    <t>N00119</t>
  </si>
  <si>
    <t>N01438</t>
  </si>
  <si>
    <t>N05043</t>
  </si>
  <si>
    <t>N05084</t>
  </si>
  <si>
    <t>N05795</t>
  </si>
  <si>
    <t>NN0001</t>
  </si>
  <si>
    <t>*異動方式</t>
  </si>
  <si>
    <t>*會計編號</t>
  </si>
  <si>
    <t>*登錄號</t>
  </si>
  <si>
    <t>專案代號</t>
  </si>
  <si>
    <t>MODIFY_TYPE</t>
  </si>
  <si>
    <t>REGISTER_NO</t>
  </si>
  <si>
    <t>ESWBS</t>
  </si>
  <si>
    <t>DOC_CLASS</t>
  </si>
  <si>
    <t>PROJECT_CODE</t>
  </si>
  <si>
    <t>BOOK_INDEX</t>
  </si>
  <si>
    <t>DOC_VSERION</t>
  </si>
  <si>
    <t>CONFIDENCIAL_LEVEL</t>
  </si>
  <si>
    <t>標題</t>
  </si>
  <si>
    <t>出版單位別(出處/刊名)</t>
  </si>
  <si>
    <t>美軍庫儲號碼</t>
  </si>
  <si>
    <t>*服役現況</t>
  </si>
  <si>
    <t>備註</t>
  </si>
  <si>
    <t>*機密等級</t>
  </si>
  <si>
    <t>*儲放室</t>
  </si>
  <si>
    <t>保管單位</t>
  </si>
  <si>
    <t>BLUEPRINT_BOOK_NAME</t>
  </si>
  <si>
    <t>TITLE</t>
  </si>
  <si>
    <t>PUBLISH_ORG</t>
  </si>
  <si>
    <t>AUTHOR</t>
  </si>
  <si>
    <t>BOOK_BLUEPRINT_NO</t>
  </si>
  <si>
    <t>DATA_CLASS</t>
  </si>
  <si>
    <t>DATA_TYPE</t>
  </si>
  <si>
    <t>RECEIVED_DATE</t>
  </si>
  <si>
    <t>DATA_SOURCE_NO</t>
  </si>
  <si>
    <t>ALLOW_DOWNLOAD</t>
  </si>
  <si>
    <t>BOOK_LANGUAGE</t>
  </si>
  <si>
    <t>USA_NO</t>
  </si>
  <si>
    <t>SERVICE_STATUS</t>
  </si>
  <si>
    <t>REMARK</t>
  </si>
  <si>
    <t>STORE_ROOM</t>
  </si>
  <si>
    <t>STORE_PLACE</t>
  </si>
  <si>
    <t>DEPT_ID</t>
  </si>
  <si>
    <t>CN_TE003</t>
  </si>
  <si>
    <t>CN_TE004</t>
  </si>
  <si>
    <t>CN_TE007</t>
  </si>
  <si>
    <t>CN_TE008</t>
  </si>
  <si>
    <t>CN_TE020</t>
  </si>
  <si>
    <t>CN_TE021</t>
  </si>
  <si>
    <t>CN_TE023</t>
  </si>
  <si>
    <t>CN_TE024</t>
  </si>
  <si>
    <t>CN_TE025</t>
  </si>
  <si>
    <t>CN_TE027</t>
  </si>
  <si>
    <t>CN_TE031</t>
  </si>
  <si>
    <t>CN_TE032</t>
  </si>
  <si>
    <t>CN_TE033</t>
  </si>
  <si>
    <t>CN_TE042</t>
  </si>
  <si>
    <t>CN_TE049</t>
  </si>
  <si>
    <t>CN_TE050</t>
  </si>
  <si>
    <t>*單機識別碼</t>
    <phoneticPr fontId="8" type="noConversion"/>
  </si>
  <si>
    <t>*單機特性說明序號</t>
    <phoneticPr fontId="8" type="noConversion"/>
  </si>
  <si>
    <t>*單機特性說明</t>
    <phoneticPr fontId="8" type="noConversion"/>
  </si>
  <si>
    <t>N00013</t>
    <phoneticPr fontId="8" type="noConversion"/>
  </si>
  <si>
    <t>N05746</t>
    <phoneticPr fontId="8" type="noConversion"/>
  </si>
  <si>
    <t>N05745</t>
    <phoneticPr fontId="8" type="noConversion"/>
  </si>
  <si>
    <t>FEATURE_ID</t>
    <phoneticPr fontId="1" type="noConversion"/>
  </si>
  <si>
    <t>DESCRIBE</t>
    <phoneticPr fontId="1" type="noConversion"/>
  </si>
  <si>
    <t>單機零附件裝置數</t>
  </si>
  <si>
    <t>N05067</t>
  </si>
  <si>
    <t>ITEM_QUANTITY</t>
  </si>
  <si>
    <t>廠商代碼</t>
  </si>
  <si>
    <t>OSI品項識別號</t>
  </si>
  <si>
    <t>最小更換單位數量</t>
  </si>
  <si>
    <t>N06112</t>
  </si>
  <si>
    <t>N05038</t>
  </si>
  <si>
    <t>CAGE_SOURCE</t>
  </si>
  <si>
    <t>CAGE_FIRM</t>
  </si>
  <si>
    <t>OSI_NIIN</t>
  </si>
  <si>
    <t>REPLACE_MIN_QUANTITY</t>
  </si>
  <si>
    <t>額外配賦量</t>
  </si>
  <si>
    <t>額外配賦代碼</t>
  </si>
  <si>
    <t>單機零附件軍事重要代碼</t>
  </si>
  <si>
    <t>兵器數量調整代碼</t>
  </si>
  <si>
    <t>來源碼</t>
  </si>
  <si>
    <t>使用維護代碼</t>
  </si>
  <si>
    <t>維修保養代碼</t>
  </si>
  <si>
    <t>回復代碼</t>
  </si>
  <si>
    <t>配賦備註代碼</t>
  </si>
  <si>
    <t>配賦建議數量</t>
  </si>
  <si>
    <t>美軍來源碼　</t>
  </si>
  <si>
    <t>美軍使用維護代碼</t>
  </si>
  <si>
    <t>美軍維護保養代碼</t>
  </si>
  <si>
    <t>美軍回復代碼</t>
  </si>
  <si>
    <t>配賦品項代碼</t>
  </si>
  <si>
    <t>裝置單位/撥發單位轉換因子</t>
  </si>
  <si>
    <t>單位轉換因子小數位數</t>
  </si>
  <si>
    <t>維修代碼</t>
  </si>
  <si>
    <t>艦艇配賦攜行量1</t>
  </si>
  <si>
    <t>艦艇配賦攜行量2</t>
  </si>
  <si>
    <t>艦艇配賦攜行量3</t>
  </si>
  <si>
    <t>艦艇配賦攜行量4</t>
  </si>
  <si>
    <t>艦艇配賦攜行量5</t>
  </si>
  <si>
    <t>艦艇配賦攜行量6</t>
  </si>
  <si>
    <t>艦艇配賦攜行量7</t>
  </si>
  <si>
    <t>艦艇配賦攜行量8</t>
  </si>
  <si>
    <t>N05039</t>
  </si>
  <si>
    <t>N05040</t>
  </si>
  <si>
    <t>N05041</t>
  </si>
  <si>
    <t>N05068</t>
  </si>
  <si>
    <t>N05070</t>
  </si>
  <si>
    <t>N05071</t>
  </si>
  <si>
    <t>N05072</t>
  </si>
  <si>
    <t>N05073</t>
  </si>
  <si>
    <t>N05747</t>
  </si>
  <si>
    <t>N05808</t>
  </si>
  <si>
    <t>N06034</t>
  </si>
  <si>
    <t>N06035</t>
  </si>
  <si>
    <t>N06036</t>
  </si>
  <si>
    <t>N06037</t>
  </si>
  <si>
    <t>N06103</t>
  </si>
  <si>
    <t>N06138</t>
  </si>
  <si>
    <t>N06139</t>
  </si>
  <si>
    <t>SMR</t>
  </si>
  <si>
    <t>COL1</t>
  </si>
  <si>
    <t>COL2</t>
  </si>
  <si>
    <t>COL3</t>
  </si>
  <si>
    <t>COL4</t>
  </si>
  <si>
    <t>COL5</t>
  </si>
  <si>
    <t>COL6</t>
  </si>
  <si>
    <t>COL7</t>
  </si>
  <si>
    <t>COL8</t>
  </si>
  <si>
    <t>QUOTA_EXTRA</t>
  </si>
  <si>
    <t>QUOTA_EXTRA_CODE</t>
  </si>
  <si>
    <t>MILITARY_VITAL_CODE</t>
  </si>
  <si>
    <t>WEAPON_QUANTITY_ADJUST_CODE</t>
  </si>
  <si>
    <t>SOURCE_CODE</t>
  </si>
  <si>
    <t>MAINTAIN_CODE_USE</t>
  </si>
  <si>
    <t>MAINTAIN_CODE</t>
  </si>
  <si>
    <t>REFLEX_CODE</t>
  </si>
  <si>
    <t>QUOTA_NOTE_CODE</t>
  </si>
  <si>
    <t>QUOTA_RECOMMEND</t>
  </si>
  <si>
    <t>US_ARMY_SOURCE</t>
  </si>
  <si>
    <t>US_ARMY_MAINTAIN_CODE_USE</t>
  </si>
  <si>
    <t>US_ARMY_MAINTAIN_CODE</t>
  </si>
  <si>
    <t>US_ARMY_REFLEX_CODE</t>
  </si>
  <si>
    <t>QUOTA_ITEM_CODE</t>
  </si>
  <si>
    <t>CF_UNIT</t>
  </si>
  <si>
    <t>CF_DECIMAL_PLACE</t>
  </si>
  <si>
    <t>*異動方式
(N新增、C修改)</t>
  </si>
  <si>
    <t>*項次</t>
  </si>
  <si>
    <t>--</t>
  </si>
  <si>
    <t>IMPORT_ITEM_NUMBER</t>
  </si>
  <si>
    <t>*統一組類別</t>
  </si>
  <si>
    <t>*品項識別號</t>
  </si>
  <si>
    <t>*英文品名</t>
  </si>
  <si>
    <t>*中文品名</t>
  </si>
  <si>
    <t>N05035</t>
  </si>
  <si>
    <t>N05036</t>
  </si>
  <si>
    <t>N05764</t>
  </si>
  <si>
    <t>WS</t>
  </si>
  <si>
    <t>*撥發單位</t>
  </si>
  <si>
    <t>*單位包裝量</t>
  </si>
  <si>
    <t>N05037</t>
  </si>
  <si>
    <t>N05044</t>
  </si>
  <si>
    <t>N05761</t>
  </si>
  <si>
    <t>UI</t>
  </si>
  <si>
    <t>QUP</t>
  </si>
  <si>
    <t>SOS_NAVY</t>
  </si>
  <si>
    <t>*存儲壽限代號</t>
  </si>
  <si>
    <t>N05050</t>
  </si>
  <si>
    <t>FC</t>
  </si>
  <si>
    <t>SLC</t>
  </si>
  <si>
    <t>*品名代號</t>
  </si>
  <si>
    <t>*機密性代號</t>
  </si>
  <si>
    <t>消耗性代號</t>
  </si>
  <si>
    <t>INC</t>
  </si>
  <si>
    <t>N05762</t>
  </si>
  <si>
    <t>FC_DIFFERENCE</t>
  </si>
  <si>
    <t>SEC</t>
  </si>
  <si>
    <t>EC</t>
  </si>
  <si>
    <t>*規格指示</t>
  </si>
  <si>
    <t>*儲存型式</t>
  </si>
  <si>
    <t>*製造能量</t>
  </si>
  <si>
    <t>*修理能量</t>
  </si>
  <si>
    <t>ILI</t>
  </si>
  <si>
    <t>SSC</t>
  </si>
  <si>
    <t>N05051</t>
  </si>
  <si>
    <t>MC</t>
  </si>
  <si>
    <t>RC</t>
  </si>
  <si>
    <t>SLAC</t>
  </si>
  <si>
    <t>特種配件</t>
  </si>
  <si>
    <t>管制撥發</t>
  </si>
  <si>
    <t>廠家資料簽證</t>
  </si>
  <si>
    <t>管制標號</t>
  </si>
  <si>
    <t>F124</t>
  </si>
  <si>
    <t>F125</t>
  </si>
  <si>
    <t>F126</t>
  </si>
  <si>
    <t>F127</t>
  </si>
  <si>
    <t>COG</t>
  </si>
  <si>
    <t>SPECIAL_ACCESSORY</t>
  </si>
  <si>
    <t>REGULATORY_DISTINGUISH</t>
  </si>
  <si>
    <t>UNIT_PRICE_VISA</t>
  </si>
  <si>
    <t>REGULATORY_LABEL</t>
  </si>
  <si>
    <t>規格說明</t>
  </si>
  <si>
    <t>*美金單價</t>
  </si>
  <si>
    <t>重量(KG)</t>
  </si>
  <si>
    <t>抗爆震等級</t>
  </si>
  <si>
    <t>船廠暫編料號</t>
  </si>
  <si>
    <t>申請單位會計編號</t>
  </si>
  <si>
    <t>REGULATION</t>
  </si>
  <si>
    <t>N05023</t>
  </si>
  <si>
    <t>NN0004</t>
  </si>
  <si>
    <t>NN0002</t>
  </si>
  <si>
    <t>NN0003</t>
  </si>
  <si>
    <t>myNOTE</t>
  </si>
  <si>
    <t>NOTE_SPEC</t>
  </si>
  <si>
    <t>UNIT_PRICE</t>
  </si>
  <si>
    <t>WEIGHT</t>
  </si>
  <si>
    <t>ANTIKNOCK_GRADE</t>
  </si>
  <si>
    <t>SHIPYARD_TEMP_PART_NUMBER</t>
  </si>
  <si>
    <t>APPLICANT_UNIT</t>
  </si>
  <si>
    <t>NOTE</t>
  </si>
  <si>
    <t>R</t>
  </si>
  <si>
    <t>N</t>
    <phoneticPr fontId="1" type="noConversion"/>
  </si>
  <si>
    <t>上層適用裝備單機識別碼CID</t>
    <phoneticPr fontId="1" type="noConversion"/>
  </si>
  <si>
    <t>上一層裝備(中)</t>
    <phoneticPr fontId="1" type="noConversion"/>
  </si>
  <si>
    <t>JSSC</t>
    <phoneticPr fontId="1" type="noConversion"/>
  </si>
  <si>
    <t>ARS</t>
    <phoneticPr fontId="1" type="noConversion"/>
  </si>
  <si>
    <t>N</t>
    <phoneticPr fontId="1" type="noConversion"/>
  </si>
  <si>
    <t>A</t>
  </si>
  <si>
    <t>B</t>
  </si>
  <si>
    <t>機密</t>
  </si>
  <si>
    <t>5</t>
  </si>
  <si>
    <t>3</t>
  </si>
  <si>
    <t>極機密</t>
  </si>
  <si>
    <t>7</t>
  </si>
  <si>
    <t>4</t>
  </si>
  <si>
    <t>T</t>
  </si>
  <si>
    <t>W</t>
  </si>
  <si>
    <t>技術手冊</t>
  </si>
  <si>
    <t>光碟</t>
  </si>
  <si>
    <t>中文</t>
  </si>
  <si>
    <t>41</t>
  </si>
  <si>
    <t>技術文件</t>
  </si>
  <si>
    <t>數位</t>
  </si>
  <si>
    <t>英文</t>
  </si>
  <si>
    <t>技術命令/通報/公報</t>
  </si>
  <si>
    <t>微縮片</t>
  </si>
  <si>
    <t>日文</t>
  </si>
  <si>
    <t>非書資料</t>
  </si>
  <si>
    <t>幻燈片</t>
  </si>
  <si>
    <t>法文</t>
  </si>
  <si>
    <t>美軍標準作業手冊</t>
  </si>
  <si>
    <t>相片</t>
  </si>
  <si>
    <t>6</t>
  </si>
  <si>
    <t>軍書</t>
  </si>
  <si>
    <t>錄音帶</t>
  </si>
  <si>
    <t>海軍艦艇技術手冊</t>
  </si>
  <si>
    <t>錄影帶</t>
  </si>
  <si>
    <t>8</t>
  </si>
  <si>
    <t>航空技令</t>
  </si>
  <si>
    <t>紙本+光碟</t>
  </si>
  <si>
    <t>9</t>
  </si>
  <si>
    <t>採購合約</t>
  </si>
  <si>
    <t>紙本+微軟</t>
  </si>
  <si>
    <t>10</t>
  </si>
  <si>
    <t>規範</t>
  </si>
  <si>
    <t>紙本+磁片</t>
  </si>
  <si>
    <t>11</t>
  </si>
  <si>
    <t>報告</t>
  </si>
  <si>
    <t>紙本+數位</t>
  </si>
  <si>
    <t>12</t>
  </si>
  <si>
    <t>期刊/論文</t>
  </si>
  <si>
    <t>影印本</t>
  </si>
  <si>
    <t>13</t>
  </si>
  <si>
    <t>準則</t>
  </si>
  <si>
    <t>14</t>
  </si>
  <si>
    <t>裝備手冊</t>
  </si>
  <si>
    <t>15</t>
  </si>
  <si>
    <t>圖書</t>
  </si>
  <si>
    <t>16</t>
  </si>
  <si>
    <t>蒐集圖書參考資料</t>
  </si>
  <si>
    <t>17</t>
  </si>
  <si>
    <t>標準程序書</t>
  </si>
  <si>
    <t>20</t>
  </si>
  <si>
    <t>22</t>
  </si>
  <si>
    <t>23</t>
  </si>
  <si>
    <t>24</t>
  </si>
  <si>
    <t>25</t>
  </si>
  <si>
    <t>26</t>
  </si>
  <si>
    <t>27</t>
  </si>
  <si>
    <t>30</t>
  </si>
  <si>
    <t>35</t>
  </si>
  <si>
    <t>36</t>
  </si>
  <si>
    <t>39</t>
  </si>
  <si>
    <t>40</t>
  </si>
  <si>
    <t>機密等級</t>
    <phoneticPr fontId="1" type="noConversion"/>
  </si>
  <si>
    <t>資料類別</t>
    <phoneticPr fontId="1" type="noConversion"/>
  </si>
  <si>
    <t>資料類型</t>
    <phoneticPr fontId="1" type="noConversion"/>
  </si>
  <si>
    <t>語言</t>
    <phoneticPr fontId="1" type="noConversion"/>
  </si>
  <si>
    <t>零附件</t>
  </si>
  <si>
    <t>裝備</t>
  </si>
  <si>
    <t>彈藥</t>
  </si>
  <si>
    <t>Z</t>
  </si>
  <si>
    <t>聯勤乾電池</t>
  </si>
  <si>
    <t>裝備生產之料件</t>
  </si>
  <si>
    <t>一般補給品(含彈藥零附件)</t>
  </si>
  <si>
    <t>裝備(本軍自行區分，國防部無E)</t>
  </si>
  <si>
    <t>光一室</t>
  </si>
  <si>
    <t>水械裝具</t>
  </si>
  <si>
    <t>光二室</t>
  </si>
  <si>
    <t>G</t>
  </si>
  <si>
    <t>損管器材</t>
  </si>
  <si>
    <t>H</t>
  </si>
  <si>
    <t>高價</t>
  </si>
  <si>
    <t>軍書室</t>
  </si>
  <si>
    <t>J</t>
  </si>
  <si>
    <t>救難裝具</t>
  </si>
  <si>
    <t>保險</t>
  </si>
  <si>
    <t>專案室</t>
  </si>
  <si>
    <t>掃雷裝具</t>
  </si>
  <si>
    <t>保險及高價</t>
  </si>
  <si>
    <t>潛艇配件</t>
  </si>
  <si>
    <t>繳舊換新</t>
  </si>
  <si>
    <t>艦機輔降器材</t>
  </si>
  <si>
    <t>航安器材</t>
  </si>
  <si>
    <t>列管</t>
  </si>
  <si>
    <t>消耗性</t>
  </si>
  <si>
    <t>風向風速儀材料表(BOM)</t>
    <phoneticPr fontId="9" type="noConversion"/>
  </si>
  <si>
    <t>總</t>
    <phoneticPr fontId="1" type="noConversion"/>
  </si>
  <si>
    <t>品項識別碼(後五碼)</t>
    <phoneticPr fontId="8" type="noConversion"/>
  </si>
  <si>
    <t>*異動方式(N新增、C修改、D刪除)</t>
  </si>
  <si>
    <t>*族群結構碼HSC</t>
  </si>
  <si>
    <t>*單機識別碼CID</t>
  </si>
  <si>
    <t>上層適用裝備單機識別碼CID</t>
  </si>
  <si>
    <t>裝備序號</t>
  </si>
  <si>
    <t>軍事重要性代碼</t>
  </si>
  <si>
    <t>安裝圖號</t>
  </si>
  <si>
    <t>新增資料編號</t>
  </si>
  <si>
    <t>處理意見代碼</t>
  </si>
  <si>
    <t>N00227</t>
  </si>
  <si>
    <t>*異動方式
(N新增、C修改、D刪除)</t>
  </si>
  <si>
    <t>*單機識別碼</t>
  </si>
  <si>
    <t>料號(品項識別號)</t>
  </si>
  <si>
    <t>*裝備英文名稱</t>
  </si>
  <si>
    <t>*裝備中文名稱</t>
  </si>
  <si>
    <t>——</t>
  </si>
  <si>
    <t>裝備識別編號</t>
  </si>
  <si>
    <t>國家料號</t>
  </si>
  <si>
    <t>供補管制單位代碼</t>
  </si>
  <si>
    <t>PWSF紀錄狀況代碼</t>
  </si>
  <si>
    <t>子類別代碼</t>
  </si>
  <si>
    <t>COMPONENT_IDENTIFY_NUMBER</t>
  </si>
  <si>
    <t>NCB_PART_NUMBER</t>
  </si>
  <si>
    <t>SUPPLY_CONTORL_UNIT_ID</t>
  </si>
  <si>
    <t>PWSF_STATUS_CODE</t>
  </si>
  <si>
    <t>SUBCATEGORY_ID</t>
  </si>
  <si>
    <t>主要裝備代號</t>
  </si>
  <si>
    <t>目錄代碼</t>
  </si>
  <si>
    <t>裝備維修等級代碼</t>
  </si>
  <si>
    <t>技術碼認單位</t>
  </si>
  <si>
    <t>紀錄轉移PWSF日期</t>
  </si>
  <si>
    <t>MAIN_COMPONENT_ID</t>
  </si>
  <si>
    <t>LIST_CODE</t>
  </si>
  <si>
    <t>MAINTENANCE_LEVEL_CODE</t>
  </si>
  <si>
    <t>TECHNICAL_CONFIRM_UNIT</t>
  </si>
  <si>
    <t>PWSF_RECORD_TRANSFER_DATE</t>
  </si>
  <si>
    <t>後勤支援狀況代碼</t>
  </si>
  <si>
    <t>單機註解</t>
  </si>
  <si>
    <t>主導單機識別碼</t>
  </si>
  <si>
    <t>單機狀況代碼</t>
  </si>
  <si>
    <t>廠商來源代號</t>
  </si>
  <si>
    <t>機密等級代碼</t>
  </si>
  <si>
    <t>LOGISTIC_SUPPORT_STATUS_CODE</t>
  </si>
  <si>
    <t>MASTER_CID</t>
  </si>
  <si>
    <t>COMPONENT_STATUS_CODE</t>
  </si>
  <si>
    <t>技術識別代碼</t>
  </si>
  <si>
    <t>軍事重要代碼</t>
  </si>
  <si>
    <t>TECHNIQUE_IDENTIFY_CODE</t>
  </si>
  <si>
    <t>單機零附件裝置單位(撥發單位)</t>
  </si>
  <si>
    <t>N06110</t>
  </si>
  <si>
    <t>UNIT_PACKING</t>
  </si>
  <si>
    <t>ESEQ</t>
    <phoneticPr fontId="1" type="noConversion"/>
  </si>
  <si>
    <t>裝備序號</t>
    <phoneticPr fontId="1" type="noConversion"/>
  </si>
  <si>
    <t>*武器系統代號</t>
  </si>
  <si>
    <t>來源代號</t>
  </si>
  <si>
    <t>檔別代號</t>
  </si>
  <si>
    <t>檔別區分</t>
  </si>
  <si>
    <t>F122</t>
  </si>
  <si>
    <t>*處理代號(壽限處理)</t>
  </si>
  <si>
    <t>MAGNETISM</t>
  </si>
  <si>
    <t>磁性代號</t>
    <phoneticPr fontId="1" type="noConversion"/>
  </si>
  <si>
    <t>廠家登記代號</t>
  </si>
  <si>
    <t>參考號碼(P/N)</t>
  </si>
  <si>
    <t>N05065</t>
  </si>
  <si>
    <t>N05078</t>
  </si>
  <si>
    <t>MAKER_REGISTER_CODE</t>
  </si>
  <si>
    <t>PN_VARIATION_CODE</t>
  </si>
  <si>
    <t>PN_CATEGORY_CODE</t>
  </si>
  <si>
    <t>N01524</t>
  </si>
  <si>
    <t>US_DEL</t>
  </si>
  <si>
    <t>美軍停用</t>
    <phoneticPr fontId="1" type="noConversion"/>
  </si>
  <si>
    <t>*管理識別代號</t>
  </si>
  <si>
    <t>N03216</t>
  </si>
  <si>
    <t>MANAGEMENT_CODE</t>
  </si>
  <si>
    <t>*品項識別碼</t>
  </si>
  <si>
    <t>*配件號碼</t>
  </si>
  <si>
    <t>*廠商來源代號</t>
  </si>
  <si>
    <t>*廠家登記代號</t>
  </si>
  <si>
    <t>參考號碼變化代號</t>
  </si>
  <si>
    <t>參考號碼類別代號</t>
  </si>
  <si>
    <t>艦型/艦艇別</t>
  </si>
  <si>
    <t>PROJECT_NAME</t>
  </si>
  <si>
    <t>*索書號</t>
  </si>
  <si>
    <t>CN-TE002</t>
  </si>
  <si>
    <t>族群結構碼(ESWBS)</t>
  </si>
  <si>
    <t>*書名</t>
  </si>
  <si>
    <t>作者</t>
  </si>
  <si>
    <t>*版次</t>
  </si>
  <si>
    <t>後勤文件類別</t>
  </si>
  <si>
    <t>CN_TE005</t>
  </si>
  <si>
    <t>CN_TE051</t>
  </si>
  <si>
    <t>*資料類型</t>
  </si>
  <si>
    <t>*語言</t>
  </si>
  <si>
    <t>原始書號</t>
  </si>
  <si>
    <t>出版日</t>
  </si>
  <si>
    <t>*海發帳籍數量</t>
  </si>
  <si>
    <t>QUANTITY</t>
  </si>
  <si>
    <t>ROOMTYPE</t>
  </si>
  <si>
    <t>儲位</t>
  </si>
  <si>
    <t>汰除/裁撤日期</t>
  </si>
  <si>
    <t>SERVICE_CHANGE_DATE</t>
  </si>
  <si>
    <t>是否開放電子檔下載</t>
  </si>
  <si>
    <t>2025/04/16</t>
    <phoneticPr fontId="1" type="noConversion"/>
  </si>
  <si>
    <t>新增</t>
  </si>
  <si>
    <t>001</t>
  </si>
  <si>
    <t>通用</t>
  </si>
  <si>
    <t>補給類</t>
  </si>
  <si>
    <t>普通</t>
  </si>
  <si>
    <t>修改</t>
  </si>
  <si>
    <t>002</t>
  </si>
  <si>
    <t>500MD</t>
  </si>
  <si>
    <t>控制</t>
  </si>
  <si>
    <t>美軍技術通報</t>
  </si>
  <si>
    <t>技術命令/公報/通報</t>
  </si>
  <si>
    <t>密</t>
  </si>
  <si>
    <t>刪除</t>
  </si>
  <si>
    <t>003</t>
  </si>
  <si>
    <t>E-2T</t>
  </si>
  <si>
    <t>參考資料</t>
  </si>
  <si>
    <t>發電機調速器調校方法</t>
  </si>
  <si>
    <t>期刊論文</t>
  </si>
  <si>
    <t>004</t>
  </si>
  <si>
    <t>FAB(飛彈快艇)</t>
  </si>
  <si>
    <t>聲納</t>
  </si>
  <si>
    <t>紙本(簡體)</t>
  </si>
  <si>
    <t>005</t>
  </si>
  <si>
    <t>LCM(8)艇</t>
  </si>
  <si>
    <t>魚雷管</t>
  </si>
  <si>
    <t>紙本+光碟片</t>
  </si>
  <si>
    <t>荷蘭文</t>
  </si>
  <si>
    <t>圖書室</t>
  </si>
  <si>
    <t>006</t>
  </si>
  <si>
    <t>P-3C</t>
  </si>
  <si>
    <t>訓練</t>
  </si>
  <si>
    <t>紙本,數位檔</t>
  </si>
  <si>
    <t>地下室</t>
  </si>
  <si>
    <t>007</t>
  </si>
  <si>
    <t>S2T</t>
  </si>
  <si>
    <t>通信</t>
  </si>
  <si>
    <t>紙本,附光碟片</t>
  </si>
  <si>
    <t>軍事室</t>
  </si>
  <si>
    <t>008</t>
  </si>
  <si>
    <t>S70</t>
  </si>
  <si>
    <t>電瓶</t>
  </si>
  <si>
    <t>表格</t>
  </si>
  <si>
    <t>WSF系統</t>
  </si>
  <si>
    <t>009</t>
  </si>
  <si>
    <t>YTB艇</t>
  </si>
  <si>
    <t>技術類</t>
  </si>
  <si>
    <t>技術命令</t>
  </si>
  <si>
    <t>010</t>
  </si>
  <si>
    <t>人員運輸艇</t>
  </si>
  <si>
    <t>管理類</t>
  </si>
  <si>
    <t>磁片</t>
  </si>
  <si>
    <t>011</t>
  </si>
  <si>
    <t>大屯艦</t>
  </si>
  <si>
    <t>紙本+數位檔</t>
  </si>
  <si>
    <t>012</t>
  </si>
  <si>
    <t>大台艦</t>
  </si>
  <si>
    <t>射控</t>
  </si>
  <si>
    <t>紙本,附磁片</t>
  </si>
  <si>
    <t>013</t>
  </si>
  <si>
    <t>大字號</t>
  </si>
  <si>
    <t>系統</t>
  </si>
  <si>
    <t>技術通報</t>
  </si>
  <si>
    <t>014</t>
  </si>
  <si>
    <t>大字號艦</t>
  </si>
  <si>
    <t>潛望鏡</t>
  </si>
  <si>
    <t>光碟+數位</t>
  </si>
  <si>
    <t>015</t>
  </si>
  <si>
    <t>大岡艦</t>
  </si>
  <si>
    <t>電機料配件</t>
  </si>
  <si>
    <t>後錨機汽油引擎換用GM-671引擎</t>
  </si>
  <si>
    <t>016</t>
  </si>
  <si>
    <t>大峰艦</t>
  </si>
  <si>
    <t>技術公報</t>
  </si>
  <si>
    <t>017</t>
  </si>
  <si>
    <t>大雪艦</t>
  </si>
  <si>
    <t>018</t>
  </si>
  <si>
    <t>大湖艦</t>
  </si>
  <si>
    <t>019</t>
  </si>
  <si>
    <t>大萬艦</t>
  </si>
  <si>
    <t>020</t>
  </si>
  <si>
    <t>大漢艦</t>
  </si>
  <si>
    <t>021</t>
  </si>
  <si>
    <t>子儀艦</t>
  </si>
  <si>
    <t>022</t>
  </si>
  <si>
    <t>中平艦</t>
  </si>
  <si>
    <t>023</t>
  </si>
  <si>
    <t>中正艦</t>
  </si>
  <si>
    <t>024</t>
  </si>
  <si>
    <t>中光艦</t>
  </si>
  <si>
    <t>025</t>
  </si>
  <si>
    <t>中字號</t>
  </si>
  <si>
    <t>026</t>
  </si>
  <si>
    <t>中和級艦</t>
  </si>
  <si>
    <t>027</t>
  </si>
  <si>
    <t>中和艦</t>
  </si>
  <si>
    <t>028</t>
  </si>
  <si>
    <t>中明艦</t>
  </si>
  <si>
    <t>紙本</t>
  </si>
  <si>
    <t>029</t>
  </si>
  <si>
    <t>中治艦</t>
  </si>
  <si>
    <t>030</t>
  </si>
  <si>
    <t>中海級艦</t>
  </si>
  <si>
    <t>031</t>
  </si>
  <si>
    <t>中強艦</t>
  </si>
  <si>
    <t>032</t>
  </si>
  <si>
    <t>中啟軍艦</t>
  </si>
  <si>
    <t>033</t>
  </si>
  <si>
    <t>中啟艦</t>
  </si>
  <si>
    <t>034</t>
  </si>
  <si>
    <t>中業軍艦</t>
  </si>
  <si>
    <t>035</t>
  </si>
  <si>
    <t>中業艦</t>
  </si>
  <si>
    <t>036</t>
  </si>
  <si>
    <t>中肇艦</t>
  </si>
  <si>
    <t>037</t>
  </si>
  <si>
    <t>平實案</t>
  </si>
  <si>
    <t>038</t>
  </si>
  <si>
    <t>正陽艦</t>
  </si>
  <si>
    <t>039</t>
  </si>
  <si>
    <t>永川艦</t>
  </si>
  <si>
    <t>040</t>
  </si>
  <si>
    <t>永仁艦</t>
  </si>
  <si>
    <t>041</t>
  </si>
  <si>
    <t>永字號</t>
  </si>
  <si>
    <t>042</t>
  </si>
  <si>
    <t>永固艦</t>
  </si>
  <si>
    <t>043</t>
  </si>
  <si>
    <t>永定軍艦</t>
  </si>
  <si>
    <t>044</t>
  </si>
  <si>
    <t>永捷專案</t>
  </si>
  <si>
    <t>045</t>
  </si>
  <si>
    <t>永陽級艦</t>
  </si>
  <si>
    <t>046</t>
  </si>
  <si>
    <t>永陽艦</t>
  </si>
  <si>
    <t>047</t>
  </si>
  <si>
    <t>永順艦</t>
  </si>
  <si>
    <t>048</t>
  </si>
  <si>
    <t>永慈艦</t>
  </si>
  <si>
    <t>049</t>
  </si>
  <si>
    <t>永綏艦</t>
  </si>
  <si>
    <t>050</t>
  </si>
  <si>
    <t>永靖級艦</t>
  </si>
  <si>
    <t>051</t>
  </si>
  <si>
    <t>永嘉艦</t>
  </si>
  <si>
    <t>052</t>
  </si>
  <si>
    <t>永福艦</t>
  </si>
  <si>
    <t>053</t>
  </si>
  <si>
    <t>永豐級艦</t>
  </si>
  <si>
    <t>054</t>
  </si>
  <si>
    <t>永豐級艦(靖海案)</t>
  </si>
  <si>
    <t>055</t>
  </si>
  <si>
    <t>永豐艦</t>
  </si>
  <si>
    <t>056</t>
  </si>
  <si>
    <t>光六案後續艇</t>
  </si>
  <si>
    <t>057</t>
  </si>
  <si>
    <t>光六案原型艇</t>
  </si>
  <si>
    <t>058</t>
  </si>
  <si>
    <t>先鋒案</t>
  </si>
  <si>
    <t>059</t>
  </si>
  <si>
    <t>吊桿船</t>
  </si>
  <si>
    <t>060</t>
  </si>
  <si>
    <t>合川艇</t>
  </si>
  <si>
    <t>061</t>
  </si>
  <si>
    <t>合永艇</t>
  </si>
  <si>
    <t>062</t>
  </si>
  <si>
    <t>合字艇</t>
  </si>
  <si>
    <t>063</t>
  </si>
  <si>
    <t>合字號</t>
  </si>
  <si>
    <t>064</t>
  </si>
  <si>
    <t>合忠艇</t>
  </si>
  <si>
    <t>065</t>
  </si>
  <si>
    <t>合春艇</t>
  </si>
  <si>
    <t>066</t>
  </si>
  <si>
    <t>合茂艇</t>
  </si>
  <si>
    <t>067</t>
  </si>
  <si>
    <t>合貞艇</t>
  </si>
  <si>
    <t>068</t>
  </si>
  <si>
    <t>合風艇</t>
  </si>
  <si>
    <t>069</t>
  </si>
  <si>
    <t>合壽艇</t>
  </si>
  <si>
    <t>070</t>
  </si>
  <si>
    <t>合潮艇</t>
  </si>
  <si>
    <t>071</t>
  </si>
  <si>
    <t>合耀艇</t>
  </si>
  <si>
    <t>072</t>
  </si>
  <si>
    <t>成功級艦</t>
  </si>
  <si>
    <t>073</t>
  </si>
  <si>
    <t>成功級艦(ACS案)</t>
  </si>
  <si>
    <t>074</t>
  </si>
  <si>
    <t>旭海艦</t>
  </si>
  <si>
    <t>075</t>
  </si>
  <si>
    <t>西寧艦</t>
  </si>
  <si>
    <t>076</t>
  </si>
  <si>
    <t>兩棲突擊車</t>
  </si>
  <si>
    <t>077</t>
  </si>
  <si>
    <t>兩棲船塢艦</t>
  </si>
  <si>
    <t>078</t>
  </si>
  <si>
    <t>忠義案</t>
  </si>
  <si>
    <t>079</t>
  </si>
  <si>
    <t>承海計畫</t>
  </si>
  <si>
    <t>080</t>
  </si>
  <si>
    <t>拖船(1200HP)</t>
  </si>
  <si>
    <t>081</t>
  </si>
  <si>
    <t>拖船(1800HP)</t>
  </si>
  <si>
    <t>082</t>
  </si>
  <si>
    <t>昌江艦</t>
  </si>
  <si>
    <t>083</t>
  </si>
  <si>
    <t>武岡艦</t>
  </si>
  <si>
    <t>084</t>
  </si>
  <si>
    <t>武昌艦</t>
  </si>
  <si>
    <t>085</t>
  </si>
  <si>
    <t>沱江級艦</t>
  </si>
  <si>
    <t>086</t>
  </si>
  <si>
    <t>油彈補給艦(AOE案)</t>
  </si>
  <si>
    <t>087</t>
  </si>
  <si>
    <t>邵陽艦</t>
  </si>
  <si>
    <t>088</t>
  </si>
  <si>
    <t>咸陽艦</t>
  </si>
  <si>
    <t>089</t>
  </si>
  <si>
    <t>建陽艦</t>
  </si>
  <si>
    <t>090</t>
  </si>
  <si>
    <t>派里級艦</t>
  </si>
  <si>
    <t>091</t>
  </si>
  <si>
    <t>美平艦</t>
  </si>
  <si>
    <t>092</t>
  </si>
  <si>
    <t>美字號</t>
  </si>
  <si>
    <t>093</t>
  </si>
  <si>
    <t>海昌計畫</t>
  </si>
  <si>
    <t>094</t>
  </si>
  <si>
    <t>海洋測量艦</t>
  </si>
  <si>
    <t>095</t>
  </si>
  <si>
    <t>海洋測量艦(海測案)</t>
  </si>
  <si>
    <t>096</t>
  </si>
  <si>
    <t>海陽艦</t>
  </si>
  <si>
    <t>097</t>
  </si>
  <si>
    <t>海獅級潛艦</t>
  </si>
  <si>
    <t>098</t>
  </si>
  <si>
    <t>海獅艦</t>
  </si>
  <si>
    <t>099</t>
  </si>
  <si>
    <t>海龍級潛艦</t>
  </si>
  <si>
    <t>100</t>
  </si>
  <si>
    <t>海龍艦</t>
  </si>
  <si>
    <t>101</t>
  </si>
  <si>
    <t>班超艦</t>
  </si>
  <si>
    <t>102</t>
  </si>
  <si>
    <t>追風計畫</t>
  </si>
  <si>
    <t>103</t>
  </si>
  <si>
    <t>高江艦</t>
  </si>
  <si>
    <t>104</t>
  </si>
  <si>
    <t>基隆級艦</t>
  </si>
  <si>
    <t>105</t>
  </si>
  <si>
    <t>基隆級艦(光七案)</t>
  </si>
  <si>
    <t>106</t>
  </si>
  <si>
    <t>康定級艦</t>
  </si>
  <si>
    <t>107</t>
  </si>
  <si>
    <t>張騫艦</t>
  </si>
  <si>
    <t>108</t>
  </si>
  <si>
    <t>淡江艦</t>
  </si>
  <si>
    <t>109</t>
  </si>
  <si>
    <t>通信隊</t>
  </si>
  <si>
    <t>110</t>
  </si>
  <si>
    <t>陸戰隊履車</t>
  </si>
  <si>
    <t>111</t>
  </si>
  <si>
    <t>博勝案</t>
  </si>
  <si>
    <t>112</t>
  </si>
  <si>
    <t>惠陽艦</t>
  </si>
  <si>
    <t>113</t>
  </si>
  <si>
    <t>港巡艦(自勵案)</t>
  </si>
  <si>
    <t>114</t>
  </si>
  <si>
    <t>湘江艦</t>
  </si>
  <si>
    <t>115</t>
  </si>
  <si>
    <t>測量艦(16米案)</t>
  </si>
  <si>
    <t>116</t>
  </si>
  <si>
    <t>陽字號</t>
  </si>
  <si>
    <t>117</t>
  </si>
  <si>
    <t>雲峰艦</t>
  </si>
  <si>
    <t>118</t>
  </si>
  <si>
    <t>雲陽艦</t>
  </si>
  <si>
    <t>119</t>
  </si>
  <si>
    <t>新江艦</t>
  </si>
  <si>
    <t>120</t>
  </si>
  <si>
    <t>新拖級</t>
  </si>
  <si>
    <t>121</t>
  </si>
  <si>
    <t>新康艦</t>
  </si>
  <si>
    <t>122</t>
  </si>
  <si>
    <t>萬壽艦</t>
  </si>
  <si>
    <t>123</t>
  </si>
  <si>
    <t>寧陽艦</t>
  </si>
  <si>
    <t>124</t>
  </si>
  <si>
    <t>鳳陽艦</t>
  </si>
  <si>
    <t>125</t>
  </si>
  <si>
    <t>磐石軍艦</t>
  </si>
  <si>
    <t>126</t>
  </si>
  <si>
    <t>磐石艦</t>
  </si>
  <si>
    <t>127</t>
  </si>
  <si>
    <t>興龍艦</t>
  </si>
  <si>
    <t>128</t>
  </si>
  <si>
    <t>錦江級艦</t>
  </si>
  <si>
    <t>129</t>
  </si>
  <si>
    <t>錦江級艦(光三案)</t>
  </si>
  <si>
    <t>130</t>
  </si>
  <si>
    <t>濟陽級</t>
  </si>
  <si>
    <t>131</t>
  </si>
  <si>
    <t>濟陽級艦</t>
  </si>
  <si>
    <t>132</t>
  </si>
  <si>
    <t>濟陽艦</t>
  </si>
  <si>
    <t>133</t>
  </si>
  <si>
    <t>襄陽艦</t>
  </si>
  <si>
    <t>134</t>
  </si>
  <si>
    <t>瀋陽艦</t>
  </si>
  <si>
    <t>135</t>
  </si>
  <si>
    <t>鎮海艦</t>
  </si>
  <si>
    <t>書籍</t>
    <phoneticPr fontId="1" type="noConversion"/>
  </si>
  <si>
    <t>通用</t>
    <phoneticPr fontId="1" type="noConversion"/>
  </si>
  <si>
    <t>是</t>
  </si>
  <si>
    <t>19M</t>
    <phoneticPr fontId="1" type="noConversion"/>
  </si>
  <si>
    <t>專案文件管制碼(免填)</t>
    <phoneticPr fontId="8" type="noConversion"/>
  </si>
  <si>
    <t>階段代號(免填)</t>
    <phoneticPr fontId="1" type="noConversion"/>
  </si>
  <si>
    <t>文件管制碼：_文件類別-單位別(免填)</t>
    <phoneticPr fontId="1" type="noConversion"/>
  </si>
  <si>
    <t>文件管制碼：_文件類別-文件分類(免填)</t>
    <phoneticPr fontId="1" type="noConversion"/>
  </si>
  <si>
    <t>文件管制碼：_流水號(第一碼)(免填)</t>
    <phoneticPr fontId="1" type="noConversion"/>
  </si>
  <si>
    <t>文件管制碼：_流水號(第二碼)(免填)</t>
    <phoneticPr fontId="1" type="noConversion"/>
  </si>
  <si>
    <t>文件管制碼：_流水號(第三碼)(免填)</t>
    <phoneticPr fontId="1" type="noConversion"/>
  </si>
  <si>
    <t>流水號(第四~六碼)(免填)</t>
    <phoneticPr fontId="1" type="noConversion"/>
  </si>
  <si>
    <t>文件管制碼：_流水號(第七碼)(免填)</t>
    <phoneticPr fontId="1" type="noConversion"/>
  </si>
  <si>
    <t>文件管制碼：專案代號(免填)</t>
    <phoneticPr fontId="8" type="noConversion"/>
  </si>
  <si>
    <t>磁性代號</t>
  </si>
  <si>
    <t>美軍停用</t>
  </si>
  <si>
    <t>OI</t>
  </si>
  <si>
    <t>海軍刊物</t>
  </si>
  <si>
    <t>一般性軍品</t>
  </si>
  <si>
    <t>OV</t>
  </si>
  <si>
    <t>消耗性油料分析刻度標準</t>
  </si>
  <si>
    <t>具磁性</t>
  </si>
  <si>
    <t>否</t>
  </si>
  <si>
    <t>OX</t>
  </si>
  <si>
    <t>軍事海運管轄物資</t>
  </si>
  <si>
    <t>低磁性</t>
  </si>
  <si>
    <t>1A</t>
  </si>
  <si>
    <t>兵器裝備及主要兵器裝備修理配件</t>
  </si>
  <si>
    <t>X</t>
  </si>
  <si>
    <t>非鐵性</t>
  </si>
  <si>
    <t>1B</t>
  </si>
  <si>
    <t>油料再製</t>
  </si>
  <si>
    <t>1H</t>
  </si>
  <si>
    <t>艦上裝備與修理配件</t>
  </si>
  <si>
    <t>1I</t>
  </si>
  <si>
    <t>海軍表格</t>
  </si>
  <si>
    <t>1N</t>
  </si>
  <si>
    <t>電子物品</t>
  </si>
  <si>
    <t>1R</t>
  </si>
  <si>
    <t>航空照像及氣象方面消耗物資</t>
  </si>
  <si>
    <t>2O</t>
  </si>
  <si>
    <t>訓練用器材裝備</t>
  </si>
  <si>
    <t>2B</t>
  </si>
  <si>
    <t>物資處理</t>
  </si>
  <si>
    <t>2C</t>
  </si>
  <si>
    <t>建築及士木工程裝備</t>
  </si>
  <si>
    <t>2E</t>
  </si>
  <si>
    <t>主要電子裝備</t>
  </si>
  <si>
    <t>2F</t>
  </si>
  <si>
    <t>主要艦艇電子裝備</t>
  </si>
  <si>
    <t>2G</t>
  </si>
  <si>
    <t>可修空中武器系統裝備與配件</t>
  </si>
  <si>
    <t>2H</t>
  </si>
  <si>
    <t xml:space="preserve">艦上裝備總成，配件及修理配件  </t>
  </si>
  <si>
    <t>2J</t>
  </si>
  <si>
    <t>主要共器裝備</t>
  </si>
  <si>
    <t>2M</t>
  </si>
  <si>
    <t>地面車輛或低溫化學設備</t>
  </si>
  <si>
    <t>2N</t>
  </si>
  <si>
    <t>可修護的電子物品</t>
  </si>
  <si>
    <t>2P</t>
  </si>
  <si>
    <t>主要艦隊彈道飛彈射控導引裝備配件及選擇修理配件</t>
  </si>
  <si>
    <t>2R</t>
  </si>
  <si>
    <t>航空照像及氣象方面可修物資</t>
  </si>
  <si>
    <t>2S</t>
  </si>
  <si>
    <t xml:space="preserve">艦艇機械電機裝備       </t>
  </si>
  <si>
    <t>2U</t>
  </si>
  <si>
    <t>平面飛彈修理配件</t>
  </si>
  <si>
    <t>2V</t>
  </si>
  <si>
    <t>航空支援裝備及聲納浮標</t>
  </si>
  <si>
    <t>2W</t>
  </si>
  <si>
    <t>照像裝備</t>
  </si>
  <si>
    <t>2X</t>
  </si>
  <si>
    <t>主要艦隊彈道飛彈處理</t>
  </si>
  <si>
    <t>4O</t>
  </si>
  <si>
    <t>支援NAVOCEANO 計畫電子物品</t>
  </si>
  <si>
    <t>4A</t>
  </si>
  <si>
    <t>支援海軍航空裝備之兵器修理配件</t>
  </si>
  <si>
    <t>4G</t>
  </si>
  <si>
    <t>可修電子系統裝備及配件</t>
  </si>
  <si>
    <t>4H</t>
  </si>
  <si>
    <t>深潛救生裝備，配件及可修理零件</t>
  </si>
  <si>
    <t>4M</t>
  </si>
  <si>
    <t>氣象學物資</t>
  </si>
  <si>
    <t>4N</t>
  </si>
  <si>
    <t>支援NAVSEA 裝備電子物資</t>
  </si>
  <si>
    <t>4P</t>
  </si>
  <si>
    <t xml:space="preserve">主要艦隊彈道飛彈處理及飛彈支援裝備 </t>
  </si>
  <si>
    <t>4R</t>
  </si>
  <si>
    <t>可修發射器攔截網及降落輔助物資</t>
  </si>
  <si>
    <t>4U</t>
  </si>
  <si>
    <t>反潛武器支援項目</t>
  </si>
  <si>
    <t>4V</t>
  </si>
  <si>
    <t>飛彈引擎</t>
  </si>
  <si>
    <t>5L</t>
  </si>
  <si>
    <t>海軍擁有消耗戰略通訊司令部物資</t>
  </si>
  <si>
    <t>5M</t>
  </si>
  <si>
    <t>海軍擁有消耗性軍品及陸軍安全物資</t>
  </si>
  <si>
    <t>5N</t>
  </si>
  <si>
    <t>海軍所有消耗性密碼物資</t>
  </si>
  <si>
    <t>5P</t>
  </si>
  <si>
    <t xml:space="preserve">海軍所有消耗性特性武器有關物資   </t>
  </si>
  <si>
    <t>5R</t>
  </si>
  <si>
    <t>消耗性發射器攔截網</t>
  </si>
  <si>
    <t>6A</t>
  </si>
  <si>
    <t>支援SSPO槍砲裝備修理配件</t>
  </si>
  <si>
    <t>6E</t>
  </si>
  <si>
    <t>對空飛彈修理配件</t>
  </si>
  <si>
    <t>6G</t>
  </si>
  <si>
    <t>一般用途之測試裝備(電子)</t>
  </si>
  <si>
    <t>6M</t>
  </si>
  <si>
    <t>航空地面支援裝備</t>
  </si>
  <si>
    <t>6P</t>
  </si>
  <si>
    <t>主要艦隊彈道飛彈處理及飛彈支援裝備配件及修理配件</t>
  </si>
  <si>
    <t>6R</t>
  </si>
  <si>
    <t>6U</t>
  </si>
  <si>
    <t>平面武器支援項目</t>
  </si>
  <si>
    <t>8A</t>
  </si>
  <si>
    <t>INERT 核子武器物料</t>
  </si>
  <si>
    <t>8M</t>
  </si>
  <si>
    <t>航空主要投擲收回係統</t>
  </si>
  <si>
    <t>8N</t>
  </si>
  <si>
    <t>訓練用器材修理配件</t>
  </si>
  <si>
    <t>8P</t>
  </si>
  <si>
    <t>艦隊飛彈導慣性導航裝備配件及修理配件</t>
  </si>
  <si>
    <t>8R</t>
  </si>
  <si>
    <t>主要航空系統及裝備</t>
  </si>
  <si>
    <t>8X</t>
  </si>
  <si>
    <t>艦隊飛彈導慣性導航裝備配件及修理零件</t>
  </si>
  <si>
    <t>9O</t>
  </si>
  <si>
    <t>海軍所有消耗物質(陸戰隊)</t>
  </si>
  <si>
    <t>9A</t>
  </si>
  <si>
    <t>海軍擁有有關人員戰略車輛之零配件戰車中心物質</t>
  </si>
  <si>
    <t>9C</t>
  </si>
  <si>
    <t>建築用品(美海軍保有)</t>
  </si>
  <si>
    <t>9D</t>
  </si>
  <si>
    <t xml:space="preserve">衣物紡織及相關物質 </t>
  </si>
  <si>
    <t>9E</t>
  </si>
  <si>
    <t>海軍擁有有關人員戰略車輛之消耗性零配件部隊支援司令部物質</t>
  </si>
  <si>
    <t>9G</t>
  </si>
  <si>
    <t>一般性物品</t>
  </si>
  <si>
    <t>9H</t>
  </si>
  <si>
    <t>海軍擁有軍備司令部消耗性物質</t>
  </si>
  <si>
    <t>9I</t>
  </si>
  <si>
    <t>OKLAHOMA 航空後勤中心</t>
  </si>
  <si>
    <t>9K</t>
  </si>
  <si>
    <t>SACRMENTO 空軍後勤中心</t>
  </si>
  <si>
    <t>9L</t>
  </si>
  <si>
    <t>醫療補給品</t>
  </si>
  <si>
    <t>9N</t>
  </si>
  <si>
    <t>電子修理配件</t>
  </si>
  <si>
    <t>9Q</t>
  </si>
  <si>
    <t xml:space="preserve">一般補給物品   </t>
  </si>
  <si>
    <t>9S</t>
  </si>
  <si>
    <t>海軍擁有消耗性物質</t>
  </si>
  <si>
    <t>9V</t>
  </si>
  <si>
    <t>SAN ANTONIO (空軍後勤中心)</t>
  </si>
  <si>
    <t>9W</t>
  </si>
  <si>
    <t>海軍所有消耗性物質</t>
  </si>
  <si>
    <t>9X</t>
  </si>
  <si>
    <t>油料</t>
  </si>
  <si>
    <t>9Y</t>
  </si>
  <si>
    <t>9Z</t>
  </si>
  <si>
    <t>工業物品</t>
  </si>
  <si>
    <t>18</t>
    <phoneticPr fontId="1" type="noConversion"/>
  </si>
  <si>
    <t>A23800</t>
  </si>
  <si>
    <t>堃翊工程有限公司</t>
  </si>
  <si>
    <t>繳交成功</t>
  </si>
  <si>
    <t>0000</t>
  </si>
  <si>
    <t>交貨時間</t>
  </si>
  <si>
    <t>每百萬小時預估故障次數</t>
  </si>
  <si>
    <t>平均故障間隔(MTBF)
(小時)</t>
  </si>
  <si>
    <t>平均修護時間(MTTR)
(小時)</t>
  </si>
  <si>
    <t>是否為
可修件
(Y/N)</t>
  </si>
  <si>
    <t>文件來源</t>
    <phoneticPr fontId="1" type="noConversion"/>
  </si>
  <si>
    <t>代理商</t>
    <phoneticPr fontId="1" type="noConversion"/>
  </si>
  <si>
    <t>規格資料(1)
縮寫</t>
  </si>
  <si>
    <t>規格資料(1)
英文</t>
  </si>
  <si>
    <t>規格資料(1)翻譯</t>
  </si>
  <si>
    <t>英答(1)</t>
  </si>
  <si>
    <t>中答(1)</t>
  </si>
  <si>
    <t>規格資料(2)
縮寫</t>
  </si>
  <si>
    <t>規格資料(2)
英文</t>
  </si>
  <si>
    <t>規格資料(2)翻譯</t>
  </si>
  <si>
    <t>英答(2)</t>
  </si>
  <si>
    <t>中答(2)</t>
  </si>
  <si>
    <t>規格資料(3)縮寫</t>
  </si>
  <si>
    <t>規格資料(3)
英文</t>
  </si>
  <si>
    <t>規格資料(3)
翻譯</t>
  </si>
  <si>
    <t>英答(3)</t>
  </si>
  <si>
    <t>中答(3)</t>
  </si>
  <si>
    <t>規格資料(4)
縮寫</t>
  </si>
  <si>
    <t>規格資料(4)
英文</t>
  </si>
  <si>
    <t>規格資料(4)
翻譯</t>
  </si>
  <si>
    <t>英答(4)</t>
  </si>
  <si>
    <t>中答(4)</t>
  </si>
  <si>
    <t>規格資料(5)縮寫</t>
  </si>
  <si>
    <t>規格資料(5)
英文</t>
  </si>
  <si>
    <t>規格資料(5)
翻譯</t>
  </si>
  <si>
    <t>英答(5)</t>
  </si>
  <si>
    <t>中答(5)</t>
  </si>
  <si>
    <t>圖片路徑</t>
  </si>
  <si>
    <t>表單編號</t>
    <phoneticPr fontId="1" type="noConversion"/>
  </si>
  <si>
    <t>全</t>
    <phoneticPr fontId="1" type="noConversion"/>
  </si>
  <si>
    <t>ITEM
NO
PLSIN</t>
  </si>
  <si>
    <t>0001</t>
  </si>
  <si>
    <t>料單狀態</t>
    <phoneticPr fontId="1" type="noConversion"/>
  </si>
  <si>
    <t>有NSN</t>
    <phoneticPr fontId="1" type="noConversion"/>
  </si>
  <si>
    <t>作廢</t>
    <phoneticPr fontId="1" type="noConversion"/>
  </si>
  <si>
    <t>全</t>
    <phoneticPr fontId="1" type="noConversion"/>
  </si>
  <si>
    <t>JSSC</t>
  </si>
  <si>
    <t>ARS</t>
  </si>
  <si>
    <t>O</t>
  </si>
  <si>
    <t>是否總</t>
    <phoneticPr fontId="1" type="noConversion"/>
  </si>
  <si>
    <t>是否18</t>
    <phoneticPr fontId="1" type="noConversion"/>
  </si>
  <si>
    <t>是否全</t>
    <phoneticPr fontId="1" type="noConversion"/>
  </si>
  <si>
    <t>會計編號</t>
    <phoneticPr fontId="1" type="noConversion"/>
  </si>
  <si>
    <t>_______
料件狀態</t>
    <phoneticPr fontId="1" type="noConversion"/>
  </si>
  <si>
    <t>聲力電話系統</t>
  </si>
  <si>
    <t>TA-4CI</t>
  </si>
  <si>
    <t>Acoustic Telephone System</t>
  </si>
  <si>
    <t>5805</t>
  </si>
  <si>
    <t>22090</t>
  </si>
  <si>
    <t>455.029.4.21H</t>
  </si>
  <si>
    <t>Sound Powered Telephone, 12 Stations, Wall-Mounted (with H27A Jack)</t>
  </si>
  <si>
    <t>12站壁掛式聲力電話(附H27A 插座)</t>
  </si>
  <si>
    <t>12站壁掛式聲力電話</t>
  </si>
  <si>
    <t>22088</t>
  </si>
  <si>
    <t>432122</t>
  </si>
  <si>
    <t>455.031.4.16H</t>
  </si>
  <si>
    <t>Sound Powered Telephone, 24 Stations, Wall-Mounted (with H27A Jack)</t>
  </si>
  <si>
    <t>24站壁掛式聲力電話(附H27A 插座)</t>
  </si>
  <si>
    <t>24站壁掛式聲力電話</t>
  </si>
  <si>
    <t>22087</t>
  </si>
  <si>
    <t>432123</t>
  </si>
  <si>
    <t xml:space="preserve"> 455.005.7H</t>
  </si>
  <si>
    <t>Sound Powered Telephone (12-station/built-in with dimmer and H27A jack)</t>
  </si>
  <si>
    <t>12站埋入式聲力電話(附H27A 插座)</t>
  </si>
  <si>
    <t>12站埋入式聲力電話</t>
  </si>
  <si>
    <t>22086</t>
  </si>
  <si>
    <t>455.029.4.12H</t>
  </si>
  <si>
    <t>Sound Powered Telephone (24-station/built-in with dimmer and H27A jack)</t>
  </si>
  <si>
    <t>24站埋入式聲力電話(附H27A 插座)</t>
  </si>
  <si>
    <t>24站埋入式聲力電話</t>
  </si>
  <si>
    <t>22085</t>
  </si>
  <si>
    <t>Portable chest head sound powered telephone (with/without foot switch)</t>
  </si>
  <si>
    <t>頭戴式聲力電話(頭戴型及腳控型)</t>
  </si>
  <si>
    <t>頭戴式聲力電話</t>
  </si>
  <si>
    <t>5965</t>
  </si>
  <si>
    <t>149.015 SCM</t>
  </si>
  <si>
    <t>Panel-mounted jack</t>
  </si>
  <si>
    <t>聲力電話插座 (埋入式)</t>
  </si>
  <si>
    <t xml:space="preserve">聲力電話插座/埋入 </t>
  </si>
  <si>
    <t>5935</t>
  </si>
  <si>
    <t>22089</t>
  </si>
  <si>
    <t>350.501 SCM</t>
  </si>
  <si>
    <t>Jack-box for connection</t>
  </si>
  <si>
    <t>聲力電話插座 (防水壁掛式)</t>
  </si>
  <si>
    <t>聲力電話插座/壁掛</t>
  </si>
  <si>
    <t>22119</t>
  </si>
  <si>
    <t>432128</t>
  </si>
  <si>
    <t>Audio Frecuency Amplifie</t>
  </si>
  <si>
    <t>聲力電話放大器</t>
  </si>
  <si>
    <t>Exponential Speaker</t>
  </si>
  <si>
    <t>揚聲防水喇叭</t>
  </si>
  <si>
    <t>43212A</t>
  </si>
  <si>
    <t>455.010 SCM</t>
  </si>
  <si>
    <t>Visual Signal Device LD-MG</t>
  </si>
  <si>
    <t>白光警示燈</t>
  </si>
  <si>
    <t>6350</t>
  </si>
  <si>
    <t>22084</t>
  </si>
  <si>
    <t>43212B</t>
  </si>
  <si>
    <t>358.004 SCM</t>
  </si>
  <si>
    <t>Stowage box(For one telephone) CJ - EST -1-X</t>
  </si>
  <si>
    <t>頭戴式聲力電話放置箱 CJ - EST -1-X(單格)</t>
  </si>
  <si>
    <t>聲力電話放置箱-單</t>
  </si>
  <si>
    <t>22083</t>
  </si>
  <si>
    <t>43212C</t>
  </si>
  <si>
    <t>358.005 SCM</t>
  </si>
  <si>
    <t>Stowage box(For two telephones) CJ - EST -2-X</t>
  </si>
  <si>
    <t>頭戴式聲力電話放置箱CJ - EST -2-X(雙格)</t>
  </si>
  <si>
    <t>聲力電話放置箱-雙</t>
  </si>
  <si>
    <t>22082</t>
  </si>
  <si>
    <t>43212D</t>
  </si>
  <si>
    <t>455.003</t>
  </si>
  <si>
    <t>Relay box to activate additional devices. RCB-110</t>
  </si>
  <si>
    <t>聲力電話繼電器控制盒</t>
  </si>
  <si>
    <t>繼電器控制盒</t>
  </si>
  <si>
    <t>5945</t>
  </si>
  <si>
    <t>TELEPHONE SYSTEM</t>
  </si>
  <si>
    <t>35522</t>
  </si>
  <si>
    <t>TELEPHONE SET</t>
  </si>
  <si>
    <t>00307</t>
  </si>
  <si>
    <t>T187-D</t>
  </si>
  <si>
    <t xml:space="preserve">	HEADSET-CHEST SET,ELECTRICAL</t>
  </si>
  <si>
    <t>00710</t>
  </si>
  <si>
    <t>A545Q0</t>
  </si>
  <si>
    <t>JACK BOX</t>
  </si>
  <si>
    <t>16136</t>
  </si>
  <si>
    <t>A17600</t>
  </si>
  <si>
    <t>LOUDSPEAKER-AMPLIFIER</t>
  </si>
  <si>
    <t>52110</t>
  </si>
  <si>
    <t>A11600</t>
  </si>
  <si>
    <t xml:space="preserve">Loudspeaker, Electromagnetic	</t>
  </si>
  <si>
    <t>00714</t>
  </si>
  <si>
    <t>ALARM,AUDIBLE-VISUAL</t>
  </si>
  <si>
    <t>49541</t>
  </si>
  <si>
    <t xml:space="preserve">T104-A </t>
  </si>
  <si>
    <t>BOX,HANDSET STORAGE</t>
  </si>
  <si>
    <t>41713</t>
  </si>
  <si>
    <t>A06600</t>
  </si>
  <si>
    <t>RELAY ASSEMBLY</t>
  </si>
  <si>
    <t>00447</t>
  </si>
  <si>
    <t>T142-B</t>
  </si>
  <si>
    <t>E</t>
    <phoneticPr fontId="1" type="noConversion"/>
  </si>
  <si>
    <t>1973B</t>
  </si>
  <si>
    <t>1</t>
    <phoneticPr fontId="1" type="noConversion"/>
  </si>
  <si>
    <t>M</t>
    <phoneticPr fontId="1" type="noConversion"/>
  </si>
  <si>
    <t>SCM SISTEMAS,S.L.</t>
  </si>
  <si>
    <t>27NYE0823</t>
  </si>
  <si>
    <t>聲力電話系統技術手冊</t>
  </si>
  <si>
    <t>EK432121</t>
  </si>
  <si>
    <t>EN432121</t>
  </si>
  <si>
    <t>AYDS</t>
  </si>
  <si>
    <t>END ITEM NAME</t>
  </si>
  <si>
    <t>最終裝備名稱</t>
  </si>
  <si>
    <t>43212 Acoustic Telephone System</t>
  </si>
  <si>
    <t>43212 聲力電話系統</t>
  </si>
  <si>
    <t>AJKC</t>
  </si>
  <si>
    <t>SUPPLY ITEMS AND QUANTITIES</t>
  </si>
  <si>
    <t>供應項目和數量</t>
  </si>
  <si>
    <t>至少10項：12/24站壁掛式聲力電話、12/24站埋入式聲力電話、埋入式電話插座、壁掛式電話插座、警示燈、電話放置箱、繼電器控制盒等。</t>
  </si>
  <si>
    <t>ANPX</t>
  </si>
  <si>
    <t>TRANSMITTER CURRENT SUPPLY SOURCE</t>
  </si>
  <si>
    <t>傳送器電流供應來源</t>
  </si>
  <si>
    <t>SOUND POWERED</t>
  </si>
  <si>
    <t>聲力供電</t>
  </si>
  <si>
    <t>STYL</t>
  </si>
  <si>
    <t>STYLE DESIGNATOR</t>
  </si>
  <si>
    <t>外觀型式識別碼</t>
  </si>
  <si>
    <t>MANUAL CRANK OPERATED</t>
  </si>
  <si>
    <t>手動搖柄操作</t>
  </si>
  <si>
    <t>ABMK</t>
  </si>
  <si>
    <t>OVERALL WIDTH</t>
  </si>
  <si>
    <t>總寬度</t>
  </si>
  <si>
    <t>160 mm</t>
  </si>
  <si>
    <t>160毫米</t>
  </si>
  <si>
    <t>ABHP</t>
  </si>
  <si>
    <t>OVERALL LENGTH</t>
  </si>
  <si>
    <t>總長度</t>
  </si>
  <si>
    <t>260 mm</t>
  </si>
  <si>
    <t>260毫米</t>
  </si>
  <si>
    <t>200 mm</t>
  </si>
  <si>
    <t>200 毫米</t>
  </si>
  <si>
    <t>外觀型式</t>
  </si>
  <si>
    <t>SQUARE, FLUSH MOUNTING</t>
  </si>
  <si>
    <t>方形面板，嵌入式安裝</t>
  </si>
  <si>
    <t>MATT</t>
  </si>
  <si>
    <t>MATERIAL</t>
  </si>
  <si>
    <t>材質</t>
  </si>
  <si>
    <t>Brass,Stainless Steel</t>
  </si>
  <si>
    <t>黃銅,不鏽鋼</t>
  </si>
  <si>
    <t>31.8 mm</t>
  </si>
  <si>
    <t>31.8毫米(左右)</t>
  </si>
  <si>
    <t>31.8毫米(前後)</t>
  </si>
  <si>
    <t>ROUND, SURFACE MOUNTING</t>
  </si>
  <si>
    <t>圓形壁掛式</t>
  </si>
  <si>
    <t>Made of brass</t>
  </si>
  <si>
    <t>黃銅製防水盒</t>
  </si>
  <si>
    <t>103 mm</t>
  </si>
  <si>
    <t>103 毫米(左右)</t>
  </si>
  <si>
    <t>ABFY</t>
  </si>
  <si>
    <t>OVERALL DEPTH</t>
  </si>
  <si>
    <t>總深度</t>
  </si>
  <si>
    <t>70 mm</t>
  </si>
  <si>
    <t>70毫米(前後)</t>
  </si>
  <si>
    <t>White or red translucent glass</t>
  </si>
  <si>
    <t>白色或紅色半透明玻璃</t>
  </si>
  <si>
    <t>ADAV</t>
  </si>
  <si>
    <t>OVERALL DIAMETER</t>
  </si>
  <si>
    <t>總直徑</t>
  </si>
  <si>
    <t>Ø180 mm（outer diameter）</t>
  </si>
  <si>
    <t>Ø180 mm（外徑）</t>
  </si>
  <si>
    <t>Headset storage with mounting holes</t>
  </si>
  <si>
    <t>附安裝孔的耳機收納盒</t>
  </si>
  <si>
    <t>265 mm</t>
  </si>
  <si>
    <t>265毫米(左右)</t>
  </si>
  <si>
    <t>ABKW</t>
  </si>
  <si>
    <t>OVERALL HEIGHT</t>
  </si>
  <si>
    <t>總高度</t>
  </si>
  <si>
    <t>273mm</t>
  </si>
  <si>
    <t>273毫米(上下)</t>
  </si>
  <si>
    <t xml:space="preserve">SUS316 stainless steel </t>
  </si>
  <si>
    <t>SUS316 不鏽鋼</t>
  </si>
  <si>
    <t>326 mm</t>
  </si>
  <si>
    <t>326毫米(左右)</t>
  </si>
  <si>
    <t>APCK</t>
  </si>
  <si>
    <t>INDIVIDUAL RELAY QUANTITY</t>
  </si>
  <si>
    <t>單一繼電器數量</t>
  </si>
  <si>
    <t>總高</t>
  </si>
  <si>
    <t>175 mm</t>
  </si>
  <si>
    <t>175 毫米(上下)</t>
  </si>
  <si>
    <t>總寬</t>
  </si>
  <si>
    <t xml:space="preserve">125 mm </t>
  </si>
  <si>
    <t>125 毫米(左右)</t>
  </si>
  <si>
    <t>ABNM</t>
  </si>
  <si>
    <t>THICKNESS</t>
  </si>
  <si>
    <t>厚度</t>
  </si>
  <si>
    <t>100 mm</t>
  </si>
  <si>
    <t>總深度100 毫米(前後)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</si>
  <si>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</si>
  <si>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</si>
  <si>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</si>
  <si>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</si>
  <si>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</si>
  <si>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</si>
  <si>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</si>
  <si>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</si>
  <si>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</si>
  <si>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</si>
  <si>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</si>
  <si>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</si>
  <si>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</si>
  <si>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</si>
  <si>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</si>
  <si>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</si>
  <si>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</si>
  <si>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</si>
  <si>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</si>
  <si>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</si>
  <si>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</si>
  <si>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</si>
  <si>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</si>
  <si>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總</t>
    <phoneticPr fontId="1" type="noConversion"/>
  </si>
  <si>
    <t>18</t>
    <phoneticPr fontId="1" type="noConversion"/>
  </si>
  <si>
    <t>全</t>
    <phoneticPr fontId="1" type="noConversion"/>
  </si>
  <si>
    <t>待送出</t>
  </si>
  <si>
    <t>3 M</t>
  </si>
  <si>
    <t>66.7</t>
  </si>
  <si>
    <t>0.5</t>
  </si>
  <si>
    <t>71.4</t>
  </si>
  <si>
    <t>1.5</t>
  </si>
  <si>
    <t>111.1</t>
  </si>
  <si>
    <t>50</t>
  </si>
  <si>
    <t>0.25</t>
  </si>
  <si>
    <t>90</t>
  </si>
  <si>
    <t>0823</t>
  </si>
  <si>
    <t>申請中</t>
    <phoneticPr fontId="1" type="noConversion"/>
  </si>
  <si>
    <t>A0073</t>
    <phoneticPr fontId="1" type="noConversion"/>
  </si>
  <si>
    <t>A0074</t>
    <phoneticPr fontId="1" type="noConversion"/>
  </si>
  <si>
    <t>A0075</t>
    <phoneticPr fontId="1" type="noConversion"/>
  </si>
  <si>
    <t>350.500</t>
    <phoneticPr fontId="1" type="noConversion"/>
  </si>
  <si>
    <t>455.805</t>
    <phoneticPr fontId="1" type="noConversion"/>
  </si>
  <si>
    <t>149.907</t>
    <phoneticPr fontId="1" type="noConversion"/>
  </si>
  <si>
    <t>1.5-1.8</t>
    <phoneticPr fontId="1" type="noConversion"/>
  </si>
  <si>
    <t>AHES</t>
    <phoneticPr fontId="1" type="noConversion"/>
  </si>
  <si>
    <t>EARPHONE QUANTITY</t>
    <phoneticPr fontId="1" type="noConversion"/>
  </si>
  <si>
    <t>耳機數量</t>
    <phoneticPr fontId="1" type="noConversion"/>
  </si>
  <si>
    <t>2，左右耳</t>
    <phoneticPr fontId="1" type="noConversion"/>
  </si>
  <si>
    <t>提供的附加功能</t>
    <phoneticPr fontId="1" type="noConversion"/>
  </si>
  <si>
    <t>CBBL</t>
    <phoneticPr fontId="1" type="noConversion"/>
  </si>
  <si>
    <t>FEATURES PROVIDED</t>
    <phoneticPr fontId="1" type="noConversion"/>
  </si>
  <si>
    <t>FOOT SWITCH (TA-PC-FS only)</t>
    <phoneticPr fontId="1" type="noConversion"/>
  </si>
  <si>
    <t>腳控發話功能（僅限 TA-PC-FS）</t>
    <phoneticPr fontId="1" type="noConversion"/>
  </si>
  <si>
    <t>STYL</t>
    <phoneticPr fontId="1" type="noConversion"/>
  </si>
  <si>
    <t>長方形／方形外殼</t>
    <phoneticPr fontId="1" type="noConversion"/>
  </si>
  <si>
    <t>Style Designator</t>
    <phoneticPr fontId="1" type="noConversion"/>
  </si>
  <si>
    <t>230mm</t>
    <phoneticPr fontId="1" type="noConversion"/>
  </si>
  <si>
    <t>176mm</t>
    <phoneticPr fontId="1" type="noConversion"/>
  </si>
  <si>
    <t>錐形振膜式換能器</t>
    <phoneticPr fontId="1" type="noConversion"/>
  </si>
  <si>
    <t>AKVS</t>
    <phoneticPr fontId="1" type="noConversion"/>
  </si>
  <si>
    <t>換能器類型</t>
    <phoneticPr fontId="1" type="noConversion"/>
  </si>
  <si>
    <t>TRANSDUCER TYPE</t>
    <phoneticPr fontId="1" type="noConversion"/>
  </si>
  <si>
    <t>CONE</t>
    <phoneticPr fontId="1" type="noConversion"/>
  </si>
  <si>
    <t>OUTDOOR</t>
    <phoneticPr fontId="1" type="noConversion"/>
  </si>
  <si>
    <t>戶外使用（船艦外部、暴露區）</t>
    <phoneticPr fontId="1" type="noConversion"/>
  </si>
  <si>
    <t>ALBY</t>
    <phoneticPr fontId="1" type="noConversion"/>
  </si>
  <si>
    <t>USAGE DESIGN</t>
    <phoneticPr fontId="1" type="noConversion"/>
  </si>
  <si>
    <t>設計用途</t>
    <phoneticPr fontId="1" type="noConversion"/>
  </si>
  <si>
    <t>固定式設備，不可攜</t>
    <phoneticPr fontId="1" type="noConversion"/>
  </si>
  <si>
    <t>NONPORTABLE</t>
    <phoneticPr fontId="1" type="noConversion"/>
  </si>
  <si>
    <t>AMQY</t>
    <phoneticPr fontId="1" type="noConversion"/>
  </si>
  <si>
    <t>INSTALLATION DESIGN</t>
    <phoneticPr fontId="1" type="noConversion"/>
  </si>
  <si>
    <t>安裝設計</t>
    <phoneticPr fontId="1" type="noConversion"/>
  </si>
  <si>
    <t>222 mm</t>
    <phoneticPr fontId="1" type="noConversion"/>
  </si>
  <si>
    <t>222 mm，喇叭正面最寬部分</t>
    <phoneticPr fontId="1" type="noConversion"/>
  </si>
  <si>
    <t>C:\\SynologyDrive\\01 JSSC專案\\12 料號申編\\06 次要裝備\\50 聲力電話\\圖片\\01_聲力電話系統.jpg</t>
  </si>
  <si>
    <t>C:\\SynologyDrive\\01 JSSC專案\\12 料號申編\\06 次要裝備\\50 聲力電話\\圖片\\02.12站壁掛式聲力電話.jpg</t>
  </si>
  <si>
    <t>C:\\SynologyDrive\\01 JSSC專案\\12 料號申編\\06 次要裝備\\50 聲力電話\\圖片\\03.24站壁掛式聲力電話.jpg</t>
  </si>
  <si>
    <t>C:\\SynologyDrive\\01 JSSC專案\\12 料號申編\\06 次要裝備\\50 聲力電話\\圖片\\04.12站埋入式聲力電話.jpg</t>
  </si>
  <si>
    <t>C:\\SynologyDrive\\01 JSSC專案\\12 料號申編\\06 次要裝備\\50 聲力電話\\圖片\\05.24站埋入式聲力電話.jpg</t>
  </si>
  <si>
    <t>C:\\SynologyDrive\\01 JSSC專案\\12 料號申編\\06 次要裝備\\50 聲力電話\\圖片\\06.頭戴式.jpg</t>
  </si>
  <si>
    <t>C:\\SynologyDrive\\01 JSSC專案\\12 料號申編\\06 次要裝備\\50 聲力電話\\圖片\\07.聲力電話插座 (埋入式).jpg</t>
  </si>
  <si>
    <t>C:\\SynologyDrive\\01 JSSC專案\\12 料號申編\\06 次要裝備\\50 聲力電話\\圖片\\08.聲力電話插座(壁掛).png</t>
  </si>
  <si>
    <t>C:\\SynologyDrive\\01 JSSC專案\\12 料號申編\\06 次要裝備\\50 聲力電話\\圖片\\09.放大器.jpg</t>
  </si>
  <si>
    <t>C:\\SynologyDrive\\01 JSSC專案\\12 料號申編\\06 次要裝備\\50 聲力電話\\圖片\\10.喇叭.jpg</t>
  </si>
  <si>
    <t>C:\\SynologyDrive\\01 JSSC專案\\12 料號申編\\06 次要裝備\\50 聲力電話\\圖片\\11.警示燈.jpg</t>
  </si>
  <si>
    <t>C:\\SynologyDrive\\01 JSSC專案\\12 料號申編\\06 次要裝備\\50 聲力電話\\圖片\\12.聲力電話放置箱-單.png</t>
  </si>
  <si>
    <t>C:\\SynologyDrive\\01 JSSC專案\\12 料號申編\\06 次要裝備\\50 聲力電話\\圖片\\13.聲力電話放置箱-雙.jpg</t>
  </si>
  <si>
    <t>C:\\SynologyDrive\\01 JSSC專案\\12 料號申編\\06 次要裝備\\50 聲力電話\\圖片\\14_聲力電話繼電器控制盒.jpg</t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</si>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</sst>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#,##0_);[Red]\(#,##0\)"/>
    <numFmt numFmtId="178" formatCode="General;General;"/>
    <numFmt numFmtId="179" formatCode="0_ "/>
  </numFmts>
  <fonts count="4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name val="標楷體"/>
      <family val="4"/>
      <charset val="136"/>
    </font>
    <font>
      <b/>
      <sz val="11"/>
      <color theme="1"/>
      <name val="標楷體"/>
      <family val="4"/>
      <charset val="136"/>
    </font>
    <font>
      <b/>
      <sz val="12"/>
      <color theme="0"/>
      <name val="標楷體"/>
      <family val="4"/>
      <charset val="136"/>
    </font>
    <font>
      <b/>
      <sz val="11"/>
      <color theme="0"/>
      <name val="標楷體"/>
      <family val="4"/>
      <charset val="136"/>
    </font>
    <font>
      <sz val="11"/>
      <color theme="0"/>
      <name val="標楷體"/>
      <family val="4"/>
      <charset val="136"/>
    </font>
    <font>
      <b/>
      <sz val="14"/>
      <color theme="0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0"/>
      <name val="標楷體"/>
      <family val="4"/>
      <charset val="136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70C0"/>
      <name val="標楷體"/>
      <family val="4"/>
      <charset val="136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4"/>
      <color indexed="10"/>
      <name val="標楷體"/>
      <family val="4"/>
      <charset val="136"/>
    </font>
    <font>
      <sz val="14"/>
      <name val="標楷體"/>
      <family val="4"/>
      <charset val="136"/>
    </font>
    <font>
      <sz val="10"/>
      <name val="新細明體"/>
      <family val="1"/>
      <charset val="136"/>
    </font>
    <font>
      <sz val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indexed="10"/>
      <name val="標楷體"/>
      <family val="4"/>
      <charset val="136"/>
    </font>
    <font>
      <sz val="9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8"/>
      <color theme="1"/>
      <name val="Times New Roman"/>
      <family val="1"/>
    </font>
    <font>
      <b/>
      <sz val="14"/>
      <color theme="0" tint="-0.14999847407452621"/>
      <name val="標楷體"/>
      <family val="4"/>
      <charset val="136"/>
    </font>
    <font>
      <b/>
      <sz val="14"/>
      <color theme="8" tint="0.59999389629810485"/>
      <name val="標楷體"/>
      <family val="4"/>
      <charset val="136"/>
    </font>
    <font>
      <sz val="9"/>
      <color indexed="81"/>
      <name val="細明體"/>
      <family val="3"/>
      <charset val="136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sz val="10"/>
      <color rgb="FF000000"/>
      <name val="Times New Roman"/>
      <family val="1"/>
    </font>
    <font>
      <sz val="12"/>
      <color rgb="FF0000FF"/>
      <name val="標楷體"/>
      <family val="4"/>
      <charset val="136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1E1E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8" fillId="0" borderId="0"/>
  </cellStyleXfs>
  <cellXfs count="39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49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177" fontId="2" fillId="3" borderId="0" xfId="0" applyNumberFormat="1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49" fontId="2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49" fontId="16" fillId="4" borderId="8" xfId="0" applyNumberFormat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49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49" fontId="16" fillId="5" borderId="8" xfId="0" applyNumberFormat="1" applyFont="1" applyFill="1" applyBorder="1" applyAlignment="1" applyProtection="1">
      <alignment horizontal="center" vertical="center"/>
      <protection locked="0"/>
    </xf>
    <xf numFmtId="177" fontId="16" fillId="5" borderId="8" xfId="0" applyNumberFormat="1" applyFont="1" applyFill="1" applyBorder="1" applyAlignment="1" applyProtection="1">
      <alignment horizontal="center" vertical="center"/>
      <protection locked="0"/>
    </xf>
    <xf numFmtId="176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14" xfId="0" applyFont="1" applyFill="1" applyBorder="1" applyAlignment="1" applyProtection="1">
      <alignment horizontal="center" vertical="center"/>
      <protection locked="0"/>
    </xf>
    <xf numFmtId="49" fontId="2" fillId="0" borderId="0" xfId="0" quotePrefix="1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0" fontId="16" fillId="5" borderId="15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178" fontId="2" fillId="3" borderId="0" xfId="0" applyNumberFormat="1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8" xfId="0" applyFont="1" applyBorder="1" applyAlignment="1" applyProtection="1">
      <alignment horizontal="center" vertical="center" wrapText="1"/>
      <protection locked="0"/>
    </xf>
    <xf numFmtId="176" fontId="4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6" fillId="4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0" fillId="0" borderId="0" xfId="0" applyFont="1" applyAlignment="1" applyProtection="1">
      <protection locked="0"/>
    </xf>
    <xf numFmtId="0" fontId="10" fillId="3" borderId="0" xfId="0" applyFont="1" applyFill="1" applyAlignment="1" applyProtection="1"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49" fontId="7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2" applyNumberFormat="1" applyFont="1" applyBorder="1" applyAlignment="1" applyProtection="1">
      <alignment horizontal="center" vertical="center"/>
      <protection locked="0"/>
    </xf>
    <xf numFmtId="49" fontId="6" fillId="0" borderId="1" xfId="3" applyNumberFormat="1" applyFont="1" applyBorder="1" applyAlignment="1" applyProtection="1">
      <alignment horizontal="center" vertical="center"/>
      <protection locked="0"/>
    </xf>
    <xf numFmtId="49" fontId="6" fillId="0" borderId="1" xfId="4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49" fontId="2" fillId="8" borderId="1" xfId="0" applyNumberFormat="1" applyFont="1" applyFill="1" applyBorder="1" applyAlignment="1" applyProtection="1"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Border="1" applyAlignment="1" applyProtection="1">
      <alignment horizontal="center" vertical="center" wrapText="1"/>
      <protection locked="0"/>
    </xf>
    <xf numFmtId="49" fontId="6" fillId="0" borderId="22" xfId="1" applyNumberFormat="1" applyFont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22" xfId="0" applyNumberFormat="1" applyFont="1" applyBorder="1" applyAlignment="1">
      <alignment horizontal="center" vertical="center"/>
    </xf>
    <xf numFmtId="49" fontId="2" fillId="0" borderId="22" xfId="1" applyNumberFormat="1" applyFont="1" applyBorder="1" applyAlignment="1" applyProtection="1">
      <alignment horizontal="center" vertical="center"/>
      <protection locked="0"/>
    </xf>
    <xf numFmtId="49" fontId="2" fillId="8" borderId="22" xfId="0" applyNumberFormat="1" applyFont="1" applyFill="1" applyBorder="1" applyAlignment="1" applyProtection="1"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2" xfId="5" applyNumberFormat="1" applyFont="1" applyBorder="1" applyAlignment="1" applyProtection="1">
      <alignment horizontal="center" vertical="center"/>
      <protection locked="0"/>
    </xf>
    <xf numFmtId="49" fontId="6" fillId="0" borderId="0" xfId="5" applyNumberFormat="1" applyFont="1" applyAlignment="1" applyProtection="1">
      <alignment horizontal="center" vertical="center"/>
      <protection locked="0"/>
    </xf>
    <xf numFmtId="49" fontId="2" fillId="0" borderId="22" xfId="1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6" fillId="0" borderId="22" xfId="5" applyNumberFormat="1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16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7" fillId="4" borderId="1" xfId="2" applyNumberFormat="1" applyFont="1" applyFill="1" applyBorder="1" applyAlignment="1">
      <alignment horizontal="center" vertical="center"/>
    </xf>
    <xf numFmtId="49" fontId="18" fillId="4" borderId="1" xfId="2" applyNumberFormat="1" applyFont="1" applyFill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/>
    </xf>
    <xf numFmtId="178" fontId="10" fillId="0" borderId="0" xfId="0" applyNumberFormat="1" applyFont="1" applyAlignment="1">
      <alignment horizontal="center"/>
    </xf>
    <xf numFmtId="178" fontId="10" fillId="0" borderId="0" xfId="0" applyNumberFormat="1" applyFont="1" applyAlignment="1">
      <alignment horizontal="left"/>
    </xf>
    <xf numFmtId="178" fontId="10" fillId="3" borderId="0" xfId="0" applyNumberFormat="1" applyFont="1" applyFill="1" applyAlignment="1">
      <alignment horizontal="center"/>
    </xf>
    <xf numFmtId="178" fontId="10" fillId="3" borderId="0" xfId="0" applyNumberFormat="1" applyFont="1" applyFill="1" applyAlignment="1">
      <alignment horizontal="left"/>
    </xf>
    <xf numFmtId="178" fontId="10" fillId="3" borderId="0" xfId="0" applyNumberFormat="1" applyFont="1" applyFill="1" applyAlignment="1"/>
    <xf numFmtId="178" fontId="10" fillId="0" borderId="0" xfId="0" applyNumberFormat="1" applyFont="1" applyAlignment="1"/>
    <xf numFmtId="49" fontId="2" fillId="0" borderId="1" xfId="2" applyNumberFormat="1" applyFont="1" applyBorder="1" applyAlignment="1">
      <alignment horizontal="center" vertical="center"/>
    </xf>
    <xf numFmtId="49" fontId="2" fillId="0" borderId="1" xfId="3" applyNumberFormat="1" applyFont="1" applyBorder="1" applyAlignment="1">
      <alignment horizontal="center" vertical="center"/>
    </xf>
    <xf numFmtId="178" fontId="18" fillId="4" borderId="1" xfId="2" applyNumberFormat="1" applyFont="1" applyFill="1" applyBorder="1" applyAlignment="1">
      <alignment horizontal="center" vertical="center"/>
    </xf>
    <xf numFmtId="178" fontId="6" fillId="0" borderId="1" xfId="2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9" fillId="6" borderId="22" xfId="2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 applyProtection="1">
      <protection locked="0"/>
    </xf>
    <xf numFmtId="178" fontId="2" fillId="0" borderId="0" xfId="0" applyNumberFormat="1" applyFont="1" applyAlignment="1"/>
    <xf numFmtId="178" fontId="2" fillId="0" borderId="0" xfId="0" applyNumberFormat="1" applyFont="1" applyAlignment="1">
      <alignment horizontal="center"/>
    </xf>
    <xf numFmtId="178" fontId="2" fillId="0" borderId="0" xfId="0" applyNumberFormat="1" applyFont="1" applyAlignme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8" fontId="2" fillId="3" borderId="0" xfId="0" applyNumberFormat="1" applyFont="1" applyFill="1" applyAlignment="1"/>
    <xf numFmtId="178" fontId="2" fillId="3" borderId="0" xfId="0" applyNumberFormat="1" applyFont="1" applyFill="1" applyAlignment="1">
      <alignment horizontal="center"/>
    </xf>
    <xf numFmtId="178" fontId="2" fillId="3" borderId="0" xfId="0" applyNumberFormat="1" applyFont="1" applyFill="1" applyAlignment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 applyProtection="1">
      <protection locked="0"/>
    </xf>
    <xf numFmtId="49" fontId="7" fillId="4" borderId="1" xfId="0" applyNumberFormat="1" applyFont="1" applyFill="1" applyBorder="1" applyAlignment="1">
      <alignment horizontal="center" vertical="center" wrapText="1"/>
    </xf>
    <xf numFmtId="49" fontId="18" fillId="4" borderId="1" xfId="0" applyNumberFormat="1" applyFont="1" applyFill="1" applyBorder="1" applyAlignment="1">
      <alignment horizontal="center" vertical="center" wrapText="1"/>
    </xf>
    <xf numFmtId="178" fontId="26" fillId="4" borderId="21" xfId="0" applyNumberFormat="1" applyFont="1" applyFill="1" applyBorder="1" applyAlignment="1">
      <alignment horizontal="center"/>
    </xf>
    <xf numFmtId="178" fontId="30" fillId="4" borderId="21" xfId="0" applyNumberFormat="1" applyFont="1" applyFill="1" applyBorder="1" applyAlignment="1">
      <alignment horizontal="center"/>
    </xf>
    <xf numFmtId="0" fontId="2" fillId="0" borderId="0" xfId="0" applyFont="1" applyProtection="1">
      <alignment vertical="center"/>
      <protection locked="0"/>
    </xf>
    <xf numFmtId="0" fontId="2" fillId="2" borderId="0" xfId="0" applyFont="1" applyFill="1" applyAlignment="1">
      <alignment horizontal="center" vertical="center"/>
    </xf>
    <xf numFmtId="49" fontId="7" fillId="4" borderId="22" xfId="1" applyNumberFormat="1" applyFont="1" applyFill="1" applyBorder="1" applyAlignment="1">
      <alignment horizontal="center" vertical="center"/>
    </xf>
    <xf numFmtId="49" fontId="18" fillId="4" borderId="22" xfId="1" applyNumberFormat="1" applyFont="1" applyFill="1" applyBorder="1" applyAlignment="1">
      <alignment horizontal="center" vertical="center" wrapText="1"/>
    </xf>
    <xf numFmtId="178" fontId="18" fillId="4" borderId="22" xfId="1" applyNumberFormat="1" applyFont="1" applyFill="1" applyBorder="1" applyAlignment="1">
      <alignment horizontal="center" vertical="center" wrapText="1"/>
    </xf>
    <xf numFmtId="178" fontId="2" fillId="0" borderId="22" xfId="1" applyNumberFormat="1" applyFont="1" applyBorder="1" applyAlignment="1">
      <alignment horizontal="center" vertical="center"/>
    </xf>
    <xf numFmtId="178" fontId="6" fillId="0" borderId="22" xfId="5" applyNumberFormat="1" applyFont="1" applyBorder="1" applyAlignment="1">
      <alignment horizontal="center" vertical="center"/>
    </xf>
    <xf numFmtId="0" fontId="26" fillId="4" borderId="21" xfId="0" applyFont="1" applyFill="1" applyBorder="1" applyAlignment="1">
      <alignment horizontal="center"/>
    </xf>
    <xf numFmtId="0" fontId="30" fillId="4" borderId="21" xfId="0" applyFont="1" applyFill="1" applyBorder="1" applyAlignment="1">
      <alignment horizontal="center"/>
    </xf>
    <xf numFmtId="0" fontId="23" fillId="0" borderId="0" xfId="0" applyFont="1" applyProtection="1">
      <alignment vertical="center"/>
      <protection locked="0"/>
    </xf>
    <xf numFmtId="0" fontId="17" fillId="0" borderId="13" xfId="0" applyFont="1" applyBorder="1" applyProtection="1">
      <alignment vertical="center"/>
      <protection locked="0"/>
    </xf>
    <xf numFmtId="0" fontId="2" fillId="2" borderId="0" xfId="0" applyFont="1" applyFill="1" applyAlignment="1">
      <alignment horizontal="center" vertical="center" wrapText="1"/>
    </xf>
    <xf numFmtId="49" fontId="6" fillId="0" borderId="21" xfId="0" applyNumberFormat="1" applyFont="1" applyBorder="1" applyAlignment="1">
      <alignment wrapText="1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49" fontId="16" fillId="5" borderId="0" xfId="0" applyNumberFormat="1" applyFont="1" applyFill="1" applyAlignment="1" applyProtection="1">
      <alignment horizontal="center" vertical="center" wrapText="1"/>
      <protection locked="0"/>
    </xf>
    <xf numFmtId="0" fontId="32" fillId="0" borderId="2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178" fontId="32" fillId="4" borderId="22" xfId="0" applyNumberFormat="1" applyFont="1" applyFill="1" applyBorder="1" applyAlignment="1">
      <alignment horizontal="center" vertical="center"/>
    </xf>
    <xf numFmtId="178" fontId="18" fillId="4" borderId="2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34" fillId="0" borderId="22" xfId="0" applyNumberFormat="1" applyFont="1" applyBorder="1" applyAlignment="1" applyProtection="1">
      <alignment horizontal="center" vertical="center" wrapText="1"/>
      <protection locked="0"/>
    </xf>
    <xf numFmtId="49" fontId="34" fillId="0" borderId="22" xfId="1" applyNumberFormat="1" applyFont="1" applyBorder="1" applyAlignment="1" applyProtection="1">
      <alignment horizontal="center" vertical="center" wrapText="1"/>
      <protection locked="0"/>
    </xf>
    <xf numFmtId="49" fontId="34" fillId="4" borderId="22" xfId="0" applyNumberFormat="1" applyFont="1" applyFill="1" applyBorder="1" applyAlignment="1">
      <alignment horizontal="center" vertical="center"/>
    </xf>
    <xf numFmtId="178" fontId="2" fillId="0" borderId="0" xfId="0" applyNumberFormat="1" applyFont="1" applyAlignment="1" applyProtection="1">
      <alignment horizontal="center" vertical="center"/>
      <protection locked="0"/>
    </xf>
    <xf numFmtId="178" fontId="2" fillId="3" borderId="0" xfId="0" applyNumberFormat="1" applyFont="1" applyFill="1" applyAlignment="1" applyProtection="1">
      <alignment horizontal="center" vertical="center"/>
      <protection locked="0"/>
    </xf>
    <xf numFmtId="178" fontId="31" fillId="0" borderId="0" xfId="0" applyNumberFormat="1" applyFont="1" applyAlignment="1" applyProtection="1">
      <alignment horizontal="center" vertical="center" wrapText="1"/>
      <protection locked="0"/>
    </xf>
    <xf numFmtId="49" fontId="27" fillId="0" borderId="1" xfId="0" applyNumberFormat="1" applyFont="1" applyBorder="1" applyAlignment="1" applyProtection="1">
      <alignment horizontal="center" vertical="center"/>
      <protection locked="0"/>
    </xf>
    <xf numFmtId="178" fontId="7" fillId="4" borderId="1" xfId="1" applyNumberFormat="1" applyFont="1" applyFill="1" applyBorder="1" applyAlignment="1">
      <alignment horizontal="center" vertical="center" wrapText="1"/>
    </xf>
    <xf numFmtId="178" fontId="6" fillId="0" borderId="1" xfId="1" applyNumberFormat="1" applyFont="1" applyBorder="1" applyAlignment="1">
      <alignment horizontal="center" vertical="center" wrapText="1"/>
    </xf>
    <xf numFmtId="178" fontId="7" fillId="4" borderId="22" xfId="1" applyNumberFormat="1" applyFont="1" applyFill="1" applyBorder="1" applyAlignment="1">
      <alignment horizontal="center" vertical="center" wrapText="1"/>
    </xf>
    <xf numFmtId="178" fontId="6" fillId="0" borderId="22" xfId="1" applyNumberFormat="1" applyFont="1" applyBorder="1" applyAlignment="1">
      <alignment horizontal="center" vertical="center" wrapText="1"/>
    </xf>
    <xf numFmtId="178" fontId="2" fillId="3" borderId="0" xfId="0" applyNumberFormat="1" applyFont="1" applyFill="1" applyAlignment="1" applyProtection="1">
      <alignment horizontal="center"/>
      <protection locked="0"/>
    </xf>
    <xf numFmtId="178" fontId="2" fillId="0" borderId="0" xfId="0" applyNumberFormat="1" applyFont="1" applyAlignment="1" applyProtection="1">
      <alignment horizontal="center"/>
      <protection locked="0"/>
    </xf>
    <xf numFmtId="178" fontId="34" fillId="4" borderId="22" xfId="1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0" fontId="7" fillId="0" borderId="0" xfId="0" applyFont="1" applyAlignment="1" applyProtection="1">
      <protection locked="0"/>
    </xf>
    <xf numFmtId="178" fontId="31" fillId="0" borderId="9" xfId="0" applyNumberFormat="1" applyFont="1" applyBorder="1" applyAlignment="1">
      <alignment horizontal="center" vertical="center" wrapText="1"/>
    </xf>
    <xf numFmtId="178" fontId="31" fillId="3" borderId="9" xfId="0" applyNumberFormat="1" applyFont="1" applyFill="1" applyBorder="1" applyAlignment="1">
      <alignment horizontal="center" vertical="center" wrapText="1"/>
    </xf>
    <xf numFmtId="0" fontId="31" fillId="0" borderId="9" xfId="0" applyFont="1" applyBorder="1" applyAlignment="1" applyProtection="1">
      <alignment horizontal="center" vertical="center" wrapText="1"/>
      <protection locked="0"/>
    </xf>
    <xf numFmtId="178" fontId="31" fillId="0" borderId="9" xfId="0" applyNumberFormat="1" applyFont="1" applyBorder="1" applyAlignment="1" applyProtection="1">
      <alignment horizontal="center" vertical="center" wrapText="1"/>
      <protection locked="0"/>
    </xf>
    <xf numFmtId="0" fontId="31" fillId="3" borderId="9" xfId="0" applyFont="1" applyFill="1" applyBorder="1" applyAlignment="1" applyProtection="1">
      <alignment horizontal="center" vertical="center" wrapText="1"/>
      <protection locked="0"/>
    </xf>
    <xf numFmtId="49" fontId="27" fillId="8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49" fontId="6" fillId="8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49" fontId="6" fillId="0" borderId="22" xfId="0" applyNumberFormat="1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1" fillId="0" borderId="0" xfId="0" applyFont="1" applyAlignment="1" applyProtection="1">
      <alignment horizontal="center" vertical="center" wrapText="1"/>
      <protection locked="0"/>
    </xf>
    <xf numFmtId="178" fontId="2" fillId="3" borderId="0" xfId="0" applyNumberFormat="1" applyFont="1" applyFill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49" fontId="5" fillId="8" borderId="1" xfId="0" applyNumberFormat="1" applyFont="1" applyFill="1" applyBorder="1" applyAlignment="1" applyProtection="1">
      <alignment horizontal="center"/>
      <protection locked="0"/>
    </xf>
    <xf numFmtId="49" fontId="2" fillId="8" borderId="1" xfId="0" applyNumberFormat="1" applyFont="1" applyFill="1" applyBorder="1" applyAlignment="1" applyProtection="1">
      <alignment horizontal="center"/>
      <protection locked="0"/>
    </xf>
    <xf numFmtId="178" fontId="31" fillId="3" borderId="9" xfId="0" applyNumberFormat="1" applyFont="1" applyFill="1" applyBorder="1" applyAlignment="1" applyProtection="1">
      <alignment horizontal="center" vertical="center" wrapText="1"/>
      <protection locked="0"/>
    </xf>
    <xf numFmtId="179" fontId="2" fillId="0" borderId="0" xfId="0" applyNumberFormat="1" applyFont="1" applyAlignment="1" applyProtection="1">
      <alignment horizontal="center" vertical="center" wrapText="1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176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 applyProtection="1">
      <protection locked="0"/>
    </xf>
    <xf numFmtId="0" fontId="34" fillId="4" borderId="21" xfId="0" applyFont="1" applyFill="1" applyBorder="1" applyAlignment="1">
      <alignment horizontal="center"/>
    </xf>
    <xf numFmtId="0" fontId="34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Border="1" applyAlignment="1">
      <alignment horizontal="center" vertical="center"/>
    </xf>
    <xf numFmtId="0" fontId="7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Border="1" applyAlignment="1" applyProtection="1">
      <alignment horizontal="center" vertical="center"/>
      <protection locked="0"/>
    </xf>
    <xf numFmtId="178" fontId="7" fillId="4" borderId="2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/>
      <protection locked="0"/>
    </xf>
    <xf numFmtId="0" fontId="26" fillId="0" borderId="21" xfId="0" applyFont="1" applyBorder="1" applyAlignment="1" applyProtection="1">
      <alignment horizontal="center"/>
      <protection locked="0"/>
    </xf>
    <xf numFmtId="0" fontId="6" fillId="0" borderId="21" xfId="0" applyFont="1" applyBorder="1" applyAlignment="1" applyProtection="1">
      <alignment horizontal="center"/>
      <protection locked="0"/>
    </xf>
    <xf numFmtId="178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2" fillId="0" borderId="21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27" fillId="0" borderId="21" xfId="0" applyFont="1" applyBorder="1" applyAlignment="1" applyProtection="1">
      <alignment horizontal="center"/>
      <protection locked="0"/>
    </xf>
    <xf numFmtId="49" fontId="40" fillId="0" borderId="8" xfId="0" applyNumberFormat="1" applyFont="1" applyBorder="1" applyAlignment="1" applyProtection="1">
      <alignment horizontal="center" vertical="center" wrapText="1"/>
      <protection locked="0"/>
    </xf>
    <xf numFmtId="0" fontId="41" fillId="0" borderId="8" xfId="0" applyFont="1" applyBorder="1" applyAlignment="1">
      <alignment horizontal="center" vertical="center" wrapText="1"/>
    </xf>
    <xf numFmtId="49" fontId="40" fillId="0" borderId="0" xfId="0" applyNumberFormat="1" applyFont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center"/>
      <protection locked="0"/>
    </xf>
    <xf numFmtId="178" fontId="33" fillId="0" borderId="0" xfId="0" applyNumberFormat="1" applyFont="1" applyAlignment="1" applyProtection="1">
      <alignment horizontal="center" vertical="center"/>
      <protection locked="0"/>
    </xf>
    <xf numFmtId="0" fontId="2" fillId="11" borderId="0" xfId="0" applyFont="1" applyFill="1" applyAlignment="1" applyProtection="1">
      <alignment horizontal="center" vertical="center" wrapText="1"/>
      <protection locked="0"/>
    </xf>
    <xf numFmtId="0" fontId="3" fillId="11" borderId="8" xfId="0" applyFont="1" applyFill="1" applyBorder="1" applyAlignment="1" applyProtection="1">
      <alignment horizontal="center" vertical="center" wrapText="1"/>
      <protection locked="0"/>
    </xf>
    <xf numFmtId="177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12" xfId="0" applyNumberFormat="1" applyFont="1" applyBorder="1" applyAlignment="1" applyProtection="1">
      <alignment horizontal="center" vertical="center" wrapText="1"/>
      <protection locked="0"/>
    </xf>
    <xf numFmtId="0" fontId="3" fillId="11" borderId="8" xfId="0" applyFont="1" applyFill="1" applyBorder="1" applyAlignment="1" applyProtection="1">
      <alignment horizontal="left" vertical="center"/>
      <protection locked="0"/>
    </xf>
    <xf numFmtId="49" fontId="2" fillId="11" borderId="0" xfId="0" applyNumberFormat="1" applyFont="1" applyFill="1" applyAlignment="1" applyProtection="1">
      <alignment horizontal="center" vertical="center" wrapText="1"/>
      <protection locked="0"/>
    </xf>
    <xf numFmtId="49" fontId="2" fillId="11" borderId="0" xfId="0" applyNumberFormat="1" applyFont="1" applyFill="1" applyAlignment="1" applyProtection="1">
      <alignment horizontal="center" vertical="center"/>
      <protection locked="0"/>
    </xf>
    <xf numFmtId="0" fontId="2" fillId="11" borderId="0" xfId="0" applyFont="1" applyFill="1" applyAlignment="1">
      <alignment horizontal="center" vertical="center"/>
    </xf>
    <xf numFmtId="0" fontId="31" fillId="7" borderId="9" xfId="0" applyFont="1" applyFill="1" applyBorder="1" applyAlignment="1" applyProtection="1">
      <alignment horizontal="center" vertical="center" wrapText="1"/>
      <protection locked="0"/>
    </xf>
    <xf numFmtId="178" fontId="14" fillId="4" borderId="2" xfId="0" applyNumberFormat="1" applyFont="1" applyFill="1" applyBorder="1" applyAlignment="1">
      <alignment horizontal="center" vertical="center"/>
    </xf>
    <xf numFmtId="178" fontId="14" fillId="4" borderId="1" xfId="0" applyNumberFormat="1" applyFont="1" applyFill="1" applyBorder="1" applyAlignment="1">
      <alignment horizontal="center" vertical="center" wrapText="1"/>
    </xf>
    <xf numFmtId="178" fontId="14" fillId="4" borderId="1" xfId="0" applyNumberFormat="1" applyFont="1" applyFill="1" applyBorder="1" applyAlignment="1">
      <alignment horizontal="center" vertical="center"/>
    </xf>
    <xf numFmtId="178" fontId="14" fillId="4" borderId="7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Border="1" applyAlignment="1" applyProtection="1">
      <alignment horizontal="center" vertical="center"/>
      <protection locked="0"/>
    </xf>
    <xf numFmtId="178" fontId="14" fillId="4" borderId="1" xfId="0" applyNumberFormat="1" applyFont="1" applyFill="1" applyBorder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178" fontId="22" fillId="3" borderId="0" xfId="0" applyNumberFormat="1" applyFont="1" applyFill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22" fillId="0" borderId="0" xfId="0" applyNumberFormat="1" applyFont="1" applyAlignment="1">
      <alignment horizontal="center" vertical="center" wrapText="1"/>
    </xf>
    <xf numFmtId="178" fontId="13" fillId="4" borderId="7" xfId="0" applyNumberFormat="1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 wrapText="1"/>
    </xf>
    <xf numFmtId="178" fontId="15" fillId="4" borderId="8" xfId="0" applyNumberFormat="1" applyFont="1" applyFill="1" applyBorder="1" applyAlignment="1">
      <alignment horizontal="center" vertical="center" wrapText="1"/>
    </xf>
    <xf numFmtId="178" fontId="18" fillId="4" borderId="8" xfId="0" applyNumberFormat="1" applyFont="1" applyFill="1" applyBorder="1" applyAlignment="1">
      <alignment horizontal="center" vertical="center" wrapText="1"/>
    </xf>
    <xf numFmtId="178" fontId="12" fillId="0" borderId="0" xfId="0" applyNumberFormat="1" applyFont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3" borderId="0" xfId="0" applyNumberFormat="1" applyFont="1" applyFill="1" applyAlignment="1">
      <alignment horizontal="center" vertical="center" wrapText="1"/>
    </xf>
    <xf numFmtId="178" fontId="10" fillId="3" borderId="0" xfId="0" applyNumberFormat="1" applyFont="1" applyFill="1" applyAlignment="1">
      <alignment horizontal="left" vertical="center" wrapText="1"/>
    </xf>
    <xf numFmtId="178" fontId="11" fillId="3" borderId="0" xfId="0" applyNumberFormat="1" applyFont="1" applyFill="1" applyAlignment="1">
      <alignment horizontal="center" vertical="center" wrapText="1"/>
    </xf>
    <xf numFmtId="178" fontId="10" fillId="3" borderId="0" xfId="0" applyNumberFormat="1" applyFont="1" applyFill="1" applyAlignment="1">
      <alignment vertical="center" wrapText="1"/>
    </xf>
    <xf numFmtId="178" fontId="10" fillId="0" borderId="0" xfId="0" applyNumberFormat="1" applyFont="1" applyAlignment="1">
      <alignment vertical="center" wrapText="1"/>
    </xf>
    <xf numFmtId="178" fontId="10" fillId="0" borderId="0" xfId="0" applyNumberFormat="1" applyFont="1" applyAlignment="1">
      <alignment horizontal="left" vertical="center" wrapText="1"/>
    </xf>
    <xf numFmtId="178" fontId="11" fillId="0" borderId="0" xfId="0" applyNumberFormat="1" applyFont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49" fontId="18" fillId="4" borderId="1" xfId="1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78" fontId="34" fillId="4" borderId="22" xfId="0" applyNumberFormat="1" applyFont="1" applyFill="1" applyBorder="1" applyAlignment="1">
      <alignment horizontal="center" vertical="center"/>
    </xf>
    <xf numFmtId="178" fontId="34" fillId="4" borderId="1" xfId="0" applyNumberFormat="1" applyFont="1" applyFill="1" applyBorder="1" applyAlignment="1">
      <alignment horizontal="center" vertical="center"/>
    </xf>
    <xf numFmtId="178" fontId="6" fillId="0" borderId="22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4" fillId="4" borderId="8" xfId="0" applyFont="1" applyFill="1" applyBorder="1" applyAlignment="1">
      <alignment horizontal="center" vertical="center" wrapText="1"/>
    </xf>
    <xf numFmtId="178" fontId="31" fillId="0" borderId="23" xfId="0" applyNumberFormat="1" applyFont="1" applyBorder="1" applyAlignment="1" applyProtection="1">
      <alignment horizontal="center" vertical="center" wrapText="1"/>
      <protection locked="0"/>
    </xf>
    <xf numFmtId="0" fontId="31" fillId="0" borderId="23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alignment vertical="center"/>
      <protection locked="0"/>
    </xf>
    <xf numFmtId="0" fontId="35" fillId="0" borderId="0" xfId="0" applyFont="1" applyProtection="1">
      <alignment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0" xfId="0" applyFont="1" applyProtection="1">
      <alignment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49" fontId="21" fillId="0" borderId="22" xfId="0" applyNumberFormat="1" applyFont="1" applyBorder="1" applyAlignment="1" applyProtection="1">
      <alignment horizontal="center" vertical="center"/>
      <protection locked="0"/>
    </xf>
    <xf numFmtId="0" fontId="19" fillId="7" borderId="22" xfId="0" applyFont="1" applyFill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178" fontId="31" fillId="0" borderId="0" xfId="0" applyNumberFormat="1" applyFont="1" applyAlignment="1">
      <alignment horizontal="center" vertical="center" wrapText="1"/>
    </xf>
    <xf numFmtId="178" fontId="31" fillId="0" borderId="6" xfId="0" applyNumberFormat="1" applyFont="1" applyBorder="1" applyAlignment="1">
      <alignment horizontal="center" vertical="center" wrapText="1"/>
    </xf>
    <xf numFmtId="0" fontId="19" fillId="0" borderId="17" xfId="0" applyFont="1" applyBorder="1" applyProtection="1">
      <alignment vertical="center"/>
      <protection locked="0"/>
    </xf>
    <xf numFmtId="178" fontId="31" fillId="0" borderId="17" xfId="0" applyNumberFormat="1" applyFont="1" applyBorder="1" applyAlignment="1">
      <alignment horizontal="center" vertical="center" wrapText="1"/>
    </xf>
    <xf numFmtId="0" fontId="35" fillId="0" borderId="17" xfId="0" applyFont="1" applyBorder="1" applyProtection="1">
      <alignment vertical="center"/>
      <protection locked="0"/>
    </xf>
    <xf numFmtId="0" fontId="19" fillId="0" borderId="6" xfId="0" applyFont="1" applyBorder="1" applyProtection="1">
      <alignment vertical="center"/>
      <protection locked="0"/>
    </xf>
    <xf numFmtId="0" fontId="17" fillId="0" borderId="6" xfId="0" applyFont="1" applyBorder="1" applyProtection="1">
      <alignment vertical="center"/>
      <protection locked="0"/>
    </xf>
    <xf numFmtId="0" fontId="21" fillId="0" borderId="17" xfId="0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178" fontId="47" fillId="0" borderId="12" xfId="0" applyNumberFormat="1" applyFont="1" applyBorder="1" applyAlignment="1">
      <alignment horizontal="left" vertical="center" wrapText="1"/>
    </xf>
    <xf numFmtId="178" fontId="47" fillId="0" borderId="0" xfId="0" applyNumberFormat="1" applyFont="1" applyAlignment="1">
      <alignment horizontal="center" vertical="center" wrapText="1"/>
    </xf>
    <xf numFmtId="178" fontId="47" fillId="0" borderId="18" xfId="0" applyNumberFormat="1" applyFont="1" applyBorder="1" applyAlignment="1">
      <alignment horizontal="left" vertical="center" wrapText="1"/>
    </xf>
    <xf numFmtId="178" fontId="47" fillId="0" borderId="6" xfId="0" applyNumberFormat="1" applyFont="1" applyBorder="1" applyAlignment="1">
      <alignment horizontal="center" vertical="center" wrapText="1"/>
    </xf>
    <xf numFmtId="178" fontId="47" fillId="0" borderId="27" xfId="0" applyNumberFormat="1" applyFont="1" applyBorder="1" applyAlignment="1">
      <alignment horizontal="left" vertical="center" wrapText="1"/>
    </xf>
    <xf numFmtId="178" fontId="47" fillId="0" borderId="28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4" fillId="11" borderId="0" xfId="0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11" borderId="0" xfId="0" applyFont="1" applyFill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11" borderId="0" xfId="0" applyFont="1" applyFill="1" applyAlignment="1">
      <alignment horizontal="center" vertical="center"/>
    </xf>
    <xf numFmtId="179" fontId="4" fillId="0" borderId="0" xfId="0" applyNumberFormat="1" applyFont="1" applyAlignment="1" applyProtection="1">
      <alignment horizontal="center" vertical="center" wrapText="1"/>
      <protection locked="0"/>
    </xf>
    <xf numFmtId="177" fontId="4" fillId="0" borderId="0" xfId="0" applyNumberFormat="1" applyFont="1" applyAlignment="1" applyProtection="1">
      <alignment horizontal="center" vertical="center"/>
      <protection locked="0"/>
    </xf>
    <xf numFmtId="49" fontId="4" fillId="0" borderId="0" xfId="0" quotePrefix="1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49" fontId="4" fillId="11" borderId="0" xfId="0" applyNumberFormat="1" applyFont="1" applyFill="1" applyAlignment="1" applyProtection="1">
      <alignment horizontal="center" vertical="center"/>
      <protection locked="0"/>
    </xf>
    <xf numFmtId="0" fontId="46" fillId="0" borderId="0" xfId="0" applyFont="1" applyAlignment="1">
      <alignment horizontal="center" vertical="center" wrapText="1"/>
    </xf>
    <xf numFmtId="49" fontId="3" fillId="15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2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13" borderId="3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3" fillId="11" borderId="8" xfId="0" applyNumberFormat="1" applyFont="1" applyFill="1" applyBorder="1" applyAlignment="1" applyProtection="1">
      <alignment horizontal="center" vertical="center" wrapText="1"/>
      <protection locked="0"/>
    </xf>
    <xf numFmtId="49" fontId="10" fillId="3" borderId="0" xfId="0" applyNumberFormat="1" applyFont="1" applyFill="1" applyAlignment="1">
      <alignment horizontal="center"/>
    </xf>
    <xf numFmtId="49" fontId="10" fillId="0" borderId="0" xfId="0" applyNumberFormat="1" applyFont="1" applyAlignment="1">
      <alignment horizontal="center"/>
    </xf>
    <xf numFmtId="0" fontId="31" fillId="0" borderId="9" xfId="0" applyFont="1" applyBorder="1" applyAlignment="1">
      <alignment horizontal="center" vertical="center" wrapText="1"/>
    </xf>
    <xf numFmtId="0" fontId="31" fillId="0" borderId="9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/>
    </xf>
    <xf numFmtId="0" fontId="0" fillId="0" borderId="0" xfId="0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8" fontId="5" fillId="0" borderId="6" xfId="0" applyNumberFormat="1" applyFont="1" applyBorder="1" applyAlignment="1" applyProtection="1">
      <alignment horizontal="center" vertical="center" wrapText="1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24" xfId="0" applyFont="1" applyBorder="1" applyAlignment="1" applyProtection="1">
      <alignment horizontal="center" vertical="center"/>
      <protection locked="0"/>
    </xf>
    <xf numFmtId="0" fontId="19" fillId="0" borderId="25" xfId="0" applyFont="1" applyBorder="1" applyAlignment="1" applyProtection="1">
      <alignment horizontal="center" vertical="center"/>
      <protection locked="0"/>
    </xf>
    <xf numFmtId="0" fontId="19" fillId="0" borderId="26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>
      <alignment horizontal="center" vertical="center"/>
    </xf>
    <xf numFmtId="0" fontId="39" fillId="0" borderId="22" xfId="0" applyFont="1" applyBorder="1" applyAlignment="1" applyProtection="1">
      <alignment horizontal="center" vertical="top" wrapText="1"/>
      <protection locked="0"/>
    </xf>
    <xf numFmtId="0" fontId="39" fillId="0" borderId="22" xfId="0" applyFont="1" applyBorder="1" applyAlignment="1" applyProtection="1">
      <alignment horizontal="center" vertical="top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178" fontId="17" fillId="0" borderId="0" xfId="0" applyNumberFormat="1" applyFont="1" applyAlignment="1">
      <alignment vertical="center" wrapText="1"/>
    </xf>
    <xf numFmtId="178" fontId="19" fillId="0" borderId="0" xfId="0" applyNumberFormat="1" applyFont="1">
      <alignment vertical="center"/>
    </xf>
    <xf numFmtId="178" fontId="17" fillId="0" borderId="6" xfId="0" applyNumberFormat="1" applyFont="1" applyBorder="1" applyAlignment="1">
      <alignment vertical="center" wrapText="1"/>
    </xf>
    <xf numFmtId="0" fontId="39" fillId="0" borderId="8" xfId="0" applyFont="1" applyBorder="1" applyAlignment="1" applyProtection="1">
      <alignment horizontal="center" vertical="top" wrapText="1"/>
      <protection locked="0"/>
    </xf>
    <xf numFmtId="0" fontId="39" fillId="0" borderId="11" xfId="0" applyFont="1" applyBorder="1" applyAlignment="1" applyProtection="1">
      <alignment horizontal="center" vertical="top" wrapText="1"/>
      <protection locked="0"/>
    </xf>
    <xf numFmtId="0" fontId="39" fillId="0" borderId="20" xfId="0" applyFont="1" applyBorder="1" applyAlignment="1" applyProtection="1">
      <alignment horizontal="center" vertical="top" wrapText="1"/>
      <protection locked="0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19" fillId="0" borderId="22" xfId="0" applyFont="1" applyBorder="1" applyAlignment="1" applyProtection="1">
      <alignment horizontal="center" vertical="center" wrapText="1"/>
      <protection locked="0"/>
    </xf>
    <xf numFmtId="49" fontId="19" fillId="0" borderId="8" xfId="0" applyNumberFormat="1" applyFont="1" applyBorder="1" applyAlignment="1" applyProtection="1">
      <alignment horizontal="center" vertical="center"/>
      <protection locked="0"/>
    </xf>
    <xf numFmtId="49" fontId="19" fillId="0" borderId="20" xfId="0" applyNumberFormat="1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left" vertical="top"/>
      <protection locked="0"/>
    </xf>
    <xf numFmtId="0" fontId="19" fillId="0" borderId="17" xfId="0" applyFont="1" applyBorder="1" applyAlignment="1" applyProtection="1">
      <alignment horizontal="left" vertical="top"/>
      <protection locked="0"/>
    </xf>
    <xf numFmtId="0" fontId="19" fillId="0" borderId="12" xfId="0" applyFont="1" applyBorder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19" fillId="0" borderId="0" xfId="0" applyFont="1" applyProtection="1">
      <alignment vertical="center"/>
      <protection locked="0"/>
    </xf>
    <xf numFmtId="0" fontId="19" fillId="0" borderId="13" xfId="0" applyFont="1" applyBorder="1" applyProtection="1">
      <alignment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3" fillId="0" borderId="25" xfId="0" applyFont="1" applyBorder="1" applyAlignment="1" applyProtection="1">
      <alignment horizontal="center" vertical="center"/>
      <protection locked="0"/>
    </xf>
    <xf numFmtId="0" fontId="23" fillId="0" borderId="2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left" vertical="center" wrapText="1"/>
      <protection locked="0"/>
    </xf>
    <xf numFmtId="0" fontId="19" fillId="0" borderId="17" xfId="0" applyFont="1" applyBorder="1" applyAlignment="1" applyProtection="1">
      <alignment horizontal="left" vertical="center" wrapText="1"/>
      <protection locked="0"/>
    </xf>
    <xf numFmtId="0" fontId="19" fillId="0" borderId="15" xfId="0" applyFont="1" applyBorder="1" applyAlignment="1" applyProtection="1">
      <alignment horizontal="left" vertical="center" wrapText="1"/>
      <protection locked="0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19" fillId="0" borderId="15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0" fontId="19" fillId="0" borderId="18" xfId="0" applyFont="1" applyBorder="1" applyAlignment="1" applyProtection="1">
      <alignment horizontal="center" vertical="center" wrapText="1"/>
      <protection locked="0"/>
    </xf>
    <xf numFmtId="0" fontId="19" fillId="0" borderId="19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49" fontId="21" fillId="0" borderId="8" xfId="0" applyNumberFormat="1" applyFont="1" applyBorder="1" applyAlignment="1" applyProtection="1">
      <alignment horizontal="center" vertical="center"/>
      <protection locked="0"/>
    </xf>
    <xf numFmtId="49" fontId="21" fillId="0" borderId="20" xfId="0" applyNumberFormat="1" applyFont="1" applyBorder="1" applyAlignment="1" applyProtection="1">
      <alignment horizontal="center" vertical="center"/>
      <protection locked="0"/>
    </xf>
    <xf numFmtId="0" fontId="19" fillId="7" borderId="8" xfId="0" applyFont="1" applyFill="1" applyBorder="1" applyAlignment="1" applyProtection="1">
      <alignment horizontal="center" vertical="center"/>
      <protection locked="0"/>
    </xf>
    <xf numFmtId="0" fontId="19" fillId="7" borderId="20" xfId="0" applyFont="1" applyFill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left" vertical="center" wrapText="1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19" xfId="0" applyFont="1" applyBorder="1" applyAlignment="1" applyProtection="1">
      <alignment horizontal="left" vertical="center" wrapText="1"/>
      <protection locked="0"/>
    </xf>
    <xf numFmtId="0" fontId="4" fillId="7" borderId="0" xfId="0" applyFont="1" applyFill="1" applyAlignment="1" applyProtection="1">
      <alignment horizontal="center" vertical="center"/>
      <protection locked="0"/>
    </xf>
    <xf numFmtId="0" fontId="2" fillId="7" borderId="0" xfId="0" applyFont="1" applyFill="1" applyAlignment="1" applyProtection="1">
      <alignment horizontal="center" vertical="center"/>
      <protection locked="0"/>
    </xf>
    <xf numFmtId="0" fontId="2" fillId="7" borderId="0" xfId="0" applyFont="1" applyFill="1" applyAlignment="1" applyProtection="1">
      <alignment horizontal="center" vertical="center" wrapText="1"/>
      <protection locked="0"/>
    </xf>
    <xf numFmtId="3" fontId="6" fillId="0" borderId="0" xfId="0" applyNumberFormat="1" applyFont="1" applyAlignment="1" applyProtection="1">
      <alignment horizontal="center" vertical="center"/>
      <protection locked="0"/>
    </xf>
    <xf numFmtId="49" fontId="48" fillId="0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center" vertical="center"/>
    </xf>
    <xf numFmtId="0" fontId="48" fillId="0" borderId="0" xfId="0" applyFont="1" applyAlignment="1" applyProtection="1">
      <alignment horizontal="center" vertical="center"/>
      <protection locked="0"/>
    </xf>
    <xf numFmtId="3" fontId="48" fillId="0" borderId="0" xfId="0" applyNumberFormat="1" applyFont="1" applyFill="1" applyAlignment="1" applyProtection="1">
      <alignment horizontal="center" vertical="center" wrapText="1"/>
      <protection locked="0"/>
    </xf>
    <xf numFmtId="0" fontId="2" fillId="15" borderId="0" xfId="0" applyFont="1" applyFill="1" applyAlignment="1">
      <alignment horizontal="center" vertical="center"/>
    </xf>
  </cellXfs>
  <cellStyles count="7">
    <cellStyle name="一般" xfId="0" builtinId="0"/>
    <cellStyle name="一般 2" xfId="1" xr:uid="{1C9F80B0-9B49-40C9-B17B-C79824F4544B}"/>
    <cellStyle name="一般 2 11" xfId="2" xr:uid="{6864B391-F814-499F-91CF-D57D08389850}"/>
    <cellStyle name="一般 2 9" xfId="6" xr:uid="{77CF946E-E229-4DA6-ACBE-5A8D82718C01}"/>
    <cellStyle name="一般 3" xfId="3" xr:uid="{8939EC82-3CD2-41B9-AA31-E329E3129F98}"/>
    <cellStyle name="一般 3 2" xfId="5" xr:uid="{424952DE-0D96-4150-BF69-7AF8FC632E24}"/>
    <cellStyle name="一般 8" xfId="4" xr:uid="{99F88359-F738-4D05-AE02-25444F321ACC}"/>
  </cellStyles>
  <dxfs count="14">
    <dxf>
      <font>
        <color rgb="FF9C0006"/>
      </font>
      <fill>
        <patternFill>
          <fgColor rgb="FF99FF66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theme="7"/>
          <bgColor rgb="FFFFC7CE"/>
        </patternFill>
      </fill>
    </dxf>
    <dxf>
      <font>
        <color theme="1"/>
      </font>
      <fill>
        <patternFill>
          <fgColor rgb="FF99FF66"/>
          <bgColor rgb="FF99FF33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9999"/>
      <color rgb="FF8E0000"/>
      <color rgb="FFFCE0E0"/>
      <color rgb="FFFF5050"/>
      <color rgb="FF85DFFF"/>
      <color rgb="FFFBD5D8"/>
      <color rgb="FF99FF33"/>
      <color rgb="FF99FF66"/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A6D7-0509-4D13-8CCD-195DDA4AED73}">
  <dimension ref="A1:P263"/>
  <sheetViews>
    <sheetView topLeftCell="A181" zoomScale="85" zoomScaleNormal="85" workbookViewId="0">
      <selection activeCell="D195" sqref="D195"/>
    </sheetView>
  </sheetViews>
  <sheetFormatPr defaultColWidth="8.88671875" defaultRowHeight="16.2" x14ac:dyDescent="0.3"/>
  <cols>
    <col min="1" max="1" width="13.88671875" style="2" customWidth="1"/>
    <col min="2" max="2" width="23" style="2" bestFit="1" customWidth="1"/>
    <col min="3" max="3" width="8.21875" style="2" customWidth="1"/>
    <col min="4" max="4" width="15.44140625" style="2" customWidth="1"/>
    <col min="5" max="5" width="8.88671875" style="2"/>
    <col min="6" max="6" width="15.44140625" style="2" customWidth="1"/>
    <col min="7" max="7" width="8.88671875" style="2"/>
    <col min="8" max="9" width="10.109375" style="110" customWidth="1"/>
    <col min="10" max="10" width="21" style="2" customWidth="1"/>
    <col min="11" max="11" width="8.88671875" style="2"/>
    <col min="12" max="12" width="13.44140625" style="2" customWidth="1"/>
    <col min="13" max="13" width="8.88671875" style="2"/>
    <col min="14" max="14" width="19.33203125" style="2" customWidth="1"/>
    <col min="15" max="15" width="8.88671875" style="2"/>
    <col min="16" max="16" width="41.6640625" style="2" customWidth="1"/>
    <col min="17" max="17" width="4.77734375" style="2" bestFit="1" customWidth="1"/>
    <col min="18" max="18" width="27.88671875" style="2" customWidth="1"/>
    <col min="19" max="19" width="8.88671875" style="2"/>
    <col min="20" max="20" width="16.44140625" style="2" bestFit="1" customWidth="1"/>
    <col min="21" max="21" width="8.88671875" style="2"/>
    <col min="22" max="22" width="19.44140625" style="2" customWidth="1"/>
    <col min="23" max="23" width="8.88671875" style="2"/>
    <col min="24" max="24" width="17.77734375" style="2" customWidth="1"/>
    <col min="25" max="16384" width="8.88671875" style="2"/>
  </cols>
  <sheetData>
    <row r="1" spans="1:16" s="17" customFormat="1" ht="27.6" x14ac:dyDescent="0.3">
      <c r="A1" s="52" t="s">
        <v>112</v>
      </c>
      <c r="B1" s="53" t="s">
        <v>121</v>
      </c>
      <c r="C1" s="54" t="s">
        <v>114</v>
      </c>
      <c r="D1" s="54" t="s">
        <v>115</v>
      </c>
      <c r="E1" s="54" t="s">
        <v>117</v>
      </c>
      <c r="F1" s="54" t="s">
        <v>118</v>
      </c>
      <c r="G1" s="54" t="s">
        <v>116</v>
      </c>
      <c r="H1" s="111" t="s">
        <v>223</v>
      </c>
      <c r="I1" s="111" t="s">
        <v>382</v>
      </c>
      <c r="O1" s="318" t="s">
        <v>127</v>
      </c>
      <c r="P1" s="319"/>
    </row>
    <row r="2" spans="1:16" ht="48.6" x14ac:dyDescent="0.3">
      <c r="A2" s="3" t="s">
        <v>99</v>
      </c>
      <c r="B2" s="48" t="s">
        <v>15</v>
      </c>
      <c r="C2" s="3" t="s">
        <v>76</v>
      </c>
      <c r="D2" s="3" t="s">
        <v>80</v>
      </c>
      <c r="E2" s="3" t="s">
        <v>79</v>
      </c>
      <c r="F2" s="3">
        <v>3</v>
      </c>
      <c r="G2" s="3" t="s">
        <v>82</v>
      </c>
      <c r="H2" s="112" t="s">
        <v>627</v>
      </c>
      <c r="I2" s="112" t="s">
        <v>628</v>
      </c>
      <c r="O2" s="49" t="s">
        <v>126</v>
      </c>
      <c r="P2" s="51" t="s">
        <v>128</v>
      </c>
    </row>
    <row r="3" spans="1:16" ht="64.8" x14ac:dyDescent="0.3">
      <c r="A3" s="3" t="s">
        <v>113</v>
      </c>
      <c r="O3" s="50" t="s">
        <v>126</v>
      </c>
      <c r="P3" s="51" t="s">
        <v>129</v>
      </c>
    </row>
    <row r="10" spans="1:16" x14ac:dyDescent="0.3">
      <c r="A10" s="320"/>
      <c r="B10" s="320"/>
      <c r="C10" s="320"/>
      <c r="D10" s="320"/>
      <c r="E10" s="320"/>
      <c r="F10" s="320"/>
      <c r="G10" s="320"/>
      <c r="H10" s="138"/>
      <c r="I10" s="138"/>
      <c r="J10" s="128"/>
    </row>
    <row r="11" spans="1:16" ht="15.6" customHeight="1" x14ac:dyDescent="0.3">
      <c r="A11" s="140" t="s">
        <v>1148</v>
      </c>
      <c r="B11" s="140"/>
      <c r="C11" s="140"/>
      <c r="D11" s="140"/>
      <c r="E11" s="140"/>
      <c r="F11" s="140"/>
      <c r="G11" s="140"/>
      <c r="H11" s="141"/>
      <c r="I11" s="141"/>
      <c r="J11" s="140"/>
      <c r="K11" s="140"/>
      <c r="L11" s="140"/>
      <c r="M11" s="140"/>
      <c r="N11" s="140"/>
    </row>
    <row r="12" spans="1:16" x14ac:dyDescent="0.3">
      <c r="A12" s="316" t="s">
        <v>424</v>
      </c>
      <c r="B12" s="317"/>
      <c r="C12" s="316" t="s">
        <v>96</v>
      </c>
      <c r="D12" s="317"/>
      <c r="E12" s="316" t="s">
        <v>823</v>
      </c>
      <c r="F12" s="317"/>
      <c r="G12" s="316" t="s">
        <v>824</v>
      </c>
      <c r="H12" s="317"/>
    </row>
    <row r="13" spans="1:16" x14ac:dyDescent="0.3">
      <c r="A13" s="316" t="s">
        <v>418</v>
      </c>
      <c r="B13" s="316"/>
      <c r="C13" s="316" t="s">
        <v>432</v>
      </c>
      <c r="D13" s="316"/>
      <c r="E13" s="316" t="s">
        <v>433</v>
      </c>
      <c r="F13" s="316"/>
      <c r="G13" s="316" t="s">
        <v>437</v>
      </c>
      <c r="H13" s="316"/>
    </row>
    <row r="14" spans="1:16" x14ac:dyDescent="0.3">
      <c r="A14" s="139" t="s">
        <v>78</v>
      </c>
      <c r="B14" s="139" t="s">
        <v>839</v>
      </c>
      <c r="C14" s="139" t="s">
        <v>78</v>
      </c>
      <c r="D14" s="139" t="s">
        <v>640</v>
      </c>
      <c r="E14" s="139" t="s">
        <v>78</v>
      </c>
      <c r="F14" s="139" t="s">
        <v>641</v>
      </c>
      <c r="G14" s="139" t="s">
        <v>78</v>
      </c>
      <c r="H14" s="139" t="s">
        <v>642</v>
      </c>
    </row>
    <row r="15" spans="1:16" ht="32.4" x14ac:dyDescent="0.3">
      <c r="A15" s="139" t="s">
        <v>79</v>
      </c>
      <c r="B15" s="139" t="s">
        <v>846</v>
      </c>
      <c r="C15" s="139" t="s">
        <v>689</v>
      </c>
      <c r="D15" s="139" t="s">
        <v>845</v>
      </c>
      <c r="E15" s="139" t="s">
        <v>679</v>
      </c>
      <c r="F15" s="139" t="s">
        <v>844</v>
      </c>
      <c r="G15" s="139" t="s">
        <v>79</v>
      </c>
      <c r="H15" s="139" t="s">
        <v>646</v>
      </c>
    </row>
    <row r="16" spans="1:16" ht="32.4" x14ac:dyDescent="0.3">
      <c r="A16" s="139" t="s">
        <v>634</v>
      </c>
      <c r="B16" s="139" t="s">
        <v>632</v>
      </c>
      <c r="C16" s="139" t="s">
        <v>695</v>
      </c>
      <c r="D16" s="139" t="s">
        <v>852</v>
      </c>
      <c r="E16" s="139" t="s">
        <v>683</v>
      </c>
      <c r="F16" s="139" t="s">
        <v>851</v>
      </c>
      <c r="G16" s="139" t="s">
        <v>634</v>
      </c>
      <c r="H16" s="139" t="s">
        <v>649</v>
      </c>
    </row>
    <row r="17" spans="1:8" x14ac:dyDescent="0.3">
      <c r="A17" s="139" t="s">
        <v>637</v>
      </c>
      <c r="B17" s="139" t="s">
        <v>635</v>
      </c>
      <c r="C17" s="139" t="s">
        <v>79</v>
      </c>
      <c r="D17" s="139" t="s">
        <v>644</v>
      </c>
      <c r="E17" s="139" t="s">
        <v>685</v>
      </c>
      <c r="F17" s="139" t="s">
        <v>856</v>
      </c>
      <c r="G17" s="139" t="s">
        <v>637</v>
      </c>
      <c r="H17" s="139" t="s">
        <v>652</v>
      </c>
    </row>
    <row r="18" spans="1:8" ht="32.4" x14ac:dyDescent="0.3">
      <c r="A18" s="110"/>
      <c r="C18" s="139" t="s">
        <v>634</v>
      </c>
      <c r="D18" s="139" t="s">
        <v>647</v>
      </c>
      <c r="E18" s="139" t="s">
        <v>686</v>
      </c>
      <c r="F18" s="139" t="s">
        <v>860</v>
      </c>
      <c r="G18" s="139" t="s">
        <v>633</v>
      </c>
      <c r="H18" s="139" t="s">
        <v>861</v>
      </c>
    </row>
    <row r="19" spans="1:8" x14ac:dyDescent="0.3">
      <c r="A19" s="110"/>
      <c r="C19" s="139" t="s">
        <v>637</v>
      </c>
      <c r="D19" s="139" t="s">
        <v>650</v>
      </c>
      <c r="E19" s="139" t="s">
        <v>687</v>
      </c>
      <c r="F19" s="139" t="s">
        <v>866</v>
      </c>
      <c r="H19" s="2"/>
    </row>
    <row r="20" spans="1:8" ht="32.4" x14ac:dyDescent="0.3">
      <c r="A20" s="110"/>
      <c r="C20" s="139" t="s">
        <v>633</v>
      </c>
      <c r="D20" s="139" t="s">
        <v>653</v>
      </c>
      <c r="E20" s="139" t="s">
        <v>688</v>
      </c>
      <c r="F20" s="139" t="s">
        <v>871</v>
      </c>
      <c r="H20" s="2"/>
    </row>
    <row r="21" spans="1:8" x14ac:dyDescent="0.3">
      <c r="A21" s="110"/>
      <c r="C21" s="139" t="s">
        <v>655</v>
      </c>
      <c r="D21" s="139" t="s">
        <v>656</v>
      </c>
      <c r="E21" s="139" t="s">
        <v>689</v>
      </c>
      <c r="F21" s="139" t="s">
        <v>876</v>
      </c>
      <c r="H21" s="2"/>
    </row>
    <row r="22" spans="1:8" ht="32.4" x14ac:dyDescent="0.3">
      <c r="A22" s="110"/>
      <c r="C22" s="139" t="s">
        <v>636</v>
      </c>
      <c r="D22" s="139" t="s">
        <v>658</v>
      </c>
      <c r="E22" s="139" t="s">
        <v>690</v>
      </c>
      <c r="F22" s="139" t="s">
        <v>881</v>
      </c>
      <c r="H22" s="2"/>
    </row>
    <row r="23" spans="1:8" x14ac:dyDescent="0.3">
      <c r="A23" s="110"/>
      <c r="C23" s="139" t="s">
        <v>660</v>
      </c>
      <c r="D23" s="139" t="s">
        <v>661</v>
      </c>
      <c r="E23" s="139" t="s">
        <v>691</v>
      </c>
      <c r="F23" s="139" t="s">
        <v>885</v>
      </c>
      <c r="H23" s="2"/>
    </row>
    <row r="24" spans="1:8" x14ac:dyDescent="0.3">
      <c r="A24" s="110"/>
      <c r="C24" s="139" t="s">
        <v>663</v>
      </c>
      <c r="D24" s="139" t="s">
        <v>664</v>
      </c>
      <c r="E24" s="139" t="s">
        <v>692</v>
      </c>
      <c r="F24" s="139" t="s">
        <v>888</v>
      </c>
      <c r="H24" s="2"/>
    </row>
    <row r="25" spans="1:8" x14ac:dyDescent="0.3">
      <c r="A25" s="110"/>
      <c r="C25" s="139" t="s">
        <v>666</v>
      </c>
      <c r="D25" s="139" t="s">
        <v>667</v>
      </c>
      <c r="E25" s="139" t="s">
        <v>693</v>
      </c>
      <c r="F25" s="139" t="s">
        <v>892</v>
      </c>
      <c r="H25" s="2"/>
    </row>
    <row r="26" spans="1:8" x14ac:dyDescent="0.3">
      <c r="A26" s="110"/>
      <c r="C26" s="139" t="s">
        <v>669</v>
      </c>
      <c r="D26" s="139" t="s">
        <v>670</v>
      </c>
      <c r="E26" s="139" t="s">
        <v>694</v>
      </c>
      <c r="F26" s="139" t="s">
        <v>896</v>
      </c>
      <c r="H26" s="2"/>
    </row>
    <row r="27" spans="1:8" x14ac:dyDescent="0.3">
      <c r="A27" s="110"/>
      <c r="C27" s="139" t="s">
        <v>672</v>
      </c>
      <c r="D27" s="139" t="s">
        <v>673</v>
      </c>
      <c r="E27" s="139" t="s">
        <v>695</v>
      </c>
      <c r="F27" s="139" t="s">
        <v>900</v>
      </c>
      <c r="H27" s="2"/>
    </row>
    <row r="28" spans="1:8" ht="48.6" x14ac:dyDescent="0.3">
      <c r="A28" s="110"/>
      <c r="C28" s="139" t="s">
        <v>675</v>
      </c>
      <c r="D28" s="139" t="s">
        <v>676</v>
      </c>
      <c r="E28" s="139" t="s">
        <v>696</v>
      </c>
      <c r="F28" s="139" t="s">
        <v>904</v>
      </c>
      <c r="H28" s="2"/>
    </row>
    <row r="29" spans="1:8" x14ac:dyDescent="0.3">
      <c r="A29" s="110"/>
      <c r="C29" s="139" t="s">
        <v>677</v>
      </c>
      <c r="D29" s="139" t="s">
        <v>678</v>
      </c>
      <c r="E29" s="139" t="s">
        <v>643</v>
      </c>
      <c r="F29" s="139" t="s">
        <v>907</v>
      </c>
      <c r="H29" s="2"/>
    </row>
    <row r="30" spans="1:8" x14ac:dyDescent="0.3">
      <c r="A30" s="110"/>
      <c r="C30" s="139" t="s">
        <v>679</v>
      </c>
      <c r="D30" s="139" t="s">
        <v>680</v>
      </c>
      <c r="E30" s="139" t="s">
        <v>79</v>
      </c>
      <c r="F30" s="139" t="s">
        <v>645</v>
      </c>
      <c r="H30" s="2"/>
    </row>
    <row r="31" spans="1:8" ht="32.4" x14ac:dyDescent="0.3">
      <c r="A31" s="110"/>
      <c r="C31" s="139" t="s">
        <v>681</v>
      </c>
      <c r="D31" s="139" t="s">
        <v>682</v>
      </c>
      <c r="E31" s="139" t="s">
        <v>634</v>
      </c>
      <c r="F31" s="139" t="s">
        <v>648</v>
      </c>
      <c r="H31" s="2"/>
    </row>
    <row r="32" spans="1:8" x14ac:dyDescent="0.3">
      <c r="A32" s="110"/>
      <c r="C32" s="139" t="s">
        <v>683</v>
      </c>
      <c r="D32" s="139" t="s">
        <v>684</v>
      </c>
      <c r="E32" s="139" t="s">
        <v>637</v>
      </c>
      <c r="F32" s="139" t="s">
        <v>651</v>
      </c>
      <c r="H32" s="2"/>
    </row>
    <row r="33" spans="1:14" x14ac:dyDescent="0.3">
      <c r="A33" s="110"/>
      <c r="E33" s="139" t="s">
        <v>633</v>
      </c>
      <c r="F33" s="139" t="s">
        <v>654</v>
      </c>
      <c r="H33" s="2"/>
    </row>
    <row r="34" spans="1:14" x14ac:dyDescent="0.3">
      <c r="A34" s="110"/>
      <c r="E34" s="139" t="s">
        <v>655</v>
      </c>
      <c r="F34" s="139" t="s">
        <v>657</v>
      </c>
      <c r="H34" s="2"/>
    </row>
    <row r="35" spans="1:14" x14ac:dyDescent="0.3">
      <c r="A35" s="110"/>
      <c r="E35" s="139" t="s">
        <v>636</v>
      </c>
      <c r="F35" s="139" t="s">
        <v>659</v>
      </c>
      <c r="H35" s="2"/>
    </row>
    <row r="36" spans="1:14" x14ac:dyDescent="0.3">
      <c r="A36" s="110"/>
      <c r="E36" s="139" t="s">
        <v>660</v>
      </c>
      <c r="F36" s="139" t="s">
        <v>662</v>
      </c>
      <c r="H36" s="2"/>
    </row>
    <row r="37" spans="1:14" x14ac:dyDescent="0.3">
      <c r="A37" s="110"/>
      <c r="E37" s="139" t="s">
        <v>663</v>
      </c>
      <c r="F37" s="139" t="s">
        <v>665</v>
      </c>
      <c r="H37" s="2"/>
    </row>
    <row r="38" spans="1:14" x14ac:dyDescent="0.3">
      <c r="A38" s="110"/>
      <c r="E38" s="139" t="s">
        <v>666</v>
      </c>
      <c r="F38" s="139" t="s">
        <v>668</v>
      </c>
      <c r="H38" s="2"/>
    </row>
    <row r="39" spans="1:14" x14ac:dyDescent="0.3">
      <c r="A39" s="110"/>
      <c r="E39" s="139" t="s">
        <v>669</v>
      </c>
      <c r="F39" s="139" t="s">
        <v>671</v>
      </c>
      <c r="H39" s="2"/>
    </row>
    <row r="40" spans="1:14" x14ac:dyDescent="0.3">
      <c r="A40" s="110"/>
      <c r="E40" s="139" t="s">
        <v>672</v>
      </c>
      <c r="F40" s="139" t="s">
        <v>674</v>
      </c>
      <c r="H40" s="2"/>
    </row>
    <row r="41" spans="1:14" x14ac:dyDescent="0.3">
      <c r="A41" s="110"/>
      <c r="E41" s="139" t="s">
        <v>675</v>
      </c>
      <c r="F41" s="139" t="s">
        <v>932</v>
      </c>
      <c r="H41" s="2"/>
    </row>
    <row r="42" spans="1:14" x14ac:dyDescent="0.3">
      <c r="A42" s="110"/>
      <c r="H42" s="2"/>
    </row>
    <row r="43" spans="1:14" x14ac:dyDescent="0.3">
      <c r="A43" s="110"/>
      <c r="H43" s="2"/>
    </row>
    <row r="44" spans="1:14" x14ac:dyDescent="0.3">
      <c r="A44" s="110"/>
      <c r="H44" s="2"/>
    </row>
    <row r="45" spans="1:14" x14ac:dyDescent="0.3">
      <c r="A45" s="110"/>
      <c r="H45" s="2"/>
    </row>
    <row r="46" spans="1:14" x14ac:dyDescent="0.3">
      <c r="A46" s="110"/>
      <c r="H46" s="2"/>
    </row>
    <row r="47" spans="1:14" x14ac:dyDescent="0.3">
      <c r="A47" s="140" t="s">
        <v>1147</v>
      </c>
      <c r="B47" s="140"/>
      <c r="C47" s="140"/>
      <c r="D47" s="140"/>
      <c r="E47" s="140"/>
      <c r="F47" s="140"/>
      <c r="G47" s="140"/>
      <c r="H47" s="141"/>
      <c r="I47" s="141"/>
      <c r="J47" s="140"/>
      <c r="K47" s="140"/>
      <c r="L47" s="140"/>
      <c r="M47" s="140"/>
      <c r="N47" s="140"/>
    </row>
    <row r="48" spans="1:14" x14ac:dyDescent="0.3">
      <c r="A48" s="316" t="s">
        <v>407</v>
      </c>
      <c r="B48" s="317"/>
      <c r="C48" s="316" t="s">
        <v>812</v>
      </c>
      <c r="D48" s="317"/>
      <c r="E48" s="316" t="s">
        <v>820</v>
      </c>
      <c r="F48" s="317"/>
      <c r="G48" s="316" t="s">
        <v>425</v>
      </c>
      <c r="H48" s="317"/>
    </row>
    <row r="49" spans="1:16" x14ac:dyDescent="0.3">
      <c r="A49" s="316" t="s">
        <v>411</v>
      </c>
      <c r="B49" s="316"/>
      <c r="C49" s="316" t="s">
        <v>813</v>
      </c>
      <c r="D49" s="316"/>
      <c r="E49" s="316" t="s">
        <v>414</v>
      </c>
      <c r="F49" s="316"/>
      <c r="G49" s="316" t="s">
        <v>441</v>
      </c>
      <c r="H49" s="316"/>
    </row>
    <row r="50" spans="1:16" x14ac:dyDescent="0.3">
      <c r="A50" s="139" t="s">
        <v>173</v>
      </c>
      <c r="B50" s="139" t="s">
        <v>835</v>
      </c>
      <c r="C50" s="139" t="s">
        <v>836</v>
      </c>
      <c r="D50" s="139" t="s">
        <v>837</v>
      </c>
      <c r="E50" s="139" t="s">
        <v>78</v>
      </c>
      <c r="F50" s="139" t="s">
        <v>838</v>
      </c>
      <c r="G50" s="139" t="s">
        <v>78</v>
      </c>
      <c r="H50" s="139" t="s">
        <v>709</v>
      </c>
    </row>
    <row r="51" spans="1:16" x14ac:dyDescent="0.3">
      <c r="A51" s="139" t="s">
        <v>130</v>
      </c>
      <c r="B51" s="139" t="s">
        <v>840</v>
      </c>
      <c r="C51" s="139" t="s">
        <v>841</v>
      </c>
      <c r="D51" s="139" t="s">
        <v>842</v>
      </c>
      <c r="E51" s="139" t="s">
        <v>666</v>
      </c>
      <c r="F51" s="139" t="s">
        <v>843</v>
      </c>
      <c r="G51" s="139" t="s">
        <v>79</v>
      </c>
      <c r="H51" s="139" t="s">
        <v>711</v>
      </c>
    </row>
    <row r="52" spans="1:16" x14ac:dyDescent="0.3">
      <c r="A52" s="139" t="s">
        <v>122</v>
      </c>
      <c r="B52" s="139" t="s">
        <v>847</v>
      </c>
      <c r="C52" s="139" t="s">
        <v>848</v>
      </c>
      <c r="D52" s="139" t="s">
        <v>849</v>
      </c>
      <c r="E52" s="139" t="s">
        <v>669</v>
      </c>
      <c r="F52" s="139" t="s">
        <v>850</v>
      </c>
      <c r="G52" s="139" t="s">
        <v>634</v>
      </c>
      <c r="H52" s="139" t="s">
        <v>716</v>
      </c>
    </row>
    <row r="53" spans="1:16" x14ac:dyDescent="0.3">
      <c r="A53"/>
      <c r="B53"/>
      <c r="C53" s="139" t="s">
        <v>853</v>
      </c>
      <c r="D53" s="139" t="s">
        <v>854</v>
      </c>
      <c r="E53" s="139" t="s">
        <v>672</v>
      </c>
      <c r="F53" s="139" t="s">
        <v>855</v>
      </c>
      <c r="G53" s="139" t="s">
        <v>637</v>
      </c>
      <c r="H53" s="139" t="s">
        <v>720</v>
      </c>
    </row>
    <row r="54" spans="1:16" x14ac:dyDescent="0.3">
      <c r="A54"/>
      <c r="B54"/>
      <c r="C54" s="139" t="s">
        <v>857</v>
      </c>
      <c r="D54" s="139" t="s">
        <v>858</v>
      </c>
      <c r="E54" s="139" t="s">
        <v>675</v>
      </c>
      <c r="F54" s="139" t="s">
        <v>859</v>
      </c>
      <c r="G54" s="139" t="s">
        <v>633</v>
      </c>
      <c r="H54" s="139" t="s">
        <v>862</v>
      </c>
      <c r="M54"/>
      <c r="N54"/>
    </row>
    <row r="55" spans="1:16" x14ac:dyDescent="0.3">
      <c r="A55"/>
      <c r="B55"/>
      <c r="C55" s="139" t="s">
        <v>863</v>
      </c>
      <c r="D55" s="139" t="s">
        <v>864</v>
      </c>
      <c r="E55" s="139" t="s">
        <v>677</v>
      </c>
      <c r="F55" s="139" t="s">
        <v>865</v>
      </c>
      <c r="G55" s="139" t="s">
        <v>655</v>
      </c>
      <c r="H55" s="139" t="s">
        <v>867</v>
      </c>
      <c r="K55"/>
      <c r="L55"/>
      <c r="M55"/>
      <c r="N55"/>
    </row>
    <row r="56" spans="1:16" x14ac:dyDescent="0.3">
      <c r="A56"/>
      <c r="B56"/>
      <c r="C56" s="139" t="s">
        <v>868</v>
      </c>
      <c r="D56" s="139" t="s">
        <v>869</v>
      </c>
      <c r="E56" s="139" t="s">
        <v>679</v>
      </c>
      <c r="F56" s="139" t="s">
        <v>870</v>
      </c>
      <c r="G56" s="139" t="s">
        <v>636</v>
      </c>
      <c r="H56" s="139" t="s">
        <v>872</v>
      </c>
      <c r="K56"/>
      <c r="L56"/>
      <c r="M56"/>
      <c r="N56"/>
    </row>
    <row r="57" spans="1:16" x14ac:dyDescent="0.3">
      <c r="A57"/>
      <c r="B57"/>
      <c r="C57" s="139" t="s">
        <v>873</v>
      </c>
      <c r="D57" s="139" t="s">
        <v>874</v>
      </c>
      <c r="E57" s="139" t="s">
        <v>79</v>
      </c>
      <c r="F57" s="139" t="s">
        <v>875</v>
      </c>
      <c r="G57" s="139" t="s">
        <v>660</v>
      </c>
      <c r="H57" s="139" t="s">
        <v>877</v>
      </c>
      <c r="K57"/>
      <c r="L57"/>
      <c r="M57"/>
      <c r="N57"/>
    </row>
    <row r="58" spans="1:16" x14ac:dyDescent="0.3">
      <c r="A58"/>
      <c r="B58"/>
      <c r="C58" s="139" t="s">
        <v>878</v>
      </c>
      <c r="D58" s="139" t="s">
        <v>879</v>
      </c>
      <c r="E58" s="139" t="s">
        <v>634</v>
      </c>
      <c r="F58" s="139" t="s">
        <v>880</v>
      </c>
      <c r="K58"/>
      <c r="L58"/>
      <c r="M58"/>
      <c r="N58"/>
      <c r="O58"/>
      <c r="P58"/>
    </row>
    <row r="59" spans="1:16" x14ac:dyDescent="0.3">
      <c r="A59"/>
      <c r="B59"/>
      <c r="C59" s="139" t="s">
        <v>882</v>
      </c>
      <c r="D59" s="139" t="s">
        <v>883</v>
      </c>
      <c r="E59" s="139" t="s">
        <v>637</v>
      </c>
      <c r="F59" s="139" t="s">
        <v>884</v>
      </c>
      <c r="K59"/>
      <c r="L59"/>
      <c r="M59"/>
      <c r="N59"/>
      <c r="O59"/>
      <c r="P59"/>
    </row>
    <row r="60" spans="1:16" x14ac:dyDescent="0.3">
      <c r="A60"/>
      <c r="B60"/>
      <c r="C60" s="139" t="s">
        <v>886</v>
      </c>
      <c r="D60" s="139" t="s">
        <v>887</v>
      </c>
      <c r="E60" s="139" t="s">
        <v>633</v>
      </c>
      <c r="F60" s="139" t="s">
        <v>667</v>
      </c>
      <c r="K60"/>
      <c r="L60"/>
      <c r="M60"/>
      <c r="N60"/>
      <c r="O60"/>
      <c r="P60"/>
    </row>
    <row r="61" spans="1:16" x14ac:dyDescent="0.3">
      <c r="A61"/>
      <c r="B61"/>
      <c r="C61" s="139" t="s">
        <v>889</v>
      </c>
      <c r="D61" s="139" t="s">
        <v>890</v>
      </c>
      <c r="E61" s="139" t="s">
        <v>655</v>
      </c>
      <c r="F61" s="139" t="s">
        <v>891</v>
      </c>
      <c r="K61"/>
      <c r="L61"/>
      <c r="M61"/>
      <c r="N61"/>
      <c r="O61"/>
      <c r="P61"/>
    </row>
    <row r="62" spans="1:16" x14ac:dyDescent="0.3">
      <c r="A62"/>
      <c r="B62"/>
      <c r="C62" s="139" t="s">
        <v>893</v>
      </c>
      <c r="D62" s="139" t="s">
        <v>894</v>
      </c>
      <c r="E62" s="139" t="s">
        <v>636</v>
      </c>
      <c r="F62" s="139" t="s">
        <v>895</v>
      </c>
      <c r="K62"/>
      <c r="L62"/>
      <c r="M62"/>
      <c r="N62"/>
      <c r="O62"/>
      <c r="P62"/>
    </row>
    <row r="63" spans="1:16" x14ac:dyDescent="0.3">
      <c r="A63"/>
      <c r="B63"/>
      <c r="C63" s="139" t="s">
        <v>897</v>
      </c>
      <c r="D63" s="139" t="s">
        <v>898</v>
      </c>
      <c r="E63" s="139" t="s">
        <v>660</v>
      </c>
      <c r="F63" s="139" t="s">
        <v>899</v>
      </c>
      <c r="K63"/>
      <c r="L63"/>
      <c r="M63"/>
      <c r="N63"/>
      <c r="O63"/>
      <c r="P63"/>
    </row>
    <row r="64" spans="1:16" x14ac:dyDescent="0.3">
      <c r="A64"/>
      <c r="B64"/>
      <c r="C64" s="139" t="s">
        <v>901</v>
      </c>
      <c r="D64" s="139" t="s">
        <v>902</v>
      </c>
      <c r="E64" s="139" t="s">
        <v>663</v>
      </c>
      <c r="F64" s="139" t="s">
        <v>903</v>
      </c>
      <c r="K64"/>
      <c r="L64"/>
      <c r="M64"/>
      <c r="N64"/>
      <c r="O64"/>
      <c r="P64"/>
    </row>
    <row r="65" spans="1:16" x14ac:dyDescent="0.3">
      <c r="A65"/>
      <c r="B65"/>
      <c r="C65" s="139" t="s">
        <v>905</v>
      </c>
      <c r="D65" s="139" t="s">
        <v>906</v>
      </c>
      <c r="E65"/>
      <c r="F65"/>
      <c r="K65"/>
      <c r="L65"/>
      <c r="M65"/>
      <c r="N65"/>
      <c r="O65"/>
      <c r="P65"/>
    </row>
    <row r="66" spans="1:16" x14ac:dyDescent="0.3">
      <c r="A66"/>
      <c r="B66"/>
      <c r="C66" s="139" t="s">
        <v>908</v>
      </c>
      <c r="D66" s="139" t="s">
        <v>909</v>
      </c>
      <c r="E66"/>
      <c r="F66"/>
      <c r="K66"/>
      <c r="L66"/>
      <c r="M66"/>
      <c r="N66"/>
      <c r="O66"/>
      <c r="P66"/>
    </row>
    <row r="67" spans="1:16" x14ac:dyDescent="0.3">
      <c r="A67"/>
      <c r="B67"/>
      <c r="C67" s="139" t="s">
        <v>910</v>
      </c>
      <c r="D67" s="139" t="s">
        <v>911</v>
      </c>
      <c r="E67"/>
      <c r="F67"/>
      <c r="K67"/>
      <c r="L67"/>
      <c r="M67"/>
      <c r="N67"/>
      <c r="O67"/>
      <c r="P67"/>
    </row>
    <row r="68" spans="1:16" x14ac:dyDescent="0.3">
      <c r="A68"/>
      <c r="B68"/>
      <c r="C68" s="139" t="s">
        <v>912</v>
      </c>
      <c r="D68" s="139" t="s">
        <v>913</v>
      </c>
      <c r="E68"/>
      <c r="F68"/>
      <c r="K68"/>
      <c r="L68"/>
      <c r="M68"/>
      <c r="N68"/>
      <c r="O68"/>
      <c r="P68"/>
    </row>
    <row r="69" spans="1:16" x14ac:dyDescent="0.3">
      <c r="A69"/>
      <c r="B69"/>
      <c r="C69" s="139" t="s">
        <v>914</v>
      </c>
      <c r="D69" s="139" t="s">
        <v>915</v>
      </c>
      <c r="E69"/>
      <c r="F69"/>
      <c r="I69"/>
      <c r="J69"/>
      <c r="K69"/>
      <c r="L69"/>
      <c r="M69"/>
      <c r="N69"/>
      <c r="O69"/>
      <c r="P69"/>
    </row>
    <row r="70" spans="1:16" x14ac:dyDescent="0.3">
      <c r="A70"/>
      <c r="B70"/>
      <c r="C70" s="139" t="s">
        <v>916</v>
      </c>
      <c r="D70" s="139" t="s">
        <v>917</v>
      </c>
      <c r="E70"/>
      <c r="F70"/>
      <c r="I70"/>
      <c r="J70"/>
      <c r="K70"/>
      <c r="L70"/>
      <c r="M70"/>
      <c r="N70"/>
      <c r="O70"/>
      <c r="P70"/>
    </row>
    <row r="71" spans="1:16" x14ac:dyDescent="0.3">
      <c r="A71"/>
      <c r="B71"/>
      <c r="C71" s="139" t="s">
        <v>918</v>
      </c>
      <c r="D71" s="139" t="s">
        <v>919</v>
      </c>
      <c r="E71"/>
      <c r="F71"/>
      <c r="I71"/>
      <c r="J71"/>
      <c r="K71"/>
      <c r="L71"/>
      <c r="M71"/>
      <c r="N71"/>
      <c r="O71"/>
      <c r="P71"/>
    </row>
    <row r="72" spans="1:16" x14ac:dyDescent="0.3">
      <c r="A72"/>
      <c r="B72"/>
      <c r="C72" s="139" t="s">
        <v>920</v>
      </c>
      <c r="D72" s="139" t="s">
        <v>921</v>
      </c>
      <c r="E72"/>
      <c r="F72"/>
      <c r="I72"/>
      <c r="J72"/>
      <c r="K72"/>
      <c r="L72"/>
      <c r="M72"/>
      <c r="N72"/>
      <c r="O72"/>
      <c r="P72"/>
    </row>
    <row r="73" spans="1:16" x14ac:dyDescent="0.3">
      <c r="A73"/>
      <c r="B73"/>
      <c r="C73" s="139" t="s">
        <v>922</v>
      </c>
      <c r="D73" s="139" t="s">
        <v>923</v>
      </c>
      <c r="E73"/>
      <c r="F73"/>
      <c r="I73"/>
      <c r="J73"/>
      <c r="K73"/>
      <c r="L73"/>
      <c r="M73"/>
      <c r="N73"/>
      <c r="O73"/>
      <c r="P73"/>
    </row>
    <row r="74" spans="1:16" x14ac:dyDescent="0.3">
      <c r="A74"/>
      <c r="B74"/>
      <c r="C74" s="139" t="s">
        <v>924</v>
      </c>
      <c r="D74" s="139" t="s">
        <v>925</v>
      </c>
      <c r="E74"/>
      <c r="F74"/>
      <c r="I74"/>
      <c r="J74"/>
      <c r="K74"/>
      <c r="L74"/>
      <c r="M74"/>
      <c r="N74"/>
      <c r="O74"/>
      <c r="P74"/>
    </row>
    <row r="75" spans="1:16" x14ac:dyDescent="0.3">
      <c r="A75"/>
      <c r="B75"/>
      <c r="C75" s="139" t="s">
        <v>926</v>
      </c>
      <c r="D75" s="139" t="s">
        <v>927</v>
      </c>
      <c r="E75"/>
      <c r="F75"/>
      <c r="I75"/>
      <c r="J75"/>
      <c r="K75"/>
      <c r="L75"/>
      <c r="M75"/>
      <c r="N75"/>
      <c r="O75"/>
      <c r="P75"/>
    </row>
    <row r="76" spans="1:16" x14ac:dyDescent="0.3">
      <c r="A76"/>
      <c r="B76"/>
      <c r="C76" s="139" t="s">
        <v>928</v>
      </c>
      <c r="D76" s="139" t="s">
        <v>929</v>
      </c>
      <c r="E76"/>
      <c r="F76"/>
      <c r="I76"/>
      <c r="J76"/>
      <c r="K76"/>
      <c r="L76"/>
      <c r="M76"/>
      <c r="N76"/>
      <c r="O76"/>
      <c r="P76"/>
    </row>
    <row r="77" spans="1:16" x14ac:dyDescent="0.3">
      <c r="A77"/>
      <c r="B77"/>
      <c r="C77" s="139" t="s">
        <v>930</v>
      </c>
      <c r="D77" s="139" t="s">
        <v>931</v>
      </c>
      <c r="E77"/>
      <c r="F77"/>
      <c r="I77"/>
      <c r="J77"/>
      <c r="K77"/>
      <c r="L77"/>
      <c r="M77"/>
      <c r="N77"/>
      <c r="O77"/>
      <c r="P77"/>
    </row>
    <row r="78" spans="1:16" x14ac:dyDescent="0.3">
      <c r="A78"/>
      <c r="B78"/>
      <c r="C78" s="139" t="s">
        <v>933</v>
      </c>
      <c r="D78" s="139" t="s">
        <v>934</v>
      </c>
      <c r="E78"/>
      <c r="F78"/>
      <c r="G78"/>
      <c r="H78"/>
      <c r="I78"/>
      <c r="J78"/>
      <c r="K78"/>
      <c r="L78"/>
      <c r="M78"/>
      <c r="N78"/>
      <c r="O78"/>
      <c r="P78"/>
    </row>
    <row r="79" spans="1:16" x14ac:dyDescent="0.3">
      <c r="A79"/>
      <c r="B79"/>
      <c r="C79" s="139" t="s">
        <v>935</v>
      </c>
      <c r="D79" s="139" t="s">
        <v>936</v>
      </c>
      <c r="E79"/>
      <c r="F79"/>
      <c r="G79"/>
      <c r="H79"/>
      <c r="I79"/>
      <c r="J79"/>
      <c r="K79"/>
      <c r="L79"/>
      <c r="M79"/>
      <c r="N79"/>
      <c r="O79"/>
      <c r="P79"/>
    </row>
    <row r="80" spans="1:16" x14ac:dyDescent="0.3">
      <c r="A80"/>
      <c r="B80"/>
      <c r="C80" s="139" t="s">
        <v>937</v>
      </c>
      <c r="D80" s="139" t="s">
        <v>938</v>
      </c>
      <c r="E80"/>
      <c r="F80"/>
      <c r="G80"/>
      <c r="H80"/>
      <c r="I80"/>
      <c r="J80"/>
      <c r="K80"/>
      <c r="L80"/>
      <c r="M80"/>
      <c r="N80"/>
      <c r="O80"/>
      <c r="P80"/>
    </row>
    <row r="81" spans="1:16" x14ac:dyDescent="0.3">
      <c r="A81"/>
      <c r="B81"/>
      <c r="C81" s="139" t="s">
        <v>939</v>
      </c>
      <c r="D81" s="139" t="s">
        <v>940</v>
      </c>
      <c r="E81"/>
      <c r="F81"/>
      <c r="G81"/>
      <c r="H81"/>
      <c r="I81"/>
      <c r="J81"/>
      <c r="K81"/>
      <c r="L81"/>
      <c r="M81"/>
      <c r="N81"/>
      <c r="O81"/>
      <c r="P81"/>
    </row>
    <row r="82" spans="1:16" x14ac:dyDescent="0.3">
      <c r="A82"/>
      <c r="B82"/>
      <c r="C82" s="139" t="s">
        <v>941</v>
      </c>
      <c r="D82" s="139" t="s">
        <v>942</v>
      </c>
      <c r="E82"/>
      <c r="F82"/>
      <c r="G82"/>
      <c r="H82"/>
      <c r="I82"/>
      <c r="J82"/>
      <c r="K82"/>
      <c r="L82"/>
      <c r="M82"/>
      <c r="N82"/>
      <c r="O82"/>
      <c r="P82"/>
    </row>
    <row r="83" spans="1:16" x14ac:dyDescent="0.3">
      <c r="A83"/>
      <c r="B83"/>
      <c r="C83" s="139" t="s">
        <v>943</v>
      </c>
      <c r="D83" s="139" t="s">
        <v>944</v>
      </c>
      <c r="E83"/>
      <c r="F83"/>
      <c r="G83"/>
      <c r="H83"/>
      <c r="I83"/>
      <c r="J83"/>
      <c r="K83"/>
      <c r="L83"/>
      <c r="M83"/>
      <c r="N83"/>
      <c r="O83"/>
      <c r="P83"/>
    </row>
    <row r="84" spans="1:16" x14ac:dyDescent="0.3">
      <c r="A84"/>
      <c r="B84"/>
      <c r="C84" s="139" t="s">
        <v>945</v>
      </c>
      <c r="D84" s="139" t="s">
        <v>946</v>
      </c>
      <c r="E84"/>
      <c r="F84"/>
      <c r="G84"/>
      <c r="H84"/>
      <c r="I84"/>
      <c r="J84"/>
      <c r="K84"/>
      <c r="L84"/>
      <c r="M84"/>
      <c r="N84"/>
      <c r="O84"/>
      <c r="P84"/>
    </row>
    <row r="85" spans="1:16" x14ac:dyDescent="0.3">
      <c r="A85"/>
      <c r="B85"/>
      <c r="C85" s="139" t="s">
        <v>947</v>
      </c>
      <c r="D85" s="139" t="s">
        <v>948</v>
      </c>
      <c r="E85"/>
      <c r="F85"/>
      <c r="G85"/>
      <c r="H85"/>
      <c r="I85"/>
      <c r="J85"/>
      <c r="K85"/>
      <c r="L85"/>
      <c r="M85"/>
      <c r="N85"/>
      <c r="O85"/>
      <c r="P85"/>
    </row>
    <row r="86" spans="1:16" x14ac:dyDescent="0.3">
      <c r="A86"/>
      <c r="B86"/>
      <c r="C86" s="139" t="s">
        <v>949</v>
      </c>
      <c r="D86" s="139" t="s">
        <v>950</v>
      </c>
      <c r="E86"/>
      <c r="F86"/>
      <c r="G86"/>
      <c r="H86"/>
      <c r="I86"/>
      <c r="J86"/>
      <c r="K86"/>
      <c r="L86"/>
      <c r="M86"/>
      <c r="N86"/>
      <c r="O86"/>
      <c r="P86"/>
    </row>
    <row r="87" spans="1:16" x14ac:dyDescent="0.3">
      <c r="A87"/>
      <c r="B87"/>
      <c r="C87" s="139" t="s">
        <v>951</v>
      </c>
      <c r="D87" s="139" t="s">
        <v>952</v>
      </c>
      <c r="E87"/>
      <c r="F87"/>
      <c r="G87"/>
      <c r="H87"/>
      <c r="I87"/>
      <c r="J87"/>
      <c r="K87"/>
      <c r="L87"/>
      <c r="M87"/>
      <c r="N87"/>
      <c r="O87"/>
      <c r="P87"/>
    </row>
    <row r="88" spans="1:16" x14ac:dyDescent="0.3">
      <c r="A88"/>
      <c r="B88"/>
      <c r="C88" s="139" t="s">
        <v>953</v>
      </c>
      <c r="D88" s="139" t="s">
        <v>954</v>
      </c>
      <c r="E88"/>
      <c r="F88"/>
      <c r="G88"/>
      <c r="H88"/>
      <c r="I88"/>
      <c r="J88"/>
      <c r="K88"/>
      <c r="L88"/>
      <c r="M88"/>
      <c r="N88"/>
      <c r="O88"/>
      <c r="P88"/>
    </row>
    <row r="89" spans="1:16" x14ac:dyDescent="0.3">
      <c r="A89"/>
      <c r="B89"/>
      <c r="C89" s="139" t="s">
        <v>955</v>
      </c>
      <c r="D89" s="139" t="s">
        <v>956</v>
      </c>
      <c r="E89"/>
      <c r="F89"/>
      <c r="G89"/>
      <c r="H89"/>
      <c r="I89"/>
      <c r="J89"/>
      <c r="K89"/>
      <c r="L89"/>
      <c r="M89"/>
      <c r="N89"/>
      <c r="O89"/>
      <c r="P89"/>
    </row>
    <row r="90" spans="1:16" x14ac:dyDescent="0.3">
      <c r="A90"/>
      <c r="B90"/>
      <c r="C90" s="139" t="s">
        <v>957</v>
      </c>
      <c r="D90" s="139" t="s">
        <v>958</v>
      </c>
      <c r="E90"/>
      <c r="F90"/>
      <c r="G90"/>
      <c r="H90"/>
      <c r="I90"/>
      <c r="J90"/>
      <c r="K90"/>
      <c r="L90"/>
      <c r="M90"/>
      <c r="N90"/>
      <c r="O90"/>
      <c r="P90"/>
    </row>
    <row r="91" spans="1:16" x14ac:dyDescent="0.3">
      <c r="A91"/>
      <c r="B91"/>
      <c r="C91" s="139" t="s">
        <v>959</v>
      </c>
      <c r="D91" s="139" t="s">
        <v>960</v>
      </c>
      <c r="E91"/>
      <c r="F91"/>
      <c r="G91"/>
      <c r="H91"/>
      <c r="I91"/>
      <c r="J91"/>
      <c r="K91"/>
      <c r="L91"/>
      <c r="M91"/>
      <c r="N91"/>
      <c r="O91"/>
      <c r="P91"/>
    </row>
    <row r="92" spans="1:16" x14ac:dyDescent="0.3">
      <c r="A92"/>
      <c r="B92"/>
      <c r="C92" s="139" t="s">
        <v>961</v>
      </c>
      <c r="D92" s="139" t="s">
        <v>962</v>
      </c>
      <c r="E92"/>
      <c r="F92"/>
      <c r="G92"/>
      <c r="H92"/>
      <c r="I92"/>
      <c r="J92"/>
      <c r="K92"/>
      <c r="L92"/>
      <c r="M92"/>
      <c r="N92"/>
      <c r="O92"/>
      <c r="P92"/>
    </row>
    <row r="93" spans="1:16" x14ac:dyDescent="0.3">
      <c r="A93"/>
      <c r="B93"/>
      <c r="C93" s="139" t="s">
        <v>963</v>
      </c>
      <c r="D93" s="139" t="s">
        <v>964</v>
      </c>
      <c r="E93"/>
      <c r="F93"/>
      <c r="G93"/>
      <c r="H93"/>
      <c r="I93"/>
      <c r="J93"/>
      <c r="K93"/>
      <c r="L93"/>
      <c r="M93"/>
      <c r="N93"/>
      <c r="O93"/>
      <c r="P93"/>
    </row>
    <row r="94" spans="1:16" x14ac:dyDescent="0.3">
      <c r="A94"/>
      <c r="B94"/>
      <c r="C94" s="139" t="s">
        <v>965</v>
      </c>
      <c r="D94" s="139" t="s">
        <v>966</v>
      </c>
      <c r="E94"/>
      <c r="F94"/>
      <c r="G94"/>
      <c r="H94"/>
      <c r="I94"/>
      <c r="J94"/>
      <c r="K94"/>
      <c r="L94"/>
      <c r="M94"/>
      <c r="N94"/>
      <c r="O94"/>
      <c r="P94"/>
    </row>
    <row r="95" spans="1:16" x14ac:dyDescent="0.3">
      <c r="A95"/>
      <c r="B95"/>
      <c r="C95" s="139" t="s">
        <v>967</v>
      </c>
      <c r="D95" s="139" t="s">
        <v>968</v>
      </c>
      <c r="E95"/>
      <c r="F95"/>
      <c r="G95"/>
      <c r="H95"/>
      <c r="I95"/>
      <c r="J95"/>
      <c r="K95"/>
      <c r="L95"/>
      <c r="M95"/>
      <c r="N95"/>
      <c r="O95"/>
      <c r="P95"/>
    </row>
    <row r="96" spans="1:16" x14ac:dyDescent="0.3">
      <c r="A96"/>
      <c r="B96"/>
      <c r="C96" s="139" t="s">
        <v>969</v>
      </c>
      <c r="D96" s="139" t="s">
        <v>970</v>
      </c>
      <c r="E96"/>
      <c r="F96"/>
      <c r="G96"/>
      <c r="H96"/>
      <c r="I96"/>
      <c r="J96"/>
      <c r="K96"/>
      <c r="L96"/>
      <c r="M96"/>
      <c r="N96"/>
      <c r="O96"/>
      <c r="P96"/>
    </row>
    <row r="97" spans="1:16" x14ac:dyDescent="0.3">
      <c r="A97"/>
      <c r="B97"/>
      <c r="C97" s="139" t="s">
        <v>971</v>
      </c>
      <c r="D97" s="139" t="s">
        <v>972</v>
      </c>
      <c r="E97"/>
      <c r="F97"/>
      <c r="G97"/>
      <c r="H97"/>
      <c r="I97"/>
      <c r="J97"/>
      <c r="K97"/>
      <c r="L97"/>
      <c r="M97"/>
      <c r="N97"/>
      <c r="O97"/>
      <c r="P97"/>
    </row>
    <row r="98" spans="1:16" x14ac:dyDescent="0.3">
      <c r="A98"/>
      <c r="B98"/>
      <c r="C98" s="139" t="s">
        <v>973</v>
      </c>
      <c r="D98" s="139" t="s">
        <v>974</v>
      </c>
      <c r="E98"/>
      <c r="F98"/>
      <c r="G98"/>
      <c r="H98"/>
      <c r="I98"/>
      <c r="J98"/>
      <c r="K98"/>
      <c r="L98"/>
      <c r="M98"/>
      <c r="N98"/>
      <c r="O98"/>
      <c r="P98"/>
    </row>
    <row r="99" spans="1:16" x14ac:dyDescent="0.3">
      <c r="A99"/>
      <c r="B99"/>
      <c r="C99" s="139" t="s">
        <v>975</v>
      </c>
      <c r="D99" s="139" t="s">
        <v>976</v>
      </c>
      <c r="E99"/>
      <c r="F99"/>
      <c r="G99"/>
      <c r="H99"/>
      <c r="I99"/>
      <c r="J99"/>
      <c r="K99"/>
      <c r="L99"/>
      <c r="M99"/>
      <c r="N99"/>
      <c r="O99"/>
      <c r="P99"/>
    </row>
    <row r="100" spans="1:16" x14ac:dyDescent="0.3">
      <c r="A100"/>
      <c r="B100"/>
      <c r="C100" s="139" t="s">
        <v>977</v>
      </c>
      <c r="D100" s="139" t="s">
        <v>978</v>
      </c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x14ac:dyDescent="0.3">
      <c r="A101"/>
      <c r="B101"/>
      <c r="C101" s="139" t="s">
        <v>979</v>
      </c>
      <c r="D101" s="139" t="s">
        <v>980</v>
      </c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x14ac:dyDescent="0.3">
      <c r="A102"/>
      <c r="B102"/>
      <c r="C102" s="139" t="s">
        <v>981</v>
      </c>
      <c r="D102" s="139" t="s">
        <v>982</v>
      </c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ht="32.4" x14ac:dyDescent="0.3">
      <c r="A103"/>
      <c r="B103"/>
      <c r="C103" s="139" t="s">
        <v>983</v>
      </c>
      <c r="D103" s="139" t="s">
        <v>984</v>
      </c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x14ac:dyDescent="0.3">
      <c r="A104"/>
      <c r="B104"/>
      <c r="C104" s="139" t="s">
        <v>985</v>
      </c>
      <c r="D104" s="139" t="s">
        <v>986</v>
      </c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x14ac:dyDescent="0.3">
      <c r="A105"/>
      <c r="B105"/>
      <c r="C105" s="139" t="s">
        <v>987</v>
      </c>
      <c r="D105" s="139" t="s">
        <v>988</v>
      </c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x14ac:dyDescent="0.3">
      <c r="A106"/>
      <c r="B106"/>
      <c r="C106" s="139" t="s">
        <v>989</v>
      </c>
      <c r="D106" s="139" t="s">
        <v>990</v>
      </c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x14ac:dyDescent="0.3">
      <c r="A107"/>
      <c r="B107"/>
      <c r="C107" s="139" t="s">
        <v>991</v>
      </c>
      <c r="D107" s="139" t="s">
        <v>992</v>
      </c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x14ac:dyDescent="0.3">
      <c r="A108"/>
      <c r="B108"/>
      <c r="C108" s="139" t="s">
        <v>993</v>
      </c>
      <c r="D108" s="139" t="s">
        <v>994</v>
      </c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x14ac:dyDescent="0.3">
      <c r="A109"/>
      <c r="B109"/>
      <c r="C109" s="139" t="s">
        <v>995</v>
      </c>
      <c r="D109" s="139" t="s">
        <v>996</v>
      </c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x14ac:dyDescent="0.3">
      <c r="A110"/>
      <c r="B110"/>
      <c r="C110" s="139" t="s">
        <v>997</v>
      </c>
      <c r="D110" s="139" t="s">
        <v>998</v>
      </c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x14ac:dyDescent="0.3">
      <c r="A111"/>
      <c r="B111"/>
      <c r="C111" s="139" t="s">
        <v>999</v>
      </c>
      <c r="D111" s="139" t="s">
        <v>1000</v>
      </c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x14ac:dyDescent="0.3">
      <c r="A112"/>
      <c r="B112"/>
      <c r="C112" s="139" t="s">
        <v>1001</v>
      </c>
      <c r="D112" s="139" t="s">
        <v>1002</v>
      </c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x14ac:dyDescent="0.3">
      <c r="A113"/>
      <c r="B113"/>
      <c r="C113" s="139" t="s">
        <v>1003</v>
      </c>
      <c r="D113" s="139" t="s">
        <v>1004</v>
      </c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x14ac:dyDescent="0.3">
      <c r="A114"/>
      <c r="B114"/>
      <c r="C114" s="139" t="s">
        <v>1005</v>
      </c>
      <c r="D114" s="139" t="s">
        <v>1006</v>
      </c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x14ac:dyDescent="0.3">
      <c r="A115"/>
      <c r="B115"/>
      <c r="C115" s="139" t="s">
        <v>1007</v>
      </c>
      <c r="D115" s="139" t="s">
        <v>1008</v>
      </c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x14ac:dyDescent="0.3">
      <c r="A116"/>
      <c r="B116"/>
      <c r="C116" s="139" t="s">
        <v>1009</v>
      </c>
      <c r="D116" s="139" t="s">
        <v>1010</v>
      </c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x14ac:dyDescent="0.3">
      <c r="A117"/>
      <c r="B117"/>
      <c r="C117" s="139" t="s">
        <v>1011</v>
      </c>
      <c r="D117" s="139" t="s">
        <v>1012</v>
      </c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x14ac:dyDescent="0.3">
      <c r="A118"/>
      <c r="B118"/>
      <c r="C118" s="139" t="s">
        <v>1013</v>
      </c>
      <c r="D118" s="139" t="s">
        <v>1014</v>
      </c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x14ac:dyDescent="0.3">
      <c r="A119"/>
      <c r="B119"/>
      <c r="C119" s="139" t="s">
        <v>1015</v>
      </c>
      <c r="D119" s="139" t="s">
        <v>1016</v>
      </c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x14ac:dyDescent="0.3">
      <c r="A120"/>
      <c r="B120"/>
      <c r="C120" s="139" t="s">
        <v>1017</v>
      </c>
      <c r="D120" s="139" t="s">
        <v>1018</v>
      </c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x14ac:dyDescent="0.3">
      <c r="A121"/>
      <c r="B121"/>
      <c r="C121" s="139" t="s">
        <v>1019</v>
      </c>
      <c r="D121" s="139" t="s">
        <v>1020</v>
      </c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ht="32.4" x14ac:dyDescent="0.3">
      <c r="A122"/>
      <c r="B122"/>
      <c r="C122" s="139" t="s">
        <v>1021</v>
      </c>
      <c r="D122" s="139" t="s">
        <v>1022</v>
      </c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x14ac:dyDescent="0.3">
      <c r="A123"/>
      <c r="B123"/>
      <c r="C123" s="139" t="s">
        <v>1023</v>
      </c>
      <c r="D123" s="139" t="s">
        <v>1024</v>
      </c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x14ac:dyDescent="0.3">
      <c r="A124"/>
      <c r="B124"/>
      <c r="C124" s="139" t="s">
        <v>1025</v>
      </c>
      <c r="D124" s="139" t="s">
        <v>1026</v>
      </c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x14ac:dyDescent="0.3">
      <c r="A125"/>
      <c r="B125"/>
      <c r="C125" s="139" t="s">
        <v>1027</v>
      </c>
      <c r="D125" s="139" t="s">
        <v>1028</v>
      </c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x14ac:dyDescent="0.3">
      <c r="A126"/>
      <c r="B126"/>
      <c r="C126" s="139" t="s">
        <v>1029</v>
      </c>
      <c r="D126" s="139" t="s">
        <v>1030</v>
      </c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x14ac:dyDescent="0.3">
      <c r="A127"/>
      <c r="B127"/>
      <c r="C127" s="139" t="s">
        <v>1031</v>
      </c>
      <c r="D127" s="139" t="s">
        <v>1032</v>
      </c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x14ac:dyDescent="0.3">
      <c r="A128"/>
      <c r="B128"/>
      <c r="C128" s="139" t="s">
        <v>1033</v>
      </c>
      <c r="D128" s="139" t="s">
        <v>1034</v>
      </c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x14ac:dyDescent="0.3">
      <c r="A129"/>
      <c r="B129"/>
      <c r="C129" s="139" t="s">
        <v>1035</v>
      </c>
      <c r="D129" s="139" t="s">
        <v>1036</v>
      </c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x14ac:dyDescent="0.3">
      <c r="A130"/>
      <c r="B130"/>
      <c r="C130" s="139" t="s">
        <v>1037</v>
      </c>
      <c r="D130" s="139" t="s">
        <v>1038</v>
      </c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x14ac:dyDescent="0.3">
      <c r="A131"/>
      <c r="B131"/>
      <c r="C131" s="139" t="s">
        <v>1039</v>
      </c>
      <c r="D131" s="139" t="s">
        <v>1040</v>
      </c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x14ac:dyDescent="0.3">
      <c r="A132"/>
      <c r="B132"/>
      <c r="C132" s="139" t="s">
        <v>1041</v>
      </c>
      <c r="D132" s="139" t="s">
        <v>1042</v>
      </c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x14ac:dyDescent="0.3">
      <c r="A133"/>
      <c r="B133"/>
      <c r="C133" s="139" t="s">
        <v>1043</v>
      </c>
      <c r="D133" s="139" t="s">
        <v>1044</v>
      </c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x14ac:dyDescent="0.3">
      <c r="A134"/>
      <c r="B134"/>
      <c r="C134" s="139" t="s">
        <v>1045</v>
      </c>
      <c r="D134" s="139" t="s">
        <v>1046</v>
      </c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ht="32.4" x14ac:dyDescent="0.3">
      <c r="A135"/>
      <c r="B135"/>
      <c r="C135" s="139" t="s">
        <v>1047</v>
      </c>
      <c r="D135" s="139" t="s">
        <v>1048</v>
      </c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x14ac:dyDescent="0.3">
      <c r="A136"/>
      <c r="B136"/>
      <c r="C136" s="139" t="s">
        <v>1049</v>
      </c>
      <c r="D136" s="139" t="s">
        <v>1050</v>
      </c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x14ac:dyDescent="0.3">
      <c r="A137"/>
      <c r="B137"/>
      <c r="C137" s="139" t="s">
        <v>1051</v>
      </c>
      <c r="D137" s="139" t="s">
        <v>1052</v>
      </c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x14ac:dyDescent="0.3">
      <c r="A138"/>
      <c r="B138"/>
      <c r="C138" s="139" t="s">
        <v>1053</v>
      </c>
      <c r="D138" s="139" t="s">
        <v>1054</v>
      </c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x14ac:dyDescent="0.3">
      <c r="A139"/>
      <c r="B139"/>
      <c r="C139" s="139" t="s">
        <v>1055</v>
      </c>
      <c r="D139" s="139" t="s">
        <v>1056</v>
      </c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x14ac:dyDescent="0.3">
      <c r="A140"/>
      <c r="B140"/>
      <c r="C140" s="139" t="s">
        <v>1057</v>
      </c>
      <c r="D140" s="139" t="s">
        <v>1058</v>
      </c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x14ac:dyDescent="0.3">
      <c r="A141"/>
      <c r="B141"/>
      <c r="C141" s="139" t="s">
        <v>1059</v>
      </c>
      <c r="D141" s="139" t="s">
        <v>1060</v>
      </c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x14ac:dyDescent="0.3">
      <c r="A142"/>
      <c r="B142"/>
      <c r="C142" s="139" t="s">
        <v>1061</v>
      </c>
      <c r="D142" s="139" t="s">
        <v>1062</v>
      </c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x14ac:dyDescent="0.3">
      <c r="A143"/>
      <c r="B143"/>
      <c r="C143" s="139" t="s">
        <v>1063</v>
      </c>
      <c r="D143" s="139" t="s">
        <v>1064</v>
      </c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ht="32.4" x14ac:dyDescent="0.3">
      <c r="A144"/>
      <c r="B144"/>
      <c r="C144" s="139" t="s">
        <v>1065</v>
      </c>
      <c r="D144" s="139" t="s">
        <v>1066</v>
      </c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x14ac:dyDescent="0.3">
      <c r="A145"/>
      <c r="B145"/>
      <c r="C145" s="139" t="s">
        <v>1067</v>
      </c>
      <c r="D145" s="139" t="s">
        <v>1068</v>
      </c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x14ac:dyDescent="0.3">
      <c r="A146"/>
      <c r="B146"/>
      <c r="C146" s="139" t="s">
        <v>1069</v>
      </c>
      <c r="D146" s="139" t="s">
        <v>1070</v>
      </c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x14ac:dyDescent="0.3">
      <c r="A147"/>
      <c r="B147"/>
      <c r="C147" s="139" t="s">
        <v>1071</v>
      </c>
      <c r="D147" s="139" t="s">
        <v>1072</v>
      </c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x14ac:dyDescent="0.3">
      <c r="A148"/>
      <c r="B148"/>
      <c r="C148" s="139" t="s">
        <v>1073</v>
      </c>
      <c r="D148" s="139" t="s">
        <v>1074</v>
      </c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x14ac:dyDescent="0.3">
      <c r="A149"/>
      <c r="B149"/>
      <c r="C149" s="139" t="s">
        <v>1075</v>
      </c>
      <c r="D149" s="139" t="s">
        <v>1076</v>
      </c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x14ac:dyDescent="0.3">
      <c r="A150"/>
      <c r="B150"/>
      <c r="C150" s="139" t="s">
        <v>1077</v>
      </c>
      <c r="D150" s="139" t="s">
        <v>1078</v>
      </c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x14ac:dyDescent="0.3">
      <c r="A151"/>
      <c r="B151"/>
      <c r="C151" s="139" t="s">
        <v>1079</v>
      </c>
      <c r="D151" s="139" t="s">
        <v>1080</v>
      </c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x14ac:dyDescent="0.3">
      <c r="A152"/>
      <c r="B152"/>
      <c r="C152" s="139" t="s">
        <v>1081</v>
      </c>
      <c r="D152" s="139" t="s">
        <v>1082</v>
      </c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x14ac:dyDescent="0.3">
      <c r="A153"/>
      <c r="B153"/>
      <c r="C153" s="139" t="s">
        <v>1083</v>
      </c>
      <c r="D153" s="139" t="s">
        <v>1084</v>
      </c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ht="32.4" x14ac:dyDescent="0.3">
      <c r="A154"/>
      <c r="B154"/>
      <c r="C154" s="139" t="s">
        <v>1085</v>
      </c>
      <c r="D154" s="139" t="s">
        <v>1086</v>
      </c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x14ac:dyDescent="0.3">
      <c r="A155"/>
      <c r="B155"/>
      <c r="C155" s="139" t="s">
        <v>1087</v>
      </c>
      <c r="D155" s="139" t="s">
        <v>1088</v>
      </c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x14ac:dyDescent="0.3">
      <c r="A156"/>
      <c r="B156"/>
      <c r="C156" s="139" t="s">
        <v>1089</v>
      </c>
      <c r="D156" s="139" t="s">
        <v>1090</v>
      </c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x14ac:dyDescent="0.3">
      <c r="A157"/>
      <c r="B157"/>
      <c r="C157" s="139" t="s">
        <v>1091</v>
      </c>
      <c r="D157" s="139" t="s">
        <v>1092</v>
      </c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x14ac:dyDescent="0.3">
      <c r="A158"/>
      <c r="B158"/>
      <c r="C158" s="139" t="s">
        <v>1093</v>
      </c>
      <c r="D158" s="139" t="s">
        <v>1094</v>
      </c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x14ac:dyDescent="0.3">
      <c r="A159"/>
      <c r="B159"/>
      <c r="C159" s="139" t="s">
        <v>1095</v>
      </c>
      <c r="D159" s="139" t="s">
        <v>1096</v>
      </c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x14ac:dyDescent="0.3">
      <c r="A160"/>
      <c r="B160"/>
      <c r="C160" s="139" t="s">
        <v>1097</v>
      </c>
      <c r="D160" s="139" t="s">
        <v>1098</v>
      </c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x14ac:dyDescent="0.3">
      <c r="A161"/>
      <c r="B161"/>
      <c r="C161" s="139" t="s">
        <v>1099</v>
      </c>
      <c r="D161" s="139" t="s">
        <v>1100</v>
      </c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ht="32.4" x14ac:dyDescent="0.3">
      <c r="A162"/>
      <c r="B162"/>
      <c r="C162" s="139" t="s">
        <v>1101</v>
      </c>
      <c r="D162" s="139" t="s">
        <v>1102</v>
      </c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x14ac:dyDescent="0.3">
      <c r="A163"/>
      <c r="B163"/>
      <c r="C163" s="139" t="s">
        <v>1103</v>
      </c>
      <c r="D163" s="139" t="s">
        <v>1104</v>
      </c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ht="32.4" x14ac:dyDescent="0.3">
      <c r="A164"/>
      <c r="B164"/>
      <c r="C164" s="139" t="s">
        <v>1105</v>
      </c>
      <c r="D164" s="139" t="s">
        <v>1106</v>
      </c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x14ac:dyDescent="0.3">
      <c r="A165"/>
      <c r="B165"/>
      <c r="C165" s="139" t="s">
        <v>1107</v>
      </c>
      <c r="D165" s="139" t="s">
        <v>1108</v>
      </c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x14ac:dyDescent="0.3">
      <c r="A166"/>
      <c r="B166"/>
      <c r="C166" s="139" t="s">
        <v>1109</v>
      </c>
      <c r="D166" s="139" t="s">
        <v>1110</v>
      </c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x14ac:dyDescent="0.3">
      <c r="A167"/>
      <c r="B167"/>
      <c r="C167" s="139" t="s">
        <v>1111</v>
      </c>
      <c r="D167" s="139" t="s">
        <v>1112</v>
      </c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x14ac:dyDescent="0.3">
      <c r="A168"/>
      <c r="B168"/>
      <c r="C168" s="139" t="s">
        <v>1113</v>
      </c>
      <c r="D168" s="139" t="s">
        <v>1114</v>
      </c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x14ac:dyDescent="0.3">
      <c r="A169"/>
      <c r="B169"/>
      <c r="C169" s="139" t="s">
        <v>1115</v>
      </c>
      <c r="D169" s="139" t="s">
        <v>1116</v>
      </c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x14ac:dyDescent="0.3">
      <c r="A170"/>
      <c r="B170"/>
      <c r="C170" s="139" t="s">
        <v>1117</v>
      </c>
      <c r="D170" s="139" t="s">
        <v>1118</v>
      </c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x14ac:dyDescent="0.3">
      <c r="A171"/>
      <c r="B171"/>
      <c r="C171" s="139" t="s">
        <v>1119</v>
      </c>
      <c r="D171" s="139" t="s">
        <v>1120</v>
      </c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x14ac:dyDescent="0.3">
      <c r="A172"/>
      <c r="B172"/>
      <c r="C172" s="139" t="s">
        <v>1121</v>
      </c>
      <c r="D172" s="139" t="s">
        <v>1122</v>
      </c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x14ac:dyDescent="0.3">
      <c r="A173"/>
      <c r="B173"/>
      <c r="C173" s="139" t="s">
        <v>1123</v>
      </c>
      <c r="D173" s="139" t="s">
        <v>1124</v>
      </c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x14ac:dyDescent="0.3">
      <c r="A174"/>
      <c r="B174"/>
      <c r="C174" s="139" t="s">
        <v>1125</v>
      </c>
      <c r="D174" s="139" t="s">
        <v>1126</v>
      </c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x14ac:dyDescent="0.3">
      <c r="A175"/>
      <c r="B175"/>
      <c r="C175" s="139" t="s">
        <v>1127</v>
      </c>
      <c r="D175" s="139" t="s">
        <v>1128</v>
      </c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x14ac:dyDescent="0.3">
      <c r="A176"/>
      <c r="B176"/>
      <c r="C176" s="139" t="s">
        <v>1129</v>
      </c>
      <c r="D176" s="139" t="s">
        <v>1130</v>
      </c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x14ac:dyDescent="0.3">
      <c r="A177"/>
      <c r="B177"/>
      <c r="C177" s="139" t="s">
        <v>1131</v>
      </c>
      <c r="D177" s="139" t="s">
        <v>1132</v>
      </c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ht="32.4" x14ac:dyDescent="0.3">
      <c r="A178"/>
      <c r="B178"/>
      <c r="C178" s="139" t="s">
        <v>1133</v>
      </c>
      <c r="D178" s="139" t="s">
        <v>1134</v>
      </c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x14ac:dyDescent="0.3">
      <c r="A179"/>
      <c r="B179"/>
      <c r="C179" s="139" t="s">
        <v>1135</v>
      </c>
      <c r="D179" s="139" t="s">
        <v>1136</v>
      </c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x14ac:dyDescent="0.3">
      <c r="A180"/>
      <c r="B180"/>
      <c r="C180" s="139" t="s">
        <v>1137</v>
      </c>
      <c r="D180" s="139" t="s">
        <v>1138</v>
      </c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x14ac:dyDescent="0.3">
      <c r="A181"/>
      <c r="B181"/>
      <c r="C181" s="139" t="s">
        <v>1139</v>
      </c>
      <c r="D181" s="139" t="s">
        <v>1140</v>
      </c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x14ac:dyDescent="0.3">
      <c r="A182"/>
      <c r="B182"/>
      <c r="C182" s="139" t="s">
        <v>1141</v>
      </c>
      <c r="D182" s="139" t="s">
        <v>1142</v>
      </c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x14ac:dyDescent="0.3">
      <c r="A183"/>
      <c r="B183"/>
      <c r="C183" s="139" t="s">
        <v>1143</v>
      </c>
      <c r="D183" s="139" t="s">
        <v>1144</v>
      </c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x14ac:dyDescent="0.3">
      <c r="A184"/>
      <c r="B184"/>
      <c r="C184" s="139" t="s">
        <v>1145</v>
      </c>
      <c r="D184" s="139" t="s">
        <v>1146</v>
      </c>
      <c r="E184"/>
      <c r="F184"/>
      <c r="G184"/>
      <c r="H184"/>
      <c r="I184"/>
      <c r="J184"/>
      <c r="K184"/>
      <c r="L184"/>
      <c r="M184"/>
      <c r="N184"/>
      <c r="O184"/>
      <c r="P184"/>
    </row>
    <row r="189" spans="1:16" x14ac:dyDescent="0.3">
      <c r="A189" s="140" t="s">
        <v>1150</v>
      </c>
      <c r="B189" s="140"/>
      <c r="C189" s="140"/>
      <c r="D189" s="140"/>
      <c r="E189" s="140"/>
      <c r="F189" s="140"/>
      <c r="G189" s="140"/>
      <c r="H189" s="141"/>
      <c r="I189" s="141"/>
      <c r="J189" s="140"/>
      <c r="K189" s="140"/>
      <c r="L189" s="140"/>
      <c r="M189" s="140"/>
      <c r="N189" s="140"/>
    </row>
    <row r="190" spans="1:16" x14ac:dyDescent="0.3">
      <c r="A190" s="316" t="s">
        <v>788</v>
      </c>
      <c r="B190" s="317"/>
      <c r="C190" s="316" t="s">
        <v>410</v>
      </c>
      <c r="D190" s="317"/>
      <c r="E190" s="316" t="s">
        <v>591</v>
      </c>
      <c r="F190" s="317"/>
      <c r="G190" s="316" t="s">
        <v>592</v>
      </c>
      <c r="H190" s="317"/>
      <c r="I190" s="316" t="s">
        <v>594</v>
      </c>
      <c r="J190" s="317"/>
      <c r="K190" s="316" t="s">
        <v>1161</v>
      </c>
      <c r="L190" s="317"/>
      <c r="M190" s="316" t="s">
        <v>1162</v>
      </c>
      <c r="N190" s="317"/>
    </row>
    <row r="191" spans="1:16" x14ac:dyDescent="0.3">
      <c r="A191" s="316" t="s">
        <v>578</v>
      </c>
      <c r="B191" s="316"/>
      <c r="C191" s="316" t="s">
        <v>415</v>
      </c>
      <c r="D191" s="316"/>
      <c r="E191" s="316" t="s">
        <v>600</v>
      </c>
      <c r="F191" s="316"/>
      <c r="G191" s="316" t="s">
        <v>601</v>
      </c>
      <c r="H191" s="316"/>
      <c r="I191" s="316" t="s">
        <v>603</v>
      </c>
      <c r="J191" s="316"/>
      <c r="K191" s="316" t="s">
        <v>791</v>
      </c>
      <c r="L191" s="316"/>
      <c r="M191" s="316" t="s">
        <v>801</v>
      </c>
      <c r="N191" s="316"/>
    </row>
    <row r="192" spans="1:16" x14ac:dyDescent="0.3">
      <c r="A192" s="139" t="s">
        <v>630</v>
      </c>
      <c r="B192" s="139" t="s">
        <v>703</v>
      </c>
      <c r="C192" s="139" t="s">
        <v>78</v>
      </c>
      <c r="D192" s="139" t="s">
        <v>709</v>
      </c>
      <c r="E192" s="139" t="s">
        <v>130</v>
      </c>
      <c r="F192" s="139" t="s">
        <v>710</v>
      </c>
      <c r="G192" s="139" t="s">
        <v>170</v>
      </c>
      <c r="H192" s="139" t="s">
        <v>702</v>
      </c>
      <c r="I192" s="139" t="s">
        <v>1163</v>
      </c>
      <c r="J192" s="139" t="s">
        <v>1164</v>
      </c>
      <c r="K192" s="139"/>
      <c r="L192" s="139" t="s">
        <v>1165</v>
      </c>
      <c r="M192" s="139" t="s">
        <v>172</v>
      </c>
      <c r="N192" s="139" t="s">
        <v>1149</v>
      </c>
    </row>
    <row r="193" spans="1:14" ht="32.4" x14ac:dyDescent="0.3">
      <c r="A193" s="139" t="s">
        <v>631</v>
      </c>
      <c r="B193" s="139" t="s">
        <v>705</v>
      </c>
      <c r="C193" s="139" t="s">
        <v>79</v>
      </c>
      <c r="D193" s="139" t="s">
        <v>711</v>
      </c>
      <c r="E193" s="139" t="s">
        <v>712</v>
      </c>
      <c r="F193" s="139" t="s">
        <v>713</v>
      </c>
      <c r="G193" s="139" t="s">
        <v>714</v>
      </c>
      <c r="H193" s="139" t="s">
        <v>715</v>
      </c>
      <c r="I193" s="139" t="s">
        <v>1166</v>
      </c>
      <c r="J193" s="139" t="s">
        <v>1167</v>
      </c>
      <c r="K193" s="139" t="s">
        <v>130</v>
      </c>
      <c r="L193" s="139" t="s">
        <v>1168</v>
      </c>
      <c r="M193" s="139" t="s">
        <v>173</v>
      </c>
      <c r="N193" s="139" t="s">
        <v>1169</v>
      </c>
    </row>
    <row r="194" spans="1:14" x14ac:dyDescent="0.3">
      <c r="A194" s="139" t="s">
        <v>130</v>
      </c>
      <c r="B194" s="139" t="s">
        <v>701</v>
      </c>
      <c r="C194" s="139" t="s">
        <v>634</v>
      </c>
      <c r="D194" s="139" t="s">
        <v>716</v>
      </c>
      <c r="E194" s="139" t="s">
        <v>717</v>
      </c>
      <c r="F194" s="139" t="s">
        <v>718</v>
      </c>
      <c r="G194" s="139" t="s">
        <v>131</v>
      </c>
      <c r="H194" s="139" t="s">
        <v>719</v>
      </c>
      <c r="I194" s="139" t="s">
        <v>1170</v>
      </c>
      <c r="J194" s="139" t="s">
        <v>1171</v>
      </c>
      <c r="K194" s="139" t="s">
        <v>122</v>
      </c>
      <c r="L194" s="139" t="s">
        <v>1172</v>
      </c>
      <c r="M194"/>
      <c r="N194"/>
    </row>
    <row r="195" spans="1:14" ht="32.4" x14ac:dyDescent="0.3">
      <c r="A195" s="139" t="s">
        <v>173</v>
      </c>
      <c r="B195" s="139" t="s">
        <v>706</v>
      </c>
      <c r="C195" s="139" t="s">
        <v>637</v>
      </c>
      <c r="D195" s="139" t="s">
        <v>720</v>
      </c>
      <c r="E195" s="139" t="s">
        <v>638</v>
      </c>
      <c r="F195" s="139" t="s">
        <v>721</v>
      </c>
      <c r="G195" s="139" t="s">
        <v>717</v>
      </c>
      <c r="H195" s="139" t="s">
        <v>722</v>
      </c>
      <c r="I195" s="139" t="s">
        <v>1173</v>
      </c>
      <c r="J195" s="139" t="s">
        <v>1174</v>
      </c>
      <c r="K195" s="139" t="s">
        <v>1175</v>
      </c>
      <c r="L195" s="139" t="s">
        <v>1176</v>
      </c>
      <c r="M195"/>
      <c r="N195"/>
    </row>
    <row r="196" spans="1:14" ht="32.4" x14ac:dyDescent="0.3">
      <c r="A196" s="139" t="s">
        <v>623</v>
      </c>
      <c r="B196" s="139" t="s">
        <v>707</v>
      </c>
      <c r="C196" s="139" t="s">
        <v>633</v>
      </c>
      <c r="D196" s="139" t="s">
        <v>862</v>
      </c>
      <c r="E196" s="139" t="s">
        <v>639</v>
      </c>
      <c r="F196" s="139" t="s">
        <v>723</v>
      </c>
      <c r="G196" s="139" t="s">
        <v>623</v>
      </c>
      <c r="H196" s="139" t="s">
        <v>724</v>
      </c>
      <c r="I196" s="139" t="s">
        <v>1177</v>
      </c>
      <c r="J196" s="139" t="s">
        <v>1178</v>
      </c>
      <c r="K196"/>
      <c r="L196"/>
      <c r="M196"/>
      <c r="N196"/>
    </row>
    <row r="197" spans="1:14" ht="32.4" x14ac:dyDescent="0.3">
      <c r="A197" s="139" t="s">
        <v>170</v>
      </c>
      <c r="B197" s="139" t="s">
        <v>708</v>
      </c>
      <c r="C197" s="139" t="s">
        <v>655</v>
      </c>
      <c r="D197" s="139" t="s">
        <v>867</v>
      </c>
      <c r="E197" s="139" t="s">
        <v>636</v>
      </c>
      <c r="F197" s="139" t="s">
        <v>725</v>
      </c>
      <c r="G197" s="139" t="s">
        <v>638</v>
      </c>
      <c r="H197" s="139" t="s">
        <v>632</v>
      </c>
      <c r="I197" s="139" t="s">
        <v>1179</v>
      </c>
      <c r="J197" s="139" t="s">
        <v>1180</v>
      </c>
      <c r="K197"/>
      <c r="L197"/>
      <c r="M197"/>
      <c r="N197"/>
    </row>
    <row r="198" spans="1:14" x14ac:dyDescent="0.3">
      <c r="C198" s="139" t="s">
        <v>636</v>
      </c>
      <c r="D198" s="139" t="s">
        <v>872</v>
      </c>
      <c r="E198" s="139" t="s">
        <v>660</v>
      </c>
      <c r="F198" s="139" t="s">
        <v>726</v>
      </c>
      <c r="G198" s="139" t="s">
        <v>168</v>
      </c>
      <c r="H198" s="139" t="s">
        <v>727</v>
      </c>
      <c r="I198" s="139" t="s">
        <v>1181</v>
      </c>
      <c r="J198" s="139" t="s">
        <v>1182</v>
      </c>
      <c r="K198"/>
      <c r="L198"/>
      <c r="M198"/>
      <c r="N198"/>
    </row>
    <row r="199" spans="1:14" x14ac:dyDescent="0.3">
      <c r="C199" s="139" t="s">
        <v>660</v>
      </c>
      <c r="D199" s="139" t="s">
        <v>877</v>
      </c>
      <c r="G199" s="139" t="s">
        <v>704</v>
      </c>
      <c r="H199" s="139" t="s">
        <v>728</v>
      </c>
      <c r="I199" s="139" t="s">
        <v>1183</v>
      </c>
      <c r="J199" s="139" t="s">
        <v>1184</v>
      </c>
      <c r="K199"/>
      <c r="L199"/>
      <c r="M199"/>
      <c r="N199"/>
    </row>
    <row r="200" spans="1:14" ht="32.4" x14ac:dyDescent="0.3">
      <c r="I200" s="139" t="s">
        <v>1185</v>
      </c>
      <c r="J200" s="139" t="s">
        <v>1186</v>
      </c>
      <c r="K200"/>
      <c r="L200"/>
      <c r="M200"/>
      <c r="N200"/>
    </row>
    <row r="201" spans="1:14" x14ac:dyDescent="0.3">
      <c r="I201" s="139" t="s">
        <v>1187</v>
      </c>
      <c r="J201" s="139" t="s">
        <v>1188</v>
      </c>
      <c r="K201"/>
      <c r="L201"/>
      <c r="M201"/>
      <c r="N201"/>
    </row>
    <row r="202" spans="1:14" x14ac:dyDescent="0.3">
      <c r="I202" s="139" t="s">
        <v>1189</v>
      </c>
      <c r="J202" s="139" t="s">
        <v>1190</v>
      </c>
      <c r="K202"/>
      <c r="L202"/>
      <c r="M202"/>
      <c r="N202"/>
    </row>
    <row r="203" spans="1:14" x14ac:dyDescent="0.3">
      <c r="I203" s="139" t="s">
        <v>1191</v>
      </c>
      <c r="J203" s="139" t="s">
        <v>1192</v>
      </c>
      <c r="K203"/>
      <c r="L203"/>
      <c r="M203"/>
      <c r="N203"/>
    </row>
    <row r="204" spans="1:14" x14ac:dyDescent="0.3">
      <c r="I204" s="139" t="s">
        <v>1193</v>
      </c>
      <c r="J204" s="139" t="s">
        <v>1194</v>
      </c>
      <c r="K204"/>
      <c r="L204"/>
      <c r="M204"/>
      <c r="N204"/>
    </row>
    <row r="205" spans="1:14" x14ac:dyDescent="0.3">
      <c r="I205" s="139" t="s">
        <v>1195</v>
      </c>
      <c r="J205" s="139" t="s">
        <v>1196</v>
      </c>
      <c r="K205"/>
      <c r="L205"/>
      <c r="M205"/>
      <c r="N205"/>
    </row>
    <row r="206" spans="1:14" ht="32.4" x14ac:dyDescent="0.3">
      <c r="I206" s="139" t="s">
        <v>1197</v>
      </c>
      <c r="J206" s="139" t="s">
        <v>1198</v>
      </c>
      <c r="K206"/>
      <c r="L206"/>
      <c r="M206"/>
      <c r="N206"/>
    </row>
    <row r="207" spans="1:14" ht="32.4" x14ac:dyDescent="0.3">
      <c r="I207" s="139" t="s">
        <v>1199</v>
      </c>
      <c r="J207" s="139" t="s">
        <v>1200</v>
      </c>
      <c r="K207"/>
      <c r="L207"/>
      <c r="M207"/>
      <c r="N207"/>
    </row>
    <row r="208" spans="1:14" x14ac:dyDescent="0.3">
      <c r="I208" s="139" t="s">
        <v>1201</v>
      </c>
      <c r="J208" s="139" t="s">
        <v>1202</v>
      </c>
      <c r="K208"/>
      <c r="L208"/>
      <c r="M208"/>
      <c r="N208"/>
    </row>
    <row r="209" spans="9:14" ht="32.4" x14ac:dyDescent="0.3">
      <c r="I209" s="139" t="s">
        <v>1203</v>
      </c>
      <c r="J209" s="139" t="s">
        <v>1204</v>
      </c>
      <c r="K209"/>
      <c r="L209"/>
      <c r="M209"/>
      <c r="N209"/>
    </row>
    <row r="210" spans="9:14" x14ac:dyDescent="0.3">
      <c r="I210" s="139" t="s">
        <v>1205</v>
      </c>
      <c r="J210" s="139" t="s">
        <v>1206</v>
      </c>
      <c r="K210"/>
      <c r="L210"/>
      <c r="M210"/>
      <c r="N210"/>
    </row>
    <row r="211" spans="9:14" ht="48.6" x14ac:dyDescent="0.3">
      <c r="I211" s="139" t="s">
        <v>1207</v>
      </c>
      <c r="J211" s="139" t="s">
        <v>1208</v>
      </c>
      <c r="K211"/>
      <c r="L211"/>
      <c r="M211"/>
      <c r="N211"/>
    </row>
    <row r="212" spans="9:14" ht="32.4" x14ac:dyDescent="0.3">
      <c r="I212" s="139" t="s">
        <v>1209</v>
      </c>
      <c r="J212" s="139" t="s">
        <v>1210</v>
      </c>
      <c r="K212"/>
      <c r="L212"/>
      <c r="M212"/>
      <c r="N212"/>
    </row>
    <row r="213" spans="9:14" x14ac:dyDescent="0.3">
      <c r="I213" s="139" t="s">
        <v>1211</v>
      </c>
      <c r="J213" s="139" t="s">
        <v>1212</v>
      </c>
      <c r="K213"/>
      <c r="L213"/>
      <c r="M213"/>
      <c r="N213"/>
    </row>
    <row r="214" spans="9:14" x14ac:dyDescent="0.3">
      <c r="I214" s="139" t="s">
        <v>1213</v>
      </c>
      <c r="J214" s="139" t="s">
        <v>1214</v>
      </c>
      <c r="K214"/>
      <c r="L214"/>
      <c r="M214"/>
      <c r="N214"/>
    </row>
    <row r="215" spans="9:14" ht="32.4" x14ac:dyDescent="0.3">
      <c r="I215" s="139" t="s">
        <v>1215</v>
      </c>
      <c r="J215" s="139" t="s">
        <v>1216</v>
      </c>
      <c r="K215"/>
      <c r="L215"/>
      <c r="M215"/>
      <c r="N215"/>
    </row>
    <row r="216" spans="9:14" x14ac:dyDescent="0.3">
      <c r="I216" s="139" t="s">
        <v>1217</v>
      </c>
      <c r="J216" s="139" t="s">
        <v>1218</v>
      </c>
      <c r="K216"/>
      <c r="L216"/>
      <c r="M216"/>
      <c r="N216"/>
    </row>
    <row r="217" spans="9:14" ht="32.4" x14ac:dyDescent="0.3">
      <c r="I217" s="139" t="s">
        <v>1219</v>
      </c>
      <c r="J217" s="139" t="s">
        <v>1220</v>
      </c>
      <c r="K217"/>
      <c r="L217"/>
      <c r="M217"/>
      <c r="N217"/>
    </row>
    <row r="218" spans="9:14" ht="32.4" x14ac:dyDescent="0.3">
      <c r="I218" s="139" t="s">
        <v>1221</v>
      </c>
      <c r="J218" s="139" t="s">
        <v>1222</v>
      </c>
      <c r="K218"/>
      <c r="L218"/>
      <c r="M218"/>
      <c r="N218"/>
    </row>
    <row r="219" spans="9:14" ht="32.4" x14ac:dyDescent="0.3">
      <c r="I219" s="139" t="s">
        <v>1223</v>
      </c>
      <c r="J219" s="139" t="s">
        <v>1224</v>
      </c>
      <c r="K219"/>
      <c r="L219"/>
      <c r="M219"/>
      <c r="N219"/>
    </row>
    <row r="220" spans="9:14" ht="32.4" x14ac:dyDescent="0.3">
      <c r="I220" s="139" t="s">
        <v>1225</v>
      </c>
      <c r="J220" s="139" t="s">
        <v>1226</v>
      </c>
      <c r="K220"/>
      <c r="L220"/>
      <c r="M220"/>
      <c r="N220"/>
    </row>
    <row r="221" spans="9:14" ht="32.4" x14ac:dyDescent="0.3">
      <c r="I221" s="139" t="s">
        <v>1227</v>
      </c>
      <c r="J221" s="139" t="s">
        <v>1228</v>
      </c>
      <c r="K221"/>
      <c r="L221"/>
      <c r="M221"/>
      <c r="N221"/>
    </row>
    <row r="222" spans="9:14" x14ac:dyDescent="0.3">
      <c r="I222" s="139" t="s">
        <v>1229</v>
      </c>
      <c r="J222" s="139" t="s">
        <v>1230</v>
      </c>
      <c r="K222"/>
      <c r="L222"/>
      <c r="M222"/>
      <c r="N222"/>
    </row>
    <row r="223" spans="9:14" ht="32.4" x14ac:dyDescent="0.3">
      <c r="I223" s="139" t="s">
        <v>1231</v>
      </c>
      <c r="J223" s="139" t="s">
        <v>1232</v>
      </c>
      <c r="K223"/>
      <c r="L223"/>
      <c r="M223"/>
      <c r="N223"/>
    </row>
    <row r="224" spans="9:14" ht="32.4" x14ac:dyDescent="0.3">
      <c r="I224" s="139" t="s">
        <v>1233</v>
      </c>
      <c r="J224" s="139" t="s">
        <v>1234</v>
      </c>
      <c r="K224"/>
      <c r="L224"/>
      <c r="M224"/>
      <c r="N224"/>
    </row>
    <row r="225" spans="9:14" ht="32.4" x14ac:dyDescent="0.3">
      <c r="I225" s="139" t="s">
        <v>1235</v>
      </c>
      <c r="J225" s="139" t="s">
        <v>1236</v>
      </c>
      <c r="K225"/>
      <c r="L225"/>
      <c r="M225"/>
      <c r="N225"/>
    </row>
    <row r="226" spans="9:14" x14ac:dyDescent="0.3">
      <c r="I226" s="139" t="s">
        <v>1237</v>
      </c>
      <c r="J226" s="139" t="s">
        <v>1238</v>
      </c>
      <c r="K226"/>
      <c r="L226"/>
      <c r="M226"/>
      <c r="N226"/>
    </row>
    <row r="227" spans="9:14" x14ac:dyDescent="0.3">
      <c r="I227" s="139" t="s">
        <v>1239</v>
      </c>
      <c r="J227" s="139" t="s">
        <v>1240</v>
      </c>
      <c r="K227"/>
      <c r="L227"/>
      <c r="M227"/>
      <c r="N227"/>
    </row>
    <row r="228" spans="9:14" ht="32.4" x14ac:dyDescent="0.3">
      <c r="I228" s="139" t="s">
        <v>1241</v>
      </c>
      <c r="J228" s="139" t="s">
        <v>1242</v>
      </c>
      <c r="K228"/>
      <c r="L228"/>
      <c r="M228"/>
      <c r="N228"/>
    </row>
    <row r="229" spans="9:14" ht="32.4" x14ac:dyDescent="0.3">
      <c r="I229" s="139" t="s">
        <v>1243</v>
      </c>
      <c r="J229" s="139" t="s">
        <v>1244</v>
      </c>
      <c r="K229"/>
      <c r="L229"/>
      <c r="M229"/>
      <c r="N229"/>
    </row>
    <row r="230" spans="9:14" ht="32.4" x14ac:dyDescent="0.3">
      <c r="I230" s="139" t="s">
        <v>1245</v>
      </c>
      <c r="J230" s="139" t="s">
        <v>1246</v>
      </c>
      <c r="K230"/>
      <c r="L230"/>
      <c r="M230"/>
      <c r="N230"/>
    </row>
    <row r="231" spans="9:14" ht="32.4" x14ac:dyDescent="0.3">
      <c r="I231" s="139" t="s">
        <v>1247</v>
      </c>
      <c r="J231" s="139" t="s">
        <v>1248</v>
      </c>
      <c r="K231"/>
      <c r="L231"/>
      <c r="M231"/>
      <c r="N231"/>
    </row>
    <row r="232" spans="9:14" x14ac:dyDescent="0.3">
      <c r="I232" s="139" t="s">
        <v>1249</v>
      </c>
      <c r="J232" s="139" t="s">
        <v>1250</v>
      </c>
      <c r="K232"/>
      <c r="L232"/>
      <c r="M232"/>
      <c r="N232"/>
    </row>
    <row r="233" spans="9:14" ht="32.4" x14ac:dyDescent="0.3">
      <c r="I233" s="139" t="s">
        <v>1251</v>
      </c>
      <c r="J233" s="139" t="s">
        <v>1252</v>
      </c>
      <c r="K233"/>
      <c r="L233"/>
      <c r="M233"/>
      <c r="N233"/>
    </row>
    <row r="234" spans="9:14" x14ac:dyDescent="0.3">
      <c r="I234" s="139" t="s">
        <v>1253</v>
      </c>
      <c r="J234" s="139" t="s">
        <v>1254</v>
      </c>
      <c r="K234"/>
      <c r="L234"/>
      <c r="M234"/>
      <c r="N234"/>
    </row>
    <row r="235" spans="9:14" ht="32.4" x14ac:dyDescent="0.3">
      <c r="I235" s="139" t="s">
        <v>1255</v>
      </c>
      <c r="J235" s="139" t="s">
        <v>1256</v>
      </c>
      <c r="K235"/>
      <c r="L235"/>
      <c r="M235"/>
      <c r="N235"/>
    </row>
    <row r="236" spans="9:14" x14ac:dyDescent="0.3">
      <c r="I236" s="139" t="s">
        <v>1257</v>
      </c>
      <c r="J236" s="139" t="s">
        <v>1258</v>
      </c>
      <c r="K236"/>
      <c r="L236"/>
      <c r="M236"/>
      <c r="N236"/>
    </row>
    <row r="237" spans="9:14" ht="48.6" x14ac:dyDescent="0.3">
      <c r="I237" s="139" t="s">
        <v>1259</v>
      </c>
      <c r="J237" s="139" t="s">
        <v>1260</v>
      </c>
      <c r="K237"/>
      <c r="L237"/>
      <c r="M237"/>
      <c r="N237"/>
    </row>
    <row r="238" spans="9:14" x14ac:dyDescent="0.3">
      <c r="I238" s="139" t="s">
        <v>1261</v>
      </c>
      <c r="J238" s="139" t="s">
        <v>1258</v>
      </c>
      <c r="K238"/>
      <c r="L238"/>
      <c r="M238"/>
      <c r="N238"/>
    </row>
    <row r="239" spans="9:14" x14ac:dyDescent="0.3">
      <c r="I239" s="139" t="s">
        <v>1262</v>
      </c>
      <c r="J239" s="139" t="s">
        <v>1263</v>
      </c>
      <c r="K239"/>
      <c r="L239"/>
      <c r="M239"/>
      <c r="N239"/>
    </row>
    <row r="240" spans="9:14" x14ac:dyDescent="0.3">
      <c r="I240" s="139" t="s">
        <v>1264</v>
      </c>
      <c r="J240" s="139" t="s">
        <v>1265</v>
      </c>
      <c r="K240"/>
      <c r="L240"/>
      <c r="M240"/>
      <c r="N240"/>
    </row>
    <row r="241" spans="9:14" ht="32.4" x14ac:dyDescent="0.3">
      <c r="I241" s="139" t="s">
        <v>1266</v>
      </c>
      <c r="J241" s="139" t="s">
        <v>1267</v>
      </c>
      <c r="K241"/>
      <c r="L241"/>
      <c r="M241"/>
      <c r="N241"/>
    </row>
    <row r="242" spans="9:14" x14ac:dyDescent="0.3">
      <c r="I242" s="139" t="s">
        <v>1268</v>
      </c>
      <c r="J242" s="139" t="s">
        <v>1269</v>
      </c>
      <c r="K242"/>
      <c r="L242"/>
      <c r="M242"/>
      <c r="N242"/>
    </row>
    <row r="243" spans="9:14" ht="32.4" x14ac:dyDescent="0.3">
      <c r="I243" s="139" t="s">
        <v>1270</v>
      </c>
      <c r="J243" s="139" t="s">
        <v>1271</v>
      </c>
      <c r="K243"/>
      <c r="L243"/>
      <c r="M243"/>
      <c r="N243"/>
    </row>
    <row r="244" spans="9:14" x14ac:dyDescent="0.3">
      <c r="I244" s="139" t="s">
        <v>1272</v>
      </c>
      <c r="J244" s="139" t="s">
        <v>1273</v>
      </c>
      <c r="K244"/>
      <c r="L244"/>
      <c r="M244"/>
      <c r="N244"/>
    </row>
    <row r="245" spans="9:14" ht="32.4" x14ac:dyDescent="0.3">
      <c r="I245" s="139" t="s">
        <v>1274</v>
      </c>
      <c r="J245" s="139" t="s">
        <v>1275</v>
      </c>
      <c r="K245"/>
      <c r="L245"/>
      <c r="M245"/>
      <c r="N245"/>
    </row>
    <row r="246" spans="9:14" ht="32.4" x14ac:dyDescent="0.3">
      <c r="I246" s="139" t="s">
        <v>1276</v>
      </c>
      <c r="J246" s="139" t="s">
        <v>1277</v>
      </c>
      <c r="K246"/>
      <c r="L246"/>
      <c r="M246"/>
      <c r="N246"/>
    </row>
    <row r="247" spans="9:14" ht="48.6" x14ac:dyDescent="0.3">
      <c r="I247" s="139" t="s">
        <v>1278</v>
      </c>
      <c r="J247" s="139" t="s">
        <v>1279</v>
      </c>
      <c r="K247"/>
      <c r="L247"/>
      <c r="M247"/>
      <c r="N247"/>
    </row>
    <row r="248" spans="9:14" ht="32.4" x14ac:dyDescent="0.3">
      <c r="I248" s="139" t="s">
        <v>1280</v>
      </c>
      <c r="J248" s="139" t="s">
        <v>1281</v>
      </c>
      <c r="K248"/>
      <c r="L248"/>
      <c r="M248"/>
      <c r="N248"/>
    </row>
    <row r="249" spans="9:14" x14ac:dyDescent="0.3">
      <c r="I249" s="139" t="s">
        <v>1282</v>
      </c>
      <c r="J249" s="139" t="s">
        <v>1283</v>
      </c>
      <c r="K249"/>
      <c r="L249"/>
      <c r="M249"/>
      <c r="N249"/>
    </row>
    <row r="250" spans="9:14" ht="64.8" x14ac:dyDescent="0.3">
      <c r="I250" s="139" t="s">
        <v>1284</v>
      </c>
      <c r="J250" s="139" t="s">
        <v>1285</v>
      </c>
      <c r="K250"/>
      <c r="L250"/>
      <c r="M250"/>
      <c r="N250"/>
    </row>
    <row r="251" spans="9:14" x14ac:dyDescent="0.3">
      <c r="I251" s="139" t="s">
        <v>1286</v>
      </c>
      <c r="J251" s="139" t="s">
        <v>1287</v>
      </c>
      <c r="K251"/>
      <c r="L251"/>
      <c r="M251"/>
      <c r="N251"/>
    </row>
    <row r="252" spans="9:14" ht="32.4" x14ac:dyDescent="0.3">
      <c r="I252" s="139" t="s">
        <v>1288</v>
      </c>
      <c r="J252" s="139" t="s">
        <v>1289</v>
      </c>
      <c r="K252"/>
      <c r="L252"/>
      <c r="M252"/>
      <c r="N252"/>
    </row>
    <row r="253" spans="9:14" ht="32.4" x14ac:dyDescent="0.3">
      <c r="I253" s="139" t="s">
        <v>1290</v>
      </c>
      <c r="J253" s="139" t="s">
        <v>1291</v>
      </c>
      <c r="K253"/>
      <c r="L253"/>
      <c r="M253"/>
      <c r="N253"/>
    </row>
    <row r="254" spans="9:14" ht="32.4" x14ac:dyDescent="0.3">
      <c r="I254" s="139" t="s">
        <v>1292</v>
      </c>
      <c r="J254" s="139" t="s">
        <v>1293</v>
      </c>
      <c r="K254"/>
      <c r="L254"/>
      <c r="M254"/>
      <c r="N254"/>
    </row>
    <row r="255" spans="9:14" x14ac:dyDescent="0.3">
      <c r="I255" s="139" t="s">
        <v>1294</v>
      </c>
      <c r="J255" s="139" t="s">
        <v>1295</v>
      </c>
      <c r="K255"/>
      <c r="L255"/>
      <c r="M255"/>
      <c r="N255"/>
    </row>
    <row r="256" spans="9:14" x14ac:dyDescent="0.3">
      <c r="I256" s="139" t="s">
        <v>1296</v>
      </c>
      <c r="J256" s="139" t="s">
        <v>1297</v>
      </c>
      <c r="K256"/>
      <c r="L256"/>
      <c r="M256"/>
      <c r="N256"/>
    </row>
    <row r="257" spans="9:14" x14ac:dyDescent="0.3">
      <c r="I257" s="139" t="s">
        <v>1298</v>
      </c>
      <c r="J257" s="139" t="s">
        <v>1299</v>
      </c>
      <c r="K257"/>
      <c r="L257"/>
      <c r="M257"/>
      <c r="N257"/>
    </row>
    <row r="258" spans="9:14" x14ac:dyDescent="0.3">
      <c r="I258" s="139" t="s">
        <v>1300</v>
      </c>
      <c r="J258" s="139" t="s">
        <v>1301</v>
      </c>
      <c r="K258"/>
      <c r="L258"/>
      <c r="M258"/>
      <c r="N258"/>
    </row>
    <row r="259" spans="9:14" ht="32.4" x14ac:dyDescent="0.3">
      <c r="I259" s="139" t="s">
        <v>1302</v>
      </c>
      <c r="J259" s="139" t="s">
        <v>1303</v>
      </c>
      <c r="K259"/>
      <c r="L259"/>
      <c r="M259"/>
      <c r="N259"/>
    </row>
    <row r="260" spans="9:14" x14ac:dyDescent="0.3">
      <c r="I260" s="139" t="s">
        <v>1304</v>
      </c>
      <c r="J260" s="139" t="s">
        <v>1305</v>
      </c>
      <c r="K260"/>
      <c r="L260"/>
      <c r="M260"/>
      <c r="N260"/>
    </row>
    <row r="261" spans="9:14" x14ac:dyDescent="0.3">
      <c r="I261" s="139" t="s">
        <v>1306</v>
      </c>
      <c r="J261" s="139" t="s">
        <v>1307</v>
      </c>
      <c r="K261"/>
      <c r="L261"/>
      <c r="M261"/>
      <c r="N261"/>
    </row>
    <row r="262" spans="9:14" x14ac:dyDescent="0.3">
      <c r="I262" s="139" t="s">
        <v>1308</v>
      </c>
      <c r="J262" s="139" t="s">
        <v>1305</v>
      </c>
      <c r="K262"/>
      <c r="L262"/>
      <c r="M262"/>
      <c r="N262"/>
    </row>
    <row r="263" spans="9:14" x14ac:dyDescent="0.3">
      <c r="I263" s="139" t="s">
        <v>1309</v>
      </c>
      <c r="J263" s="139" t="s">
        <v>1310</v>
      </c>
      <c r="K263"/>
      <c r="L263"/>
      <c r="M263"/>
      <c r="N263"/>
    </row>
  </sheetData>
  <mergeCells count="32">
    <mergeCell ref="O1:P1"/>
    <mergeCell ref="A10:G10"/>
    <mergeCell ref="G12:H12"/>
    <mergeCell ref="A12:B12"/>
    <mergeCell ref="G48:H48"/>
    <mergeCell ref="G13:H13"/>
    <mergeCell ref="G49:H49"/>
    <mergeCell ref="A48:B48"/>
    <mergeCell ref="C48:D48"/>
    <mergeCell ref="E48:F48"/>
    <mergeCell ref="E12:F12"/>
    <mergeCell ref="C12:D12"/>
    <mergeCell ref="A49:B49"/>
    <mergeCell ref="C49:D49"/>
    <mergeCell ref="E49:F49"/>
    <mergeCell ref="E13:F13"/>
    <mergeCell ref="C13:D13"/>
    <mergeCell ref="A13:B13"/>
    <mergeCell ref="A190:B190"/>
    <mergeCell ref="A191:B191"/>
    <mergeCell ref="C190:D190"/>
    <mergeCell ref="C191:D191"/>
    <mergeCell ref="E190:F190"/>
    <mergeCell ref="E191:F191"/>
    <mergeCell ref="G190:H190"/>
    <mergeCell ref="G191:H191"/>
    <mergeCell ref="I190:J190"/>
    <mergeCell ref="K190:L190"/>
    <mergeCell ref="M190:N190"/>
    <mergeCell ref="I191:J191"/>
    <mergeCell ref="K191:L191"/>
    <mergeCell ref="M191:N19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3D56-769F-4175-BBAE-DD0F75942AFF}">
  <sheetPr>
    <tabColor rgb="FFFF0000"/>
  </sheetPr>
  <dimension ref="A1:DU101"/>
  <sheetViews>
    <sheetView zoomScale="70" zoomScaleNormal="7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E20" sqref="E20"/>
    </sheetView>
  </sheetViews>
  <sheetFormatPr defaultColWidth="9" defaultRowHeight="16.2" x14ac:dyDescent="0.3"/>
  <cols>
    <col min="1" max="1" width="7" style="2" customWidth="1"/>
    <col min="2" max="2" width="5.109375" style="6" customWidth="1"/>
    <col min="3" max="3" width="6" style="2" customWidth="1"/>
    <col min="4" max="4" width="6.21875" style="59" customWidth="1"/>
    <col min="5" max="5" width="6.6640625" style="2" customWidth="1"/>
    <col min="6" max="8" width="4.44140625" style="13" customWidth="1"/>
    <col min="9" max="9" width="6" style="2" customWidth="1"/>
    <col min="10" max="10" width="9.88671875" style="13" customWidth="1"/>
    <col min="11" max="12" width="9.88671875" style="6" customWidth="1"/>
    <col min="13" max="14" width="15.6640625" style="13" customWidth="1"/>
    <col min="15" max="15" width="19.44140625" style="13" customWidth="1"/>
    <col min="16" max="16" width="41.77734375" style="16" customWidth="1"/>
    <col min="17" max="17" width="18.6640625" style="16" customWidth="1"/>
    <col min="18" max="18" width="24" style="16" customWidth="1"/>
    <col min="19" max="19" width="15.109375" style="13" customWidth="1"/>
    <col min="20" max="20" width="7" style="13" customWidth="1"/>
    <col min="21" max="21" width="14.88671875" style="13" customWidth="1"/>
    <col min="22" max="22" width="17.77734375" style="2" customWidth="1"/>
    <col min="23" max="23" width="22.77734375" style="59" customWidth="1"/>
    <col min="24" max="24" width="10" style="13" customWidth="1"/>
    <col min="25" max="25" width="10.44140625" style="5" customWidth="1"/>
    <col min="26" max="26" width="10.21875" style="13" customWidth="1"/>
    <col min="27" max="32" width="13.109375" style="14" customWidth="1"/>
    <col min="33" max="33" width="3.77734375" style="14" customWidth="1"/>
    <col min="34" max="34" width="13.109375" style="14" customWidth="1"/>
    <col min="35" max="35" width="13.109375" style="13" customWidth="1"/>
    <col min="36" max="38" width="13.109375" style="14" customWidth="1"/>
    <col min="39" max="39" width="5" style="13" customWidth="1"/>
    <col min="40" max="40" width="45.6640625" style="13" bestFit="1" customWidth="1"/>
    <col min="41" max="41" width="12" style="13" customWidth="1"/>
    <col min="42" max="42" width="10.44140625" style="5" customWidth="1"/>
    <col min="43" max="43" width="22.5546875" style="5" customWidth="1"/>
    <col min="44" max="44" width="21.33203125" style="5" customWidth="1"/>
    <col min="45" max="69" width="21.5546875" style="5" customWidth="1"/>
    <col min="70" max="73" width="14.33203125" style="65" customWidth="1"/>
    <col min="74" max="74" width="5.6640625" style="5" customWidth="1"/>
    <col min="75" max="75" width="10.21875" style="13" customWidth="1"/>
    <col min="76" max="76" width="12.6640625" style="13" customWidth="1"/>
    <col min="77" max="78" width="10.109375" style="13" customWidth="1"/>
    <col min="79" max="79" width="7.88671875" style="13" customWidth="1"/>
    <col min="80" max="80" width="10.21875" style="13" customWidth="1"/>
    <col min="81" max="81" width="13.109375" style="13" customWidth="1"/>
    <col min="82" max="82" width="7.44140625" style="13" customWidth="1"/>
    <col min="83" max="83" width="9.33203125" style="13" customWidth="1"/>
    <col min="84" max="84" width="7.44140625" style="13" customWidth="1"/>
    <col min="85" max="85" width="10.6640625" style="13" customWidth="1"/>
    <col min="86" max="87" width="7.44140625" style="13" customWidth="1"/>
    <col min="88" max="88" width="10.44140625" style="15" customWidth="1"/>
    <col min="89" max="89" width="10.21875" style="13" customWidth="1"/>
    <col min="90" max="90" width="19.21875" style="59" customWidth="1"/>
    <col min="91" max="91" width="16.21875" style="13" customWidth="1"/>
    <col min="92" max="92" width="12.6640625" style="13" customWidth="1"/>
    <col min="93" max="93" width="12.21875" style="13" customWidth="1"/>
    <col min="94" max="94" width="13.44140625" style="20" customWidth="1"/>
    <col min="95" max="95" width="7" style="13" customWidth="1"/>
    <col min="96" max="96" width="17.21875" style="16" customWidth="1"/>
    <col min="97" max="97" width="26.33203125" style="13" customWidth="1"/>
    <col min="98" max="98" width="12.88671875" style="13" customWidth="1"/>
    <col min="99" max="99" width="32.44140625" style="13" customWidth="1"/>
    <col min="100" max="101" width="29.44140625" style="15" customWidth="1"/>
    <col min="102" max="102" width="5" style="15" customWidth="1"/>
    <col min="103" max="103" width="42.21875" style="13" customWidth="1"/>
    <col min="104" max="104" width="36.77734375" style="2" customWidth="1"/>
    <col min="105" max="105" width="13.109375" style="2" bestFit="1" customWidth="1"/>
    <col min="106" max="114" width="14.77734375" style="13" customWidth="1"/>
    <col min="115" max="115" width="19.88671875" style="16" customWidth="1"/>
    <col min="116" max="116" width="18.21875" style="13" customWidth="1"/>
    <col min="117" max="123" width="15.6640625" style="13" customWidth="1"/>
    <col min="124" max="124" width="9" style="13"/>
    <col min="125" max="125" width="42.77734375" style="61" bestFit="1" customWidth="1"/>
    <col min="126" max="16384" width="9" style="6"/>
  </cols>
  <sheetData>
    <row r="1" spans="1:125" s="19" customFormat="1" ht="99" x14ac:dyDescent="0.3">
      <c r="A1" s="32" t="s">
        <v>106</v>
      </c>
      <c r="B1" s="299" t="s">
        <v>112</v>
      </c>
      <c r="C1" s="32" t="s">
        <v>730</v>
      </c>
      <c r="D1" s="32" t="s">
        <v>1311</v>
      </c>
      <c r="E1" s="33" t="s">
        <v>1350</v>
      </c>
      <c r="F1" s="298" t="s">
        <v>1360</v>
      </c>
      <c r="G1" s="298" t="s">
        <v>1361</v>
      </c>
      <c r="H1" s="298" t="s">
        <v>1362</v>
      </c>
      <c r="I1" s="33" t="s">
        <v>57</v>
      </c>
      <c r="J1" s="311" t="s">
        <v>1351</v>
      </c>
      <c r="K1" s="210" t="s">
        <v>1353</v>
      </c>
      <c r="L1" s="210" t="s">
        <v>1349</v>
      </c>
      <c r="M1" s="34" t="s">
        <v>58</v>
      </c>
      <c r="N1" s="34" t="s">
        <v>71</v>
      </c>
      <c r="O1" s="35" t="s">
        <v>69</v>
      </c>
      <c r="P1" s="34" t="s">
        <v>60</v>
      </c>
      <c r="Q1" s="34" t="s">
        <v>14</v>
      </c>
      <c r="R1" s="34" t="s">
        <v>119</v>
      </c>
      <c r="S1" s="35" t="s">
        <v>59</v>
      </c>
      <c r="T1" s="36" t="s">
        <v>15</v>
      </c>
      <c r="U1" s="35" t="s">
        <v>731</v>
      </c>
      <c r="V1" s="33" t="s">
        <v>70</v>
      </c>
      <c r="W1" s="32" t="s">
        <v>104</v>
      </c>
      <c r="X1" s="37" t="s">
        <v>25</v>
      </c>
      <c r="Y1" s="34" t="s">
        <v>103</v>
      </c>
      <c r="Z1" s="34" t="s">
        <v>2</v>
      </c>
      <c r="AA1" s="38" t="s">
        <v>3</v>
      </c>
      <c r="AB1" s="211" t="s">
        <v>1316</v>
      </c>
      <c r="AC1" s="211" t="s">
        <v>1317</v>
      </c>
      <c r="AD1" s="211" t="s">
        <v>1318</v>
      </c>
      <c r="AE1" s="211" t="s">
        <v>1319</v>
      </c>
      <c r="AF1" s="211" t="s">
        <v>1320</v>
      </c>
      <c r="AG1" s="212"/>
      <c r="AH1" s="211" t="s">
        <v>200</v>
      </c>
      <c r="AI1" s="300" t="s">
        <v>736</v>
      </c>
      <c r="AJ1" s="211" t="s">
        <v>223</v>
      </c>
      <c r="AK1" s="211" t="s">
        <v>382</v>
      </c>
      <c r="AL1" s="211" t="s">
        <v>760</v>
      </c>
      <c r="AM1" s="22"/>
      <c r="AN1" s="34" t="s">
        <v>120</v>
      </c>
      <c r="AO1" s="35" t="s">
        <v>66</v>
      </c>
      <c r="AP1" s="34" t="s">
        <v>1</v>
      </c>
      <c r="AQ1" s="210" t="s">
        <v>1321</v>
      </c>
      <c r="AR1" s="210" t="s">
        <v>1322</v>
      </c>
      <c r="AS1" s="210" t="s">
        <v>1323</v>
      </c>
      <c r="AT1" s="210" t="s">
        <v>1324</v>
      </c>
      <c r="AU1" s="210" t="s">
        <v>1325</v>
      </c>
      <c r="AV1" s="210" t="s">
        <v>1326</v>
      </c>
      <c r="AW1" s="210" t="s">
        <v>1327</v>
      </c>
      <c r="AX1" s="210" t="s">
        <v>1328</v>
      </c>
      <c r="AY1" s="210" t="s">
        <v>1329</v>
      </c>
      <c r="AZ1" s="210" t="s">
        <v>1330</v>
      </c>
      <c r="BA1" s="210" t="s">
        <v>1331</v>
      </c>
      <c r="BB1" s="210" t="s">
        <v>1332</v>
      </c>
      <c r="BC1" s="210" t="s">
        <v>1333</v>
      </c>
      <c r="BD1" s="210" t="s">
        <v>1334</v>
      </c>
      <c r="BE1" s="210" t="s">
        <v>1335</v>
      </c>
      <c r="BF1" s="210" t="s">
        <v>1336</v>
      </c>
      <c r="BG1" s="210" t="s">
        <v>1337</v>
      </c>
      <c r="BH1" s="210" t="s">
        <v>1338</v>
      </c>
      <c r="BI1" s="210" t="s">
        <v>1339</v>
      </c>
      <c r="BJ1" s="210" t="s">
        <v>1340</v>
      </c>
      <c r="BK1" s="210" t="s">
        <v>1341</v>
      </c>
      <c r="BL1" s="210" t="s">
        <v>1342</v>
      </c>
      <c r="BM1" s="210" t="s">
        <v>1343</v>
      </c>
      <c r="BN1" s="210" t="s">
        <v>1344</v>
      </c>
      <c r="BO1" s="210" t="s">
        <v>1345</v>
      </c>
      <c r="BP1" s="210" t="s">
        <v>1346</v>
      </c>
      <c r="BQ1" s="210" t="s">
        <v>1347</v>
      </c>
      <c r="BR1" s="213" t="s">
        <v>1348</v>
      </c>
      <c r="BS1" s="213" t="s">
        <v>788</v>
      </c>
      <c r="BT1" s="213" t="s">
        <v>410</v>
      </c>
      <c r="BU1" s="213" t="s">
        <v>606</v>
      </c>
      <c r="BV1" s="56"/>
      <c r="BW1" s="35" t="s">
        <v>61</v>
      </c>
      <c r="BX1" s="34" t="s">
        <v>62</v>
      </c>
      <c r="BY1" s="35" t="s">
        <v>17</v>
      </c>
      <c r="BZ1" s="35" t="s">
        <v>65</v>
      </c>
      <c r="CA1" s="35" t="s">
        <v>22</v>
      </c>
      <c r="CB1" s="35" t="s">
        <v>19</v>
      </c>
      <c r="CC1" s="35" t="s">
        <v>12</v>
      </c>
      <c r="CD1" s="39" t="s">
        <v>16</v>
      </c>
      <c r="CE1" s="35" t="s">
        <v>67</v>
      </c>
      <c r="CF1" s="35" t="s">
        <v>18</v>
      </c>
      <c r="CG1" s="35" t="s">
        <v>68</v>
      </c>
      <c r="CH1" s="35" t="s">
        <v>21</v>
      </c>
      <c r="CI1" s="35" t="s">
        <v>20</v>
      </c>
      <c r="CJ1" s="35" t="s">
        <v>63</v>
      </c>
      <c r="CK1" s="35" t="s">
        <v>64</v>
      </c>
      <c r="CL1" s="32" t="s">
        <v>105</v>
      </c>
      <c r="CM1" s="35" t="s">
        <v>125</v>
      </c>
      <c r="CN1" s="34" t="s">
        <v>23</v>
      </c>
      <c r="CO1" s="34" t="s">
        <v>24</v>
      </c>
      <c r="CP1" s="40" t="s">
        <v>5</v>
      </c>
      <c r="CQ1" s="44" t="s">
        <v>4</v>
      </c>
      <c r="CR1" s="34" t="s">
        <v>6</v>
      </c>
      <c r="CS1" s="45" t="s">
        <v>7</v>
      </c>
      <c r="CT1" s="37" t="s">
        <v>26</v>
      </c>
      <c r="CU1" s="37" t="s">
        <v>626</v>
      </c>
      <c r="CV1" s="35" t="s">
        <v>124</v>
      </c>
      <c r="CW1" s="94" t="s">
        <v>625</v>
      </c>
      <c r="CX1" s="21"/>
      <c r="CY1" s="35" t="s">
        <v>73</v>
      </c>
      <c r="CZ1" s="204" t="s">
        <v>1151</v>
      </c>
      <c r="DA1" s="33" t="s">
        <v>1363</v>
      </c>
      <c r="DB1" s="35" t="s">
        <v>98</v>
      </c>
      <c r="DC1" s="203" t="s">
        <v>1152</v>
      </c>
      <c r="DD1" s="203" t="s">
        <v>1153</v>
      </c>
      <c r="DE1" s="203" t="s">
        <v>1154</v>
      </c>
      <c r="DF1" s="203" t="s">
        <v>1155</v>
      </c>
      <c r="DG1" s="203" t="s">
        <v>1156</v>
      </c>
      <c r="DH1" s="203" t="s">
        <v>1157</v>
      </c>
      <c r="DI1" s="203" t="s">
        <v>1158</v>
      </c>
      <c r="DJ1" s="203" t="s">
        <v>1159</v>
      </c>
      <c r="DK1" s="203" t="s">
        <v>1160</v>
      </c>
      <c r="DL1" s="35" t="s">
        <v>72</v>
      </c>
      <c r="DM1" s="35" t="s">
        <v>74</v>
      </c>
      <c r="DN1" s="35" t="s">
        <v>75</v>
      </c>
      <c r="DO1" s="205" t="s">
        <v>1152</v>
      </c>
      <c r="DP1" s="142" t="s">
        <v>697</v>
      </c>
      <c r="DQ1" s="142" t="s">
        <v>698</v>
      </c>
      <c r="DR1" s="142" t="s">
        <v>699</v>
      </c>
      <c r="DS1" s="142" t="s">
        <v>700</v>
      </c>
      <c r="DT1" s="18"/>
      <c r="DU1" s="60" t="s">
        <v>132</v>
      </c>
    </row>
    <row r="2" spans="1:125" s="10" customFormat="1" ht="129.6" x14ac:dyDescent="0.3">
      <c r="A2" s="2" t="str">
        <f>IF(B2="","",B2&amp;"-"&amp;COUNTIF($B$2:B2,B2))</f>
        <v/>
      </c>
      <c r="B2" s="6"/>
      <c r="C2" s="2" t="str">
        <f>IF(F2="","",F2&amp;"-"&amp;COUNTIF(F$2:$H2,F2))</f>
        <v>總-1</v>
      </c>
      <c r="D2" s="2" t="str">
        <f>IF(G2="","",G2&amp;"-"&amp;COUNTIF(G$2:$H2,G2))</f>
        <v/>
      </c>
      <c r="E2" s="2" t="str">
        <f>IF(H2="","",H2&amp;"-"&amp;COUNTIF($H$2:H2,H2))</f>
        <v>全-1</v>
      </c>
      <c r="F2" s="13" t="s">
        <v>1580</v>
      </c>
      <c r="G2" s="13"/>
      <c r="H2" s="13" t="s">
        <v>1582</v>
      </c>
      <c r="I2" s="2">
        <f>IF(Q2="","",COUNTA($Q$2:Q2))</f>
        <v>1</v>
      </c>
      <c r="J2" s="283" t="s">
        <v>1315</v>
      </c>
      <c r="K2" s="10" t="s">
        <v>1314</v>
      </c>
      <c r="L2" s="10" t="s">
        <v>1557</v>
      </c>
      <c r="M2" s="10" t="s">
        <v>1365</v>
      </c>
      <c r="N2" s="10">
        <v>43212</v>
      </c>
      <c r="O2" s="284" t="s">
        <v>1366</v>
      </c>
      <c r="P2" s="285" t="s">
        <v>1367</v>
      </c>
      <c r="Q2" s="286" t="s">
        <v>1365</v>
      </c>
      <c r="R2" s="287" t="s">
        <v>1365</v>
      </c>
      <c r="S2" s="283" t="s">
        <v>1368</v>
      </c>
      <c r="T2" s="10" t="s">
        <v>121</v>
      </c>
      <c r="U2" s="283" t="s">
        <v>1369</v>
      </c>
      <c r="V2" s="55" t="str">
        <f>T2&amp;U2</f>
        <v>YETL22090</v>
      </c>
      <c r="W2" s="288" t="str">
        <f>IF(S2="","",S2&amp;V2)</f>
        <v>5805YETL22090</v>
      </c>
      <c r="X2" s="289" t="s">
        <v>78</v>
      </c>
      <c r="Y2" s="385">
        <v>1</v>
      </c>
      <c r="Z2" s="10" t="s">
        <v>77</v>
      </c>
      <c r="AA2" s="290">
        <v>530000</v>
      </c>
      <c r="AB2" s="290" t="s">
        <v>1584</v>
      </c>
      <c r="AC2" s="290">
        <v>83.3</v>
      </c>
      <c r="AD2" s="290">
        <v>12000</v>
      </c>
      <c r="AE2" s="290">
        <v>1.5</v>
      </c>
      <c r="AF2" s="290" t="s">
        <v>172</v>
      </c>
      <c r="AG2" s="290"/>
      <c r="AH2" s="290">
        <v>3</v>
      </c>
      <c r="AI2" s="283" t="s">
        <v>1593</v>
      </c>
      <c r="AJ2" s="290" t="s">
        <v>1357</v>
      </c>
      <c r="AK2" s="290" t="s">
        <v>1358</v>
      </c>
      <c r="AL2" s="290" t="s">
        <v>1359</v>
      </c>
      <c r="AN2" s="10" t="s">
        <v>1436</v>
      </c>
      <c r="AO2" s="291" t="s">
        <v>1437</v>
      </c>
      <c r="AP2" s="10" t="s">
        <v>1312</v>
      </c>
      <c r="AQ2" s="10" t="s">
        <v>1467</v>
      </c>
      <c r="AR2" s="5" t="s">
        <v>1313</v>
      </c>
      <c r="AS2" s="285" t="s">
        <v>174</v>
      </c>
      <c r="AT2" s="285" t="s">
        <v>175</v>
      </c>
      <c r="AU2" s="285" t="s">
        <v>176</v>
      </c>
      <c r="AV2" s="285" t="s">
        <v>1367</v>
      </c>
      <c r="AW2" s="285" t="s">
        <v>1365</v>
      </c>
      <c r="AX2" s="285" t="s">
        <v>1470</v>
      </c>
      <c r="AY2" s="285" t="s">
        <v>1471</v>
      </c>
      <c r="AZ2" s="285" t="s">
        <v>1472</v>
      </c>
      <c r="BA2" s="285" t="s">
        <v>1473</v>
      </c>
      <c r="BB2" s="285" t="s">
        <v>1474</v>
      </c>
      <c r="BC2" s="285" t="s">
        <v>1475</v>
      </c>
      <c r="BD2" s="285" t="s">
        <v>1476</v>
      </c>
      <c r="BE2" s="285" t="s">
        <v>1477</v>
      </c>
      <c r="BF2" s="285"/>
      <c r="BG2" s="285" t="s">
        <v>1478</v>
      </c>
      <c r="BH2" s="285"/>
      <c r="BI2" s="285"/>
      <c r="BJ2" s="285"/>
      <c r="BK2" s="285"/>
      <c r="BL2" s="285"/>
      <c r="BM2" s="285"/>
      <c r="BN2" s="285"/>
      <c r="BO2" s="285"/>
      <c r="BP2" s="285"/>
      <c r="BQ2" s="285"/>
      <c r="BR2" s="292" t="s">
        <v>1633</v>
      </c>
      <c r="BS2" s="292" t="s">
        <v>1647</v>
      </c>
      <c r="BT2" s="292">
        <v>4</v>
      </c>
      <c r="BU2" s="292"/>
      <c r="BW2" s="388" t="s">
        <v>76</v>
      </c>
      <c r="BX2" s="5" t="s">
        <v>80</v>
      </c>
      <c r="BY2" s="16" t="s">
        <v>78</v>
      </c>
      <c r="BZ2" s="16" t="s">
        <v>167</v>
      </c>
      <c r="CA2" s="185" t="s">
        <v>1461</v>
      </c>
      <c r="CB2" s="16" t="s">
        <v>168</v>
      </c>
      <c r="CC2" s="42" t="s">
        <v>169</v>
      </c>
      <c r="CD2" s="42" t="s">
        <v>170</v>
      </c>
      <c r="CE2" s="16" t="s">
        <v>130</v>
      </c>
      <c r="CF2" s="16" t="s">
        <v>630</v>
      </c>
      <c r="CG2" s="16" t="s">
        <v>171</v>
      </c>
      <c r="CH2" s="16" t="s">
        <v>170</v>
      </c>
      <c r="CI2" s="16" t="s">
        <v>167</v>
      </c>
      <c r="CJ2" s="15" t="s">
        <v>630</v>
      </c>
      <c r="CK2" s="43" t="s">
        <v>1462</v>
      </c>
      <c r="CL2" s="57" t="str">
        <f>IF(CK2="","",CJ2&amp;CK2)</f>
        <v>A1973B</v>
      </c>
      <c r="CM2" s="294" t="s">
        <v>1465</v>
      </c>
      <c r="CN2" s="283" t="s">
        <v>79</v>
      </c>
      <c r="CO2" s="285">
        <v>3</v>
      </c>
      <c r="CP2" s="10" t="s">
        <v>1466</v>
      </c>
      <c r="CQ2" s="10" t="s">
        <v>82</v>
      </c>
      <c r="CR2" s="285" t="s">
        <v>1366</v>
      </c>
      <c r="CS2" s="287" t="s">
        <v>1365</v>
      </c>
      <c r="CT2" s="287" t="s">
        <v>81</v>
      </c>
      <c r="CU2" s="287"/>
      <c r="CV2" s="293"/>
      <c r="CW2" s="293"/>
      <c r="CX2" s="293"/>
      <c r="CY2" s="283" t="s">
        <v>1467</v>
      </c>
      <c r="CZ2" s="55" t="str">
        <f>IF(DB2="","",DB2&amp;"-"&amp;DC2&amp;"-"&amp;DD2&amp;DE2&amp;"-"&amp;DF2&amp;DG2&amp;"-"&amp;DH2&amp;"-"&amp;DI2&amp;DJ2&amp;"-"&amp;DK2)</f>
        <v>43212------</v>
      </c>
      <c r="DA2" s="55" t="str">
        <f>IF(CY2="","",BX2)</f>
        <v>B21317</v>
      </c>
      <c r="DB2" s="283">
        <v>43212</v>
      </c>
      <c r="DC2" s="283"/>
      <c r="DD2" s="283"/>
      <c r="DE2" s="283"/>
      <c r="DF2" s="283"/>
      <c r="DG2" s="283"/>
      <c r="DH2" s="283"/>
      <c r="DI2" s="283"/>
      <c r="DJ2" s="283"/>
      <c r="DK2" s="287"/>
      <c r="DL2" s="283" t="s">
        <v>167</v>
      </c>
      <c r="DM2" s="283" t="s">
        <v>1468</v>
      </c>
      <c r="DN2" s="283" t="s">
        <v>1469</v>
      </c>
      <c r="DO2" s="283"/>
      <c r="DP2" s="283" t="s">
        <v>78</v>
      </c>
      <c r="DQ2" s="283" t="s">
        <v>78</v>
      </c>
      <c r="DR2" s="283" t="s">
        <v>79</v>
      </c>
      <c r="DS2" s="283" t="s">
        <v>78</v>
      </c>
      <c r="DT2" s="283"/>
      <c r="DU2" s="295" t="str">
        <f>IF(M2=0,"",Q2&amp;P2)</f>
        <v>聲力電話系統Acoustic Telephone System</v>
      </c>
    </row>
    <row r="3" spans="1:125" ht="81" x14ac:dyDescent="0.3">
      <c r="A3" s="2" t="str">
        <f>IF(B3="","",B3&amp;"-"&amp;COUNTIF($B$2:B3,B3))</f>
        <v/>
      </c>
      <c r="C3" s="2" t="str">
        <f>IF(F3="","",F3&amp;"-"&amp;COUNTIF(F$2:$H3,F3))</f>
        <v/>
      </c>
      <c r="D3" s="2" t="str">
        <f>IF(G3="","",G3&amp;"-"&amp;COUNTIF(G$2:$H3,G3))</f>
        <v>18-1</v>
      </c>
      <c r="E3" s="2" t="str">
        <f>IF(H3="","",H3&amp;"-"&amp;COUNTIF($H$2:H3,H3))</f>
        <v>全-2</v>
      </c>
      <c r="G3" s="13" t="s">
        <v>1581</v>
      </c>
      <c r="H3" s="13" t="s">
        <v>1582</v>
      </c>
      <c r="I3" s="2">
        <f>IF(Q3="","",COUNTA($Q$2:Q3))</f>
        <v>2</v>
      </c>
      <c r="J3" s="13" t="s">
        <v>1352</v>
      </c>
      <c r="K3" s="10" t="s">
        <v>1314</v>
      </c>
      <c r="L3" s="6" t="s">
        <v>1558</v>
      </c>
      <c r="M3" s="6" t="s">
        <v>1365</v>
      </c>
      <c r="N3" s="6">
        <v>432121</v>
      </c>
      <c r="O3" s="214" t="s">
        <v>1370</v>
      </c>
      <c r="P3" s="5" t="s">
        <v>1371</v>
      </c>
      <c r="Q3" s="214" t="s">
        <v>1372</v>
      </c>
      <c r="R3" s="16" t="s">
        <v>1373</v>
      </c>
      <c r="S3" s="13" t="s">
        <v>1368</v>
      </c>
      <c r="T3" s="6" t="s">
        <v>121</v>
      </c>
      <c r="U3" s="13" t="s">
        <v>1374</v>
      </c>
      <c r="V3" s="2" t="str">
        <f t="shared" ref="V3:V66" si="0">T3&amp;U3</f>
        <v>YETL22088</v>
      </c>
      <c r="W3" s="216" t="str">
        <f t="shared" ref="W3:W66" si="1">IF(S3="","",S3&amp;V3)</f>
        <v>5805YETL22088</v>
      </c>
      <c r="X3" s="16" t="s">
        <v>78</v>
      </c>
      <c r="Y3" s="386">
        <v>23</v>
      </c>
      <c r="Z3" s="6" t="s">
        <v>77</v>
      </c>
      <c r="AA3" s="14">
        <v>1200</v>
      </c>
      <c r="AB3" s="14" t="s">
        <v>1584</v>
      </c>
      <c r="AC3" s="14">
        <v>83.3</v>
      </c>
      <c r="AD3" s="14">
        <v>12000</v>
      </c>
      <c r="AE3" s="14">
        <v>1.5</v>
      </c>
      <c r="AF3" s="14" t="s">
        <v>172</v>
      </c>
      <c r="AH3" s="14">
        <v>4</v>
      </c>
      <c r="AI3" s="13" t="s">
        <v>1593</v>
      </c>
      <c r="AJ3" s="14" t="s">
        <v>1357</v>
      </c>
      <c r="AK3" s="14" t="s">
        <v>1358</v>
      </c>
      <c r="AL3" s="14">
        <v>0</v>
      </c>
      <c r="AM3" s="6"/>
      <c r="AN3" s="6" t="s">
        <v>1438</v>
      </c>
      <c r="AO3" s="41" t="s">
        <v>1439</v>
      </c>
      <c r="AP3" s="6" t="s">
        <v>1440</v>
      </c>
      <c r="AQ3" s="6" t="s">
        <v>1467</v>
      </c>
      <c r="AR3" s="5" t="s">
        <v>1313</v>
      </c>
      <c r="AS3" s="5" t="s">
        <v>174</v>
      </c>
      <c r="AT3" s="5" t="s">
        <v>175</v>
      </c>
      <c r="AU3" s="5" t="s">
        <v>176</v>
      </c>
      <c r="AV3" s="5" t="s">
        <v>1371</v>
      </c>
      <c r="AW3" s="5" t="s">
        <v>1372</v>
      </c>
      <c r="AX3" s="5" t="s">
        <v>1479</v>
      </c>
      <c r="AY3" s="5" t="s">
        <v>1480</v>
      </c>
      <c r="AZ3" s="5" t="s">
        <v>1481</v>
      </c>
      <c r="BA3" s="5" t="s">
        <v>1482</v>
      </c>
      <c r="BB3" s="5" t="s">
        <v>1483</v>
      </c>
      <c r="BC3" s="5" t="s">
        <v>1484</v>
      </c>
      <c r="BD3" s="5" t="s">
        <v>1485</v>
      </c>
      <c r="BE3" s="5" t="s">
        <v>1486</v>
      </c>
      <c r="BF3" s="5" t="s">
        <v>1487</v>
      </c>
      <c r="BG3" s="5" t="s">
        <v>1488</v>
      </c>
      <c r="BH3" s="5" t="s">
        <v>1489</v>
      </c>
      <c r="BI3" s="5" t="s">
        <v>1490</v>
      </c>
      <c r="BJ3" s="5" t="s">
        <v>1491</v>
      </c>
      <c r="BK3" s="5" t="s">
        <v>1492</v>
      </c>
      <c r="BL3" s="5" t="s">
        <v>1493</v>
      </c>
      <c r="BM3" s="5" t="s">
        <v>1494</v>
      </c>
      <c r="BN3" s="5" t="s">
        <v>1495</v>
      </c>
      <c r="BO3" s="5" t="s">
        <v>1496</v>
      </c>
      <c r="BP3" s="5" t="s">
        <v>1497</v>
      </c>
      <c r="BQ3" s="5" t="s">
        <v>1498</v>
      </c>
      <c r="BR3" s="65" t="s">
        <v>1634</v>
      </c>
      <c r="BS3" s="65" t="s">
        <v>130</v>
      </c>
      <c r="BT3" s="65">
        <v>4</v>
      </c>
      <c r="BV3" s="6"/>
      <c r="BW3" s="388" t="s">
        <v>76</v>
      </c>
      <c r="BX3" s="5" t="s">
        <v>80</v>
      </c>
      <c r="BY3" s="16" t="s">
        <v>78</v>
      </c>
      <c r="BZ3" s="16" t="s">
        <v>167</v>
      </c>
      <c r="CA3" s="388" t="s">
        <v>130</v>
      </c>
      <c r="CB3" s="16" t="s">
        <v>168</v>
      </c>
      <c r="CC3" s="42" t="s">
        <v>169</v>
      </c>
      <c r="CD3" s="42" t="s">
        <v>170</v>
      </c>
      <c r="CE3" s="16" t="s">
        <v>130</v>
      </c>
      <c r="CF3" s="16" t="s">
        <v>630</v>
      </c>
      <c r="CG3" s="16" t="s">
        <v>171</v>
      </c>
      <c r="CH3" s="16" t="s">
        <v>170</v>
      </c>
      <c r="CI3" s="16" t="s">
        <v>167</v>
      </c>
      <c r="CJ3" s="15" t="s">
        <v>630</v>
      </c>
      <c r="CK3" s="43" t="s">
        <v>1462</v>
      </c>
      <c r="CL3" s="186" t="str">
        <f t="shared" ref="CL3:CL66" si="2">IF(CK3="","",CJ3&amp;CK3)</f>
        <v>A1973B</v>
      </c>
      <c r="CM3" s="43" t="s">
        <v>1465</v>
      </c>
      <c r="CN3" s="13" t="s">
        <v>79</v>
      </c>
      <c r="CO3" s="5">
        <v>3</v>
      </c>
      <c r="CP3" s="6" t="s">
        <v>1466</v>
      </c>
      <c r="CQ3" s="6" t="s">
        <v>82</v>
      </c>
      <c r="CR3" s="5" t="s">
        <v>1366</v>
      </c>
      <c r="CS3" s="16" t="s">
        <v>1365</v>
      </c>
      <c r="CT3" s="16" t="s">
        <v>81</v>
      </c>
      <c r="CU3" s="16" t="s">
        <v>1365</v>
      </c>
      <c r="CV3" s="15" t="s">
        <v>1367</v>
      </c>
      <c r="CW3" s="15" t="s">
        <v>1466</v>
      </c>
      <c r="CZ3" s="2" t="str">
        <f>IF(DB3="","",DB3&amp;"-"&amp;DC3&amp;"-"&amp;DD3&amp;DE3&amp;"-"&amp;DF3&amp;DG3&amp;"-"&amp;DH3&amp;"-"&amp;DI3&amp;DJ3&amp;"-"&amp;DK3)</f>
        <v/>
      </c>
      <c r="DA3" s="55" t="str">
        <f t="shared" ref="DA3:DA66" si="3">IF(CY3="","",BX3)</f>
        <v/>
      </c>
    </row>
    <row r="4" spans="1:125" ht="81" x14ac:dyDescent="0.3">
      <c r="A4" s="2" t="str">
        <f>IF(B4="","",B4&amp;"-"&amp;COUNTIF($B$2:B4,B4))</f>
        <v/>
      </c>
      <c r="C4" s="2" t="str">
        <f>IF(F4="","",F4&amp;"-"&amp;COUNTIF(F$2:$H4,F4))</f>
        <v/>
      </c>
      <c r="D4" s="2" t="str">
        <f>IF(G4="","",G4&amp;"-"&amp;COUNTIF(G$2:$H4,G4))</f>
        <v>18-2</v>
      </c>
      <c r="E4" s="2" t="str">
        <f>IF(H4="","",H4&amp;"-"&amp;COUNTIF($H$2:H4,H4))</f>
        <v>全-3</v>
      </c>
      <c r="G4" s="13" t="s">
        <v>1581</v>
      </c>
      <c r="H4" s="13" t="s">
        <v>1582</v>
      </c>
      <c r="I4" s="2">
        <f>IF(Q4="","",COUNTA($Q$2:Q4))</f>
        <v>3</v>
      </c>
      <c r="J4" s="13" t="s">
        <v>1568</v>
      </c>
      <c r="K4" s="10" t="s">
        <v>1314</v>
      </c>
      <c r="L4" s="6" t="s">
        <v>1559</v>
      </c>
      <c r="M4" s="6" t="s">
        <v>1365</v>
      </c>
      <c r="N4" s="13" t="s">
        <v>1375</v>
      </c>
      <c r="O4" s="215" t="s">
        <v>1376</v>
      </c>
      <c r="P4" s="16" t="s">
        <v>1377</v>
      </c>
      <c r="Q4" s="214" t="s">
        <v>1378</v>
      </c>
      <c r="R4" s="16" t="s">
        <v>1379</v>
      </c>
      <c r="S4" s="13" t="s">
        <v>1368</v>
      </c>
      <c r="T4" s="6" t="s">
        <v>121</v>
      </c>
      <c r="U4" s="13" t="s">
        <v>1380</v>
      </c>
      <c r="V4" s="2" t="str">
        <f t="shared" si="0"/>
        <v>YETL22087</v>
      </c>
      <c r="W4" s="216" t="str">
        <f t="shared" si="1"/>
        <v>5805YETL22087</v>
      </c>
      <c r="X4" s="13" t="s">
        <v>78</v>
      </c>
      <c r="Y4" s="386">
        <v>62</v>
      </c>
      <c r="Z4" s="13" t="s">
        <v>77</v>
      </c>
      <c r="AA4" s="14">
        <v>1200</v>
      </c>
      <c r="AB4" s="14" t="s">
        <v>1584</v>
      </c>
      <c r="AC4" s="14">
        <v>83.3</v>
      </c>
      <c r="AD4" s="14">
        <v>12000</v>
      </c>
      <c r="AE4" s="14">
        <v>1.5</v>
      </c>
      <c r="AF4" s="14" t="s">
        <v>172</v>
      </c>
      <c r="AH4" s="14">
        <v>4</v>
      </c>
      <c r="AI4" s="13" t="s">
        <v>1593</v>
      </c>
      <c r="AJ4" s="14" t="s">
        <v>1357</v>
      </c>
      <c r="AK4" s="14" t="s">
        <v>1358</v>
      </c>
      <c r="AL4" s="14">
        <v>0</v>
      </c>
      <c r="AM4" s="6"/>
      <c r="AN4" s="6" t="s">
        <v>1438</v>
      </c>
      <c r="AO4" s="41" t="s">
        <v>1439</v>
      </c>
      <c r="AP4" s="6" t="s">
        <v>1440</v>
      </c>
      <c r="AQ4" s="6" t="s">
        <v>1467</v>
      </c>
      <c r="AR4" s="5" t="s">
        <v>1313</v>
      </c>
      <c r="AS4" s="5" t="s">
        <v>174</v>
      </c>
      <c r="AT4" s="5" t="s">
        <v>175</v>
      </c>
      <c r="AU4" s="5" t="s">
        <v>176</v>
      </c>
      <c r="AV4" s="5" t="s">
        <v>1377</v>
      </c>
      <c r="AW4" s="5" t="s">
        <v>1378</v>
      </c>
      <c r="AX4" s="5" t="s">
        <v>1479</v>
      </c>
      <c r="AY4" s="5" t="s">
        <v>1480</v>
      </c>
      <c r="AZ4" s="5" t="s">
        <v>1481</v>
      </c>
      <c r="BA4" s="5" t="s">
        <v>1482</v>
      </c>
      <c r="BB4" s="5" t="s">
        <v>1483</v>
      </c>
      <c r="BC4" s="5" t="s">
        <v>1484</v>
      </c>
      <c r="BD4" s="5" t="s">
        <v>1485</v>
      </c>
      <c r="BE4" s="5" t="s">
        <v>1486</v>
      </c>
      <c r="BF4" s="5" t="s">
        <v>1487</v>
      </c>
      <c r="BG4" s="5" t="s">
        <v>1488</v>
      </c>
      <c r="BH4" s="5" t="s">
        <v>1489</v>
      </c>
      <c r="BI4" s="5" t="s">
        <v>1490</v>
      </c>
      <c r="BJ4" s="5" t="s">
        <v>1491</v>
      </c>
      <c r="BK4" s="5" t="s">
        <v>1492</v>
      </c>
      <c r="BL4" s="5" t="s">
        <v>1493</v>
      </c>
      <c r="BM4" s="5" t="s">
        <v>1494</v>
      </c>
      <c r="BN4" s="5" t="s">
        <v>1495</v>
      </c>
      <c r="BO4" s="5" t="s">
        <v>1496</v>
      </c>
      <c r="BP4" s="5" t="s">
        <v>1497</v>
      </c>
      <c r="BQ4" s="5" t="s">
        <v>1498</v>
      </c>
      <c r="BR4" s="65" t="s">
        <v>1635</v>
      </c>
      <c r="BS4" s="65" t="s">
        <v>130</v>
      </c>
      <c r="BT4" s="65">
        <v>4</v>
      </c>
      <c r="BV4" s="6"/>
      <c r="BW4" s="13" t="s">
        <v>76</v>
      </c>
      <c r="BX4" s="13" t="s">
        <v>80</v>
      </c>
      <c r="BY4" s="13" t="s">
        <v>78</v>
      </c>
      <c r="BZ4" s="13" t="s">
        <v>167</v>
      </c>
      <c r="CA4" s="13" t="s">
        <v>130</v>
      </c>
      <c r="CB4" s="13" t="s">
        <v>168</v>
      </c>
      <c r="CC4" s="42" t="s">
        <v>169</v>
      </c>
      <c r="CD4" s="13" t="s">
        <v>170</v>
      </c>
      <c r="CE4" s="13" t="s">
        <v>130</v>
      </c>
      <c r="CF4" s="16" t="s">
        <v>630</v>
      </c>
      <c r="CG4" s="13" t="s">
        <v>171</v>
      </c>
      <c r="CH4" s="13" t="s">
        <v>170</v>
      </c>
      <c r="CI4" s="13" t="s">
        <v>167</v>
      </c>
      <c r="CJ4" s="15" t="s">
        <v>630</v>
      </c>
      <c r="CK4" s="13" t="s">
        <v>1462</v>
      </c>
      <c r="CL4" s="186" t="str">
        <f t="shared" si="2"/>
        <v>A1973B</v>
      </c>
      <c r="CM4" s="43" t="s">
        <v>1465</v>
      </c>
      <c r="CN4" s="13" t="s">
        <v>79</v>
      </c>
      <c r="CO4" s="13">
        <v>3</v>
      </c>
      <c r="CP4" s="13" t="s">
        <v>1466</v>
      </c>
      <c r="CQ4" s="13" t="s">
        <v>82</v>
      </c>
      <c r="CR4" s="16" t="s">
        <v>1366</v>
      </c>
      <c r="CS4" s="13" t="s">
        <v>1365</v>
      </c>
      <c r="CT4" s="13" t="s">
        <v>81</v>
      </c>
      <c r="CU4" s="13" t="s">
        <v>1365</v>
      </c>
      <c r="CV4" s="15" t="s">
        <v>1367</v>
      </c>
      <c r="CW4" s="15" t="s">
        <v>1466</v>
      </c>
      <c r="CZ4" s="2" t="str">
        <f t="shared" ref="CZ4:CZ67" si="4">IF(DB4="","",DB4&amp;"-"&amp;DC4&amp;"-"&amp;DD4&amp;DE4&amp;"-"&amp;DF4&amp;DG4&amp;"-"&amp;DH4&amp;"-"&amp;DI4&amp;DJ4&amp;"-"&amp;DK4)</f>
        <v/>
      </c>
      <c r="DA4" s="55" t="str">
        <f t="shared" si="3"/>
        <v/>
      </c>
    </row>
    <row r="5" spans="1:125" ht="81" x14ac:dyDescent="0.3">
      <c r="A5" s="2" t="str">
        <f>IF(B5="","",B5&amp;"-"&amp;COUNTIF($B$2:B5,B5))</f>
        <v/>
      </c>
      <c r="C5" s="2" t="str">
        <f>IF(F5="","",F5&amp;"-"&amp;COUNTIF(F$2:$H5,F5))</f>
        <v/>
      </c>
      <c r="D5" s="2" t="str">
        <f>IF(G5="","",G5&amp;"-"&amp;COUNTIF(G$2:$H5,G5))</f>
        <v>18-3</v>
      </c>
      <c r="E5" s="2" t="str">
        <f>IF(H5="","",H5&amp;"-"&amp;COUNTIF($H$2:H5,H5))</f>
        <v>全-4</v>
      </c>
      <c r="G5" s="13" t="s">
        <v>1581</v>
      </c>
      <c r="H5" s="13" t="s">
        <v>1582</v>
      </c>
      <c r="I5" s="2">
        <f>IF(Q5="","",COUNTA($Q$2:Q5))</f>
        <v>4</v>
      </c>
      <c r="J5" s="13" t="s">
        <v>1569</v>
      </c>
      <c r="K5" s="10" t="s">
        <v>1314</v>
      </c>
      <c r="L5" s="6" t="s">
        <v>1560</v>
      </c>
      <c r="M5" s="6" t="s">
        <v>1365</v>
      </c>
      <c r="N5" s="6" t="s">
        <v>1381</v>
      </c>
      <c r="O5" s="215" t="s">
        <v>1382</v>
      </c>
      <c r="P5" s="16" t="s">
        <v>1383</v>
      </c>
      <c r="Q5" s="214" t="s">
        <v>1384</v>
      </c>
      <c r="R5" s="16" t="s">
        <v>1385</v>
      </c>
      <c r="S5" s="13" t="s">
        <v>1368</v>
      </c>
      <c r="T5" s="6" t="s">
        <v>121</v>
      </c>
      <c r="U5" s="13" t="s">
        <v>1386</v>
      </c>
      <c r="V5" s="2" t="str">
        <f t="shared" si="0"/>
        <v>YETL22086</v>
      </c>
      <c r="W5" s="216" t="str">
        <f t="shared" si="1"/>
        <v>5805YETL22086</v>
      </c>
      <c r="X5" s="13" t="s">
        <v>78</v>
      </c>
      <c r="Y5" s="387">
        <v>7</v>
      </c>
      <c r="Z5" s="13" t="s">
        <v>77</v>
      </c>
      <c r="AA5" s="14">
        <v>1200</v>
      </c>
      <c r="AB5" s="14" t="s">
        <v>1584</v>
      </c>
      <c r="AC5" s="14">
        <v>83.3</v>
      </c>
      <c r="AD5" s="14">
        <v>12000</v>
      </c>
      <c r="AE5" s="14">
        <v>1.5</v>
      </c>
      <c r="AF5" s="14" t="s">
        <v>172</v>
      </c>
      <c r="AH5" s="14">
        <v>4</v>
      </c>
      <c r="AI5" s="13" t="s">
        <v>1593</v>
      </c>
      <c r="AJ5" s="14" t="s">
        <v>1357</v>
      </c>
      <c r="AK5" s="14" t="s">
        <v>1358</v>
      </c>
      <c r="AL5" s="14">
        <v>0</v>
      </c>
      <c r="AM5" s="6"/>
      <c r="AN5" s="13" t="s">
        <v>1438</v>
      </c>
      <c r="AO5" s="13" t="s">
        <v>1439</v>
      </c>
      <c r="AP5" s="5" t="s">
        <v>1440</v>
      </c>
      <c r="AQ5" s="5" t="s">
        <v>1467</v>
      </c>
      <c r="AR5" s="5" t="s">
        <v>1313</v>
      </c>
      <c r="AS5" s="5" t="s">
        <v>174</v>
      </c>
      <c r="AT5" s="5" t="s">
        <v>175</v>
      </c>
      <c r="AU5" s="5" t="s">
        <v>176</v>
      </c>
      <c r="AV5" s="5" t="s">
        <v>1383</v>
      </c>
      <c r="AW5" s="5" t="s">
        <v>1384</v>
      </c>
      <c r="AX5" s="5" t="s">
        <v>1479</v>
      </c>
      <c r="AY5" s="5" t="s">
        <v>1480</v>
      </c>
      <c r="AZ5" s="5" t="s">
        <v>1481</v>
      </c>
      <c r="BA5" s="5" t="s">
        <v>1482</v>
      </c>
      <c r="BB5" s="5" t="s">
        <v>1483</v>
      </c>
      <c r="BC5" s="5" t="s">
        <v>1484</v>
      </c>
      <c r="BD5" s="5" t="s">
        <v>1485</v>
      </c>
      <c r="BE5" s="5" t="s">
        <v>1486</v>
      </c>
      <c r="BF5" s="5" t="s">
        <v>1487</v>
      </c>
      <c r="BG5" s="5" t="s">
        <v>1488</v>
      </c>
      <c r="BH5" s="5" t="s">
        <v>1489</v>
      </c>
      <c r="BI5" s="5" t="s">
        <v>1490</v>
      </c>
      <c r="BJ5" s="5" t="s">
        <v>1491</v>
      </c>
      <c r="BK5" s="5" t="s">
        <v>1492</v>
      </c>
      <c r="BL5" s="5" t="s">
        <v>1493</v>
      </c>
      <c r="BM5" s="5" t="s">
        <v>1494</v>
      </c>
      <c r="BN5" s="5" t="s">
        <v>1495</v>
      </c>
      <c r="BO5" s="5" t="s">
        <v>1496</v>
      </c>
      <c r="BP5" s="5" t="s">
        <v>1499</v>
      </c>
      <c r="BQ5" s="5" t="s">
        <v>1500</v>
      </c>
      <c r="BR5" s="65" t="s">
        <v>1636</v>
      </c>
      <c r="BS5" s="65" t="s">
        <v>130</v>
      </c>
      <c r="BT5" s="65">
        <v>4</v>
      </c>
      <c r="BW5" s="13" t="s">
        <v>76</v>
      </c>
      <c r="BX5" s="13" t="s">
        <v>80</v>
      </c>
      <c r="BY5" s="13" t="s">
        <v>78</v>
      </c>
      <c r="BZ5" s="13" t="s">
        <v>167</v>
      </c>
      <c r="CA5" s="13" t="s">
        <v>130</v>
      </c>
      <c r="CB5" s="13" t="s">
        <v>168</v>
      </c>
      <c r="CC5" s="13" t="s">
        <v>169</v>
      </c>
      <c r="CD5" s="13" t="s">
        <v>170</v>
      </c>
      <c r="CE5" s="13" t="s">
        <v>130</v>
      </c>
      <c r="CF5" s="13" t="s">
        <v>630</v>
      </c>
      <c r="CG5" s="13" t="s">
        <v>171</v>
      </c>
      <c r="CH5" s="13" t="s">
        <v>170</v>
      </c>
      <c r="CI5" s="13" t="s">
        <v>167</v>
      </c>
      <c r="CJ5" s="15" t="s">
        <v>630</v>
      </c>
      <c r="CK5" s="13" t="s">
        <v>1462</v>
      </c>
      <c r="CL5" s="186" t="str">
        <f t="shared" si="2"/>
        <v>A1973B</v>
      </c>
      <c r="CM5" s="43" t="s">
        <v>1465</v>
      </c>
      <c r="CN5" s="13" t="s">
        <v>79</v>
      </c>
      <c r="CO5" s="13">
        <v>3</v>
      </c>
      <c r="CP5" s="13" t="s">
        <v>1466</v>
      </c>
      <c r="CQ5" s="13" t="s">
        <v>82</v>
      </c>
      <c r="CR5" s="16" t="s">
        <v>1366</v>
      </c>
      <c r="CS5" s="13" t="s">
        <v>1365</v>
      </c>
      <c r="CT5" s="13" t="s">
        <v>81</v>
      </c>
      <c r="CU5" s="13" t="s">
        <v>1365</v>
      </c>
      <c r="CV5" s="15" t="s">
        <v>1367</v>
      </c>
      <c r="CW5" s="15" t="s">
        <v>1466</v>
      </c>
      <c r="CZ5" s="2" t="str">
        <f t="shared" si="4"/>
        <v/>
      </c>
      <c r="DA5" s="55" t="str">
        <f t="shared" si="3"/>
        <v/>
      </c>
    </row>
    <row r="6" spans="1:125" ht="81" x14ac:dyDescent="0.3">
      <c r="A6" s="2" t="str">
        <f>IF(B6="","",B6&amp;"-"&amp;COUNTIF($B$2:B6,B6))</f>
        <v/>
      </c>
      <c r="C6" s="2" t="str">
        <f>IF(F6="","",F6&amp;"-"&amp;COUNTIF(F$2:$H6,F6))</f>
        <v/>
      </c>
      <c r="D6" s="2" t="str">
        <f>IF(G6="","",G6&amp;"-"&amp;COUNTIF(G$2:$H6,G6))</f>
        <v>18-4</v>
      </c>
      <c r="E6" s="2" t="str">
        <f>IF(H6="","",H6&amp;"-"&amp;COUNTIF($H$2:H6,H6))</f>
        <v>全-5</v>
      </c>
      <c r="G6" s="13" t="s">
        <v>1581</v>
      </c>
      <c r="H6" s="13" t="s">
        <v>1582</v>
      </c>
      <c r="I6" s="2">
        <f>IF(Q6="","",COUNTA($Q$2:Q6))</f>
        <v>5</v>
      </c>
      <c r="J6" s="13" t="s">
        <v>1570</v>
      </c>
      <c r="K6" s="10" t="s">
        <v>1314</v>
      </c>
      <c r="L6" s="6" t="s">
        <v>1561</v>
      </c>
      <c r="M6" s="6" t="s">
        <v>1365</v>
      </c>
      <c r="N6" s="13">
        <v>432124</v>
      </c>
      <c r="O6" s="215" t="s">
        <v>1387</v>
      </c>
      <c r="P6" s="16" t="s">
        <v>1388</v>
      </c>
      <c r="Q6" s="214" t="s">
        <v>1389</v>
      </c>
      <c r="R6" s="16" t="s">
        <v>1390</v>
      </c>
      <c r="S6" s="13" t="s">
        <v>1368</v>
      </c>
      <c r="T6" s="6" t="s">
        <v>121</v>
      </c>
      <c r="U6" s="13" t="s">
        <v>1391</v>
      </c>
      <c r="V6" s="2" t="str">
        <f t="shared" si="0"/>
        <v>YETL22085</v>
      </c>
      <c r="W6" s="216" t="str">
        <f t="shared" si="1"/>
        <v>5805YETL22085</v>
      </c>
      <c r="X6" s="13" t="s">
        <v>78</v>
      </c>
      <c r="Y6" s="387">
        <v>5</v>
      </c>
      <c r="Z6" s="13" t="s">
        <v>77</v>
      </c>
      <c r="AA6" s="14">
        <v>1200</v>
      </c>
      <c r="AB6" s="14" t="s">
        <v>1584</v>
      </c>
      <c r="AC6" s="14">
        <v>83.3</v>
      </c>
      <c r="AD6" s="14">
        <v>12000</v>
      </c>
      <c r="AE6" s="14">
        <v>1.5</v>
      </c>
      <c r="AF6" s="14" t="s">
        <v>172</v>
      </c>
      <c r="AH6" s="14">
        <v>4</v>
      </c>
      <c r="AI6" s="13" t="s">
        <v>1593</v>
      </c>
      <c r="AJ6" s="14" t="s">
        <v>1357</v>
      </c>
      <c r="AK6" s="14" t="s">
        <v>1358</v>
      </c>
      <c r="AL6" s="14">
        <v>0</v>
      </c>
      <c r="AM6" s="6"/>
      <c r="AN6" s="13" t="s">
        <v>1438</v>
      </c>
      <c r="AO6" s="13" t="s">
        <v>1439</v>
      </c>
      <c r="AP6" s="5" t="s">
        <v>1440</v>
      </c>
      <c r="AQ6" s="5" t="s">
        <v>1467</v>
      </c>
      <c r="AR6" s="5" t="s">
        <v>1313</v>
      </c>
      <c r="AS6" s="5" t="s">
        <v>174</v>
      </c>
      <c r="AT6" s="5" t="s">
        <v>175</v>
      </c>
      <c r="AU6" s="5" t="s">
        <v>176</v>
      </c>
      <c r="AV6" s="5" t="s">
        <v>1388</v>
      </c>
      <c r="AW6" s="5" t="s">
        <v>1389</v>
      </c>
      <c r="AX6" s="5" t="s">
        <v>1479</v>
      </c>
      <c r="AY6" s="5" t="s">
        <v>1480</v>
      </c>
      <c r="AZ6" s="5" t="s">
        <v>1481</v>
      </c>
      <c r="BA6" s="5" t="s">
        <v>1482</v>
      </c>
      <c r="BB6" s="5" t="s">
        <v>1483</v>
      </c>
      <c r="BC6" s="5" t="s">
        <v>1484</v>
      </c>
      <c r="BD6" s="5" t="s">
        <v>1485</v>
      </c>
      <c r="BE6" s="5" t="s">
        <v>1486</v>
      </c>
      <c r="BF6" s="5" t="s">
        <v>1487</v>
      </c>
      <c r="BG6" s="5" t="s">
        <v>1488</v>
      </c>
      <c r="BH6" s="5" t="s">
        <v>1489</v>
      </c>
      <c r="BI6" s="5" t="s">
        <v>1490</v>
      </c>
      <c r="BJ6" s="5" t="s">
        <v>1491</v>
      </c>
      <c r="BK6" s="5" t="s">
        <v>1492</v>
      </c>
      <c r="BL6" s="5" t="s">
        <v>1493</v>
      </c>
      <c r="BM6" s="5" t="s">
        <v>1494</v>
      </c>
      <c r="BN6" s="5" t="s">
        <v>1495</v>
      </c>
      <c r="BO6" s="5" t="s">
        <v>1496</v>
      </c>
      <c r="BP6" s="5" t="s">
        <v>1499</v>
      </c>
      <c r="BQ6" s="5" t="s">
        <v>1500</v>
      </c>
      <c r="BR6" s="65" t="s">
        <v>1637</v>
      </c>
      <c r="BS6" s="65" t="s">
        <v>130</v>
      </c>
      <c r="BT6" s="65">
        <v>4</v>
      </c>
      <c r="BW6" s="13" t="s">
        <v>76</v>
      </c>
      <c r="BX6" s="13" t="s">
        <v>80</v>
      </c>
      <c r="BY6" s="13" t="s">
        <v>78</v>
      </c>
      <c r="BZ6" s="13" t="s">
        <v>167</v>
      </c>
      <c r="CA6" s="13" t="s">
        <v>130</v>
      </c>
      <c r="CB6" s="13" t="s">
        <v>168</v>
      </c>
      <c r="CC6" s="13" t="s">
        <v>169</v>
      </c>
      <c r="CD6" s="13" t="s">
        <v>170</v>
      </c>
      <c r="CE6" s="13" t="s">
        <v>130</v>
      </c>
      <c r="CF6" s="13" t="s">
        <v>630</v>
      </c>
      <c r="CG6" s="13" t="s">
        <v>171</v>
      </c>
      <c r="CH6" s="13" t="s">
        <v>170</v>
      </c>
      <c r="CI6" s="13" t="s">
        <v>167</v>
      </c>
      <c r="CJ6" s="15" t="s">
        <v>630</v>
      </c>
      <c r="CK6" s="13" t="s">
        <v>1462</v>
      </c>
      <c r="CL6" s="186" t="str">
        <f t="shared" si="2"/>
        <v>A1973B</v>
      </c>
      <c r="CM6" s="43" t="s">
        <v>1465</v>
      </c>
      <c r="CN6" s="13" t="s">
        <v>79</v>
      </c>
      <c r="CO6" s="13">
        <v>3</v>
      </c>
      <c r="CP6" s="13" t="s">
        <v>1466</v>
      </c>
      <c r="CQ6" s="13" t="s">
        <v>82</v>
      </c>
      <c r="CR6" s="16" t="s">
        <v>1366</v>
      </c>
      <c r="CS6" s="13" t="s">
        <v>1365</v>
      </c>
      <c r="CT6" s="13" t="s">
        <v>81</v>
      </c>
      <c r="CU6" s="13" t="s">
        <v>1365</v>
      </c>
      <c r="CV6" s="15" t="s">
        <v>1367</v>
      </c>
      <c r="CW6" s="15" t="s">
        <v>1466</v>
      </c>
      <c r="CZ6" s="2" t="str">
        <f t="shared" si="4"/>
        <v/>
      </c>
      <c r="DA6" s="55" t="str">
        <f t="shared" si="3"/>
        <v/>
      </c>
    </row>
    <row r="7" spans="1:125" ht="81" x14ac:dyDescent="0.3">
      <c r="A7" s="393" t="str">
        <f>IF(B7="","",B7&amp;"-"&amp;COUNTIF($B$2:B7,B7))</f>
        <v>無-1</v>
      </c>
      <c r="B7" s="6" t="s">
        <v>113</v>
      </c>
      <c r="C7" s="2" t="str">
        <f>IF(F7="","",F7&amp;"-"&amp;COUNTIF(F$2:$H7,F7))</f>
        <v/>
      </c>
      <c r="D7" s="2" t="str">
        <f>IF(G7="","",G7&amp;"-"&amp;COUNTIF(G$2:$H7,G7))</f>
        <v>18-5</v>
      </c>
      <c r="E7" s="2" t="str">
        <f>IF(H7="","",H7&amp;"-"&amp;COUNTIF($H$2:H7,H7))</f>
        <v>全-6</v>
      </c>
      <c r="G7" s="13" t="s">
        <v>1581</v>
      </c>
      <c r="H7" s="13" t="s">
        <v>1582</v>
      </c>
      <c r="I7" s="2">
        <f>IF(Q7="","",COUNTA($Q$2:Q7))</f>
        <v>6</v>
      </c>
      <c r="J7" s="13" t="s">
        <v>1571</v>
      </c>
      <c r="K7" s="10" t="s">
        <v>1583</v>
      </c>
      <c r="L7" s="391" t="s">
        <v>1595</v>
      </c>
      <c r="M7" s="6" t="s">
        <v>1365</v>
      </c>
      <c r="N7" s="6">
        <v>432125</v>
      </c>
      <c r="O7" s="215" t="s">
        <v>1598</v>
      </c>
      <c r="P7" s="16" t="s">
        <v>1392</v>
      </c>
      <c r="Q7" s="214" t="s">
        <v>1393</v>
      </c>
      <c r="R7" s="16" t="s">
        <v>1394</v>
      </c>
      <c r="S7" s="13" t="s">
        <v>1395</v>
      </c>
      <c r="T7" s="6" t="s">
        <v>121</v>
      </c>
      <c r="U7" s="13" t="s">
        <v>1594</v>
      </c>
      <c r="V7" s="2" t="str">
        <f t="shared" si="0"/>
        <v>YETL申請中</v>
      </c>
      <c r="W7" s="216" t="str">
        <f t="shared" si="1"/>
        <v>5965YETL申請中</v>
      </c>
      <c r="X7" s="13" t="s">
        <v>78</v>
      </c>
      <c r="Y7" s="387">
        <v>89</v>
      </c>
      <c r="Z7" s="13" t="s">
        <v>77</v>
      </c>
      <c r="AA7" s="14">
        <v>1200</v>
      </c>
      <c r="AB7" s="14" t="s">
        <v>1584</v>
      </c>
      <c r="AC7" s="14">
        <v>100</v>
      </c>
      <c r="AD7" s="14">
        <v>10000</v>
      </c>
      <c r="AE7" s="14" t="s">
        <v>78</v>
      </c>
      <c r="AF7" s="14" t="s">
        <v>172</v>
      </c>
      <c r="AH7" s="14">
        <v>4</v>
      </c>
      <c r="AI7" s="13" t="s">
        <v>1593</v>
      </c>
      <c r="AJ7" s="14" t="s">
        <v>1357</v>
      </c>
      <c r="AK7" s="14" t="s">
        <v>1358</v>
      </c>
      <c r="AL7" s="14">
        <v>0</v>
      </c>
      <c r="AM7" s="6"/>
      <c r="AN7" s="13" t="s">
        <v>1441</v>
      </c>
      <c r="AO7" s="13" t="s">
        <v>1442</v>
      </c>
      <c r="AP7" s="5" t="s">
        <v>1443</v>
      </c>
      <c r="AQ7" s="5" t="s">
        <v>1467</v>
      </c>
      <c r="AR7" s="5" t="s">
        <v>1313</v>
      </c>
      <c r="AS7" s="5" t="s">
        <v>174</v>
      </c>
      <c r="AT7" s="5" t="s">
        <v>175</v>
      </c>
      <c r="AU7" s="5" t="s">
        <v>176</v>
      </c>
      <c r="AV7" s="5" t="s">
        <v>1392</v>
      </c>
      <c r="AW7" s="5" t="s">
        <v>1393</v>
      </c>
      <c r="AX7" s="5" t="s">
        <v>1602</v>
      </c>
      <c r="AY7" s="5" t="s">
        <v>1603</v>
      </c>
      <c r="AZ7" s="5" t="s">
        <v>1604</v>
      </c>
      <c r="BA7" s="5">
        <v>2</v>
      </c>
      <c r="BB7" s="5" t="s">
        <v>1605</v>
      </c>
      <c r="BC7" s="5" t="s">
        <v>1607</v>
      </c>
      <c r="BD7" s="5" t="s">
        <v>1608</v>
      </c>
      <c r="BE7" s="5" t="s">
        <v>1606</v>
      </c>
      <c r="BF7" s="5" t="s">
        <v>1609</v>
      </c>
      <c r="BG7" s="5" t="s">
        <v>1610</v>
      </c>
      <c r="BR7" s="65" t="s">
        <v>1638</v>
      </c>
      <c r="BS7" s="65" t="s">
        <v>130</v>
      </c>
      <c r="BT7" s="65">
        <v>4</v>
      </c>
      <c r="BU7" s="65" t="s">
        <v>1601</v>
      </c>
      <c r="BW7" s="13" t="s">
        <v>76</v>
      </c>
      <c r="BX7" s="13" t="s">
        <v>80</v>
      </c>
      <c r="BY7" s="13" t="s">
        <v>78</v>
      </c>
      <c r="BZ7" s="13" t="s">
        <v>167</v>
      </c>
      <c r="CA7" s="13" t="s">
        <v>130</v>
      </c>
      <c r="CB7" s="13" t="s">
        <v>168</v>
      </c>
      <c r="CC7" s="13" t="s">
        <v>169</v>
      </c>
      <c r="CD7" s="13" t="s">
        <v>170</v>
      </c>
      <c r="CE7" s="13" t="s">
        <v>130</v>
      </c>
      <c r="CF7" s="13" t="s">
        <v>630</v>
      </c>
      <c r="CG7" s="13" t="s">
        <v>171</v>
      </c>
      <c r="CH7" s="13" t="s">
        <v>170</v>
      </c>
      <c r="CI7" s="13" t="s">
        <v>167</v>
      </c>
      <c r="CJ7" s="15" t="s">
        <v>630</v>
      </c>
      <c r="CK7" s="13" t="s">
        <v>1462</v>
      </c>
      <c r="CL7" s="186" t="str">
        <f t="shared" si="2"/>
        <v>A1973B</v>
      </c>
      <c r="CM7" s="43" t="s">
        <v>1465</v>
      </c>
      <c r="CN7" s="13" t="s">
        <v>79</v>
      </c>
      <c r="CO7" s="13">
        <v>3</v>
      </c>
      <c r="CP7" s="13" t="s">
        <v>1466</v>
      </c>
      <c r="CQ7" s="13" t="s">
        <v>82</v>
      </c>
      <c r="CR7" s="16" t="s">
        <v>1366</v>
      </c>
      <c r="CS7" s="13" t="s">
        <v>1365</v>
      </c>
      <c r="CT7" s="13" t="s">
        <v>81</v>
      </c>
      <c r="CU7" s="13" t="s">
        <v>1365</v>
      </c>
      <c r="CV7" s="15" t="s">
        <v>1367</v>
      </c>
      <c r="CW7" s="15" t="s">
        <v>1466</v>
      </c>
      <c r="CZ7" s="2" t="str">
        <f t="shared" si="4"/>
        <v/>
      </c>
      <c r="DA7" s="55" t="str">
        <f t="shared" si="3"/>
        <v/>
      </c>
    </row>
    <row r="8" spans="1:125" ht="32.4" x14ac:dyDescent="0.3">
      <c r="A8" s="390" t="str">
        <f>IF(B8="","",B8&amp;"-"&amp;COUNTIF($B$2:B8,B8))</f>
        <v/>
      </c>
      <c r="C8" s="2" t="str">
        <f>IF(F8="","",F8&amp;"-"&amp;COUNTIF(F$2:$H8,F8))</f>
        <v/>
      </c>
      <c r="D8" s="2" t="str">
        <f>IF(G8="","",G8&amp;"-"&amp;COUNTIF(G$2:$H8,G8))</f>
        <v>18-6</v>
      </c>
      <c r="E8" s="2" t="str">
        <f>IF(H8="","",H8&amp;"-"&amp;COUNTIF($H$2:H8,H8))</f>
        <v>全-7</v>
      </c>
      <c r="G8" s="13" t="s">
        <v>1581</v>
      </c>
      <c r="H8" s="13" t="s">
        <v>1582</v>
      </c>
      <c r="I8" s="2">
        <f>IF(Q8="","",COUNTA($Q$2:Q8))</f>
        <v>7</v>
      </c>
      <c r="J8" s="13" t="s">
        <v>1572</v>
      </c>
      <c r="K8" s="10" t="s">
        <v>1314</v>
      </c>
      <c r="L8" s="6" t="s">
        <v>1562</v>
      </c>
      <c r="M8" s="6" t="s">
        <v>1365</v>
      </c>
      <c r="N8" s="13">
        <v>432126</v>
      </c>
      <c r="O8" s="215" t="s">
        <v>1396</v>
      </c>
      <c r="P8" s="16" t="s">
        <v>1397</v>
      </c>
      <c r="Q8" s="214" t="s">
        <v>1398</v>
      </c>
      <c r="R8" s="16" t="s">
        <v>1399</v>
      </c>
      <c r="S8" s="389" t="s">
        <v>1400</v>
      </c>
      <c r="T8" s="6" t="s">
        <v>121</v>
      </c>
      <c r="U8" s="13" t="s">
        <v>1401</v>
      </c>
      <c r="V8" s="2" t="str">
        <f t="shared" si="0"/>
        <v>YETL22089</v>
      </c>
      <c r="W8" s="216" t="str">
        <f t="shared" si="1"/>
        <v>5935YETL22089</v>
      </c>
      <c r="X8" s="13" t="s">
        <v>78</v>
      </c>
      <c r="Y8" s="387">
        <v>108</v>
      </c>
      <c r="Z8" s="13" t="s">
        <v>77</v>
      </c>
      <c r="AA8" s="14">
        <v>120</v>
      </c>
      <c r="AB8" s="14" t="s">
        <v>1584</v>
      </c>
      <c r="AC8" s="14" t="s">
        <v>1585</v>
      </c>
      <c r="AD8" s="14">
        <v>15000</v>
      </c>
      <c r="AE8" s="14" t="s">
        <v>1586</v>
      </c>
      <c r="AF8" s="14" t="s">
        <v>172</v>
      </c>
      <c r="AH8" s="14">
        <v>4</v>
      </c>
      <c r="AI8" s="13" t="s">
        <v>1593</v>
      </c>
      <c r="AJ8" s="14" t="s">
        <v>1357</v>
      </c>
      <c r="AK8" s="14" t="s">
        <v>1358</v>
      </c>
      <c r="AL8" s="14">
        <v>0</v>
      </c>
      <c r="AM8" s="6"/>
      <c r="AN8" s="13" t="s">
        <v>1444</v>
      </c>
      <c r="AO8" s="13" t="s">
        <v>1445</v>
      </c>
      <c r="AP8" s="5" t="s">
        <v>1446</v>
      </c>
      <c r="AQ8" s="5" t="s">
        <v>1467</v>
      </c>
      <c r="AR8" s="5" t="s">
        <v>1313</v>
      </c>
      <c r="AS8" s="5" t="s">
        <v>174</v>
      </c>
      <c r="AT8" s="5" t="s">
        <v>175</v>
      </c>
      <c r="AU8" s="5" t="s">
        <v>176</v>
      </c>
      <c r="AV8" s="5" t="s">
        <v>1397</v>
      </c>
      <c r="AW8" s="5" t="s">
        <v>1398</v>
      </c>
      <c r="AX8" s="5" t="s">
        <v>1484</v>
      </c>
      <c r="AY8" s="5" t="s">
        <v>1485</v>
      </c>
      <c r="AZ8" s="5" t="s">
        <v>1501</v>
      </c>
      <c r="BA8" s="5" t="s">
        <v>1502</v>
      </c>
      <c r="BB8" s="5" t="s">
        <v>1503</v>
      </c>
      <c r="BC8" s="5" t="s">
        <v>1504</v>
      </c>
      <c r="BD8" s="5" t="s">
        <v>1505</v>
      </c>
      <c r="BE8" s="5" t="s">
        <v>1506</v>
      </c>
      <c r="BF8" s="5" t="s">
        <v>1507</v>
      </c>
      <c r="BG8" s="5" t="s">
        <v>1508</v>
      </c>
      <c r="BH8" s="5" t="s">
        <v>1489</v>
      </c>
      <c r="BI8" s="5" t="s">
        <v>1490</v>
      </c>
      <c r="BJ8" s="5" t="s">
        <v>1491</v>
      </c>
      <c r="BK8" s="5" t="s">
        <v>1509</v>
      </c>
      <c r="BL8" s="5" t="s">
        <v>1510</v>
      </c>
      <c r="BM8" s="5" t="s">
        <v>1494</v>
      </c>
      <c r="BN8" s="5" t="s">
        <v>1495</v>
      </c>
      <c r="BO8" s="5" t="s">
        <v>1496</v>
      </c>
      <c r="BP8" s="5" t="s">
        <v>1509</v>
      </c>
      <c r="BQ8" s="5" t="s">
        <v>1511</v>
      </c>
      <c r="BR8" s="65" t="s">
        <v>1639</v>
      </c>
      <c r="BS8" s="65" t="s">
        <v>130</v>
      </c>
      <c r="BT8" s="65">
        <v>4</v>
      </c>
      <c r="BW8" s="13" t="s">
        <v>76</v>
      </c>
      <c r="BX8" s="13" t="s">
        <v>80</v>
      </c>
      <c r="BY8" s="389" t="s">
        <v>1463</v>
      </c>
      <c r="BZ8" s="13" t="s">
        <v>167</v>
      </c>
      <c r="CA8" s="13" t="s">
        <v>130</v>
      </c>
      <c r="CB8" s="13" t="s">
        <v>168</v>
      </c>
      <c r="CC8" s="13" t="s">
        <v>169</v>
      </c>
      <c r="CD8" s="13" t="s">
        <v>170</v>
      </c>
      <c r="CE8" s="13" t="s">
        <v>130</v>
      </c>
      <c r="CF8" s="13" t="s">
        <v>630</v>
      </c>
      <c r="CG8" s="13" t="s">
        <v>171</v>
      </c>
      <c r="CH8" s="13" t="s">
        <v>170</v>
      </c>
      <c r="CI8" s="13" t="s">
        <v>167</v>
      </c>
      <c r="CJ8" s="15" t="s">
        <v>630</v>
      </c>
      <c r="CK8" s="13" t="s">
        <v>1462</v>
      </c>
      <c r="CL8" s="186" t="str">
        <f t="shared" si="2"/>
        <v>A1973B</v>
      </c>
      <c r="CM8" s="43" t="s">
        <v>1465</v>
      </c>
      <c r="CN8" s="13" t="s">
        <v>79</v>
      </c>
      <c r="CO8" s="13">
        <v>3</v>
      </c>
      <c r="CP8" s="13" t="s">
        <v>1466</v>
      </c>
      <c r="CQ8" s="13" t="s">
        <v>82</v>
      </c>
      <c r="CR8" s="16" t="s">
        <v>1366</v>
      </c>
      <c r="CS8" s="13" t="s">
        <v>1365</v>
      </c>
      <c r="CT8" s="13" t="s">
        <v>81</v>
      </c>
      <c r="CU8" s="13" t="s">
        <v>1365</v>
      </c>
      <c r="CV8" s="15" t="s">
        <v>1367</v>
      </c>
      <c r="CW8" s="15" t="s">
        <v>1466</v>
      </c>
      <c r="CZ8" s="2" t="str">
        <f t="shared" si="4"/>
        <v/>
      </c>
      <c r="DA8" s="55" t="str">
        <f t="shared" si="3"/>
        <v/>
      </c>
    </row>
    <row r="9" spans="1:125" ht="32.4" x14ac:dyDescent="0.3">
      <c r="A9" s="390" t="str">
        <f>IF(B9="","",B9&amp;"-"&amp;COUNTIF($B$2:B9,B9))</f>
        <v/>
      </c>
      <c r="C9" s="2" t="str">
        <f>IF(F9="","",F9&amp;"-"&amp;COUNTIF(F$2:$H9,F9))</f>
        <v/>
      </c>
      <c r="D9" s="2" t="str">
        <f>IF(G9="","",G9&amp;"-"&amp;COUNTIF(G$2:$H9,G9))</f>
        <v>18-7</v>
      </c>
      <c r="E9" s="2" t="str">
        <f>IF(H9="","",H9&amp;"-"&amp;COUNTIF($H$2:H9,H9))</f>
        <v>全-8</v>
      </c>
      <c r="G9" s="13" t="s">
        <v>1581</v>
      </c>
      <c r="H9" s="13" t="s">
        <v>1582</v>
      </c>
      <c r="I9" s="2">
        <f>IF(Q9="","",COUNTA($Q$2:Q9))</f>
        <v>8</v>
      </c>
      <c r="J9" s="13" t="s">
        <v>1573</v>
      </c>
      <c r="K9" s="10" t="s">
        <v>1314</v>
      </c>
      <c r="L9" s="6" t="s">
        <v>1563</v>
      </c>
      <c r="M9" s="6" t="s">
        <v>1365</v>
      </c>
      <c r="N9" s="6">
        <v>432127</v>
      </c>
      <c r="O9" s="215" t="s">
        <v>1402</v>
      </c>
      <c r="P9" s="16" t="s">
        <v>1403</v>
      </c>
      <c r="Q9" s="214" t="s">
        <v>1404</v>
      </c>
      <c r="R9" s="16" t="s">
        <v>1405</v>
      </c>
      <c r="S9" s="13" t="s">
        <v>1400</v>
      </c>
      <c r="T9" s="6" t="s">
        <v>121</v>
      </c>
      <c r="U9" s="13" t="s">
        <v>1406</v>
      </c>
      <c r="V9" s="2" t="str">
        <f t="shared" si="0"/>
        <v>YETL22119</v>
      </c>
      <c r="W9" s="216" t="str">
        <f t="shared" si="1"/>
        <v>5935YETL22119</v>
      </c>
      <c r="X9" s="13" t="s">
        <v>78</v>
      </c>
      <c r="Y9" s="387">
        <v>116</v>
      </c>
      <c r="Z9" s="13" t="s">
        <v>77</v>
      </c>
      <c r="AA9" s="14">
        <v>120</v>
      </c>
      <c r="AB9" s="14" t="s">
        <v>1584</v>
      </c>
      <c r="AC9" s="14" t="s">
        <v>1587</v>
      </c>
      <c r="AD9" s="14">
        <v>14000</v>
      </c>
      <c r="AE9" s="14" t="s">
        <v>1586</v>
      </c>
      <c r="AF9" s="14" t="s">
        <v>172</v>
      </c>
      <c r="AH9" s="14">
        <v>4</v>
      </c>
      <c r="AI9" s="13" t="s">
        <v>1593</v>
      </c>
      <c r="AJ9" s="14" t="s">
        <v>1357</v>
      </c>
      <c r="AK9" s="14" t="s">
        <v>1358</v>
      </c>
      <c r="AL9" s="14">
        <v>0</v>
      </c>
      <c r="AM9" s="6"/>
      <c r="AN9" s="13" t="s">
        <v>1444</v>
      </c>
      <c r="AO9" s="13" t="s">
        <v>1445</v>
      </c>
      <c r="AP9" s="5" t="s">
        <v>1446</v>
      </c>
      <c r="AQ9" s="5" t="s">
        <v>1467</v>
      </c>
      <c r="AR9" s="5" t="s">
        <v>1313</v>
      </c>
      <c r="AS9" s="5" t="s">
        <v>174</v>
      </c>
      <c r="AT9" s="5" t="s">
        <v>175</v>
      </c>
      <c r="AU9" s="5" t="s">
        <v>176</v>
      </c>
      <c r="AV9" s="5" t="s">
        <v>1403</v>
      </c>
      <c r="AW9" s="5" t="s">
        <v>1404</v>
      </c>
      <c r="AX9" s="5" t="s">
        <v>1484</v>
      </c>
      <c r="AY9" s="5" t="s">
        <v>1485</v>
      </c>
      <c r="AZ9" s="5" t="s">
        <v>1501</v>
      </c>
      <c r="BA9" s="5" t="s">
        <v>1512</v>
      </c>
      <c r="BB9" s="5" t="s">
        <v>1513</v>
      </c>
      <c r="BC9" s="5" t="s">
        <v>1504</v>
      </c>
      <c r="BD9" s="5" t="s">
        <v>1505</v>
      </c>
      <c r="BE9" s="5" t="s">
        <v>1506</v>
      </c>
      <c r="BF9" s="5" t="s">
        <v>1514</v>
      </c>
      <c r="BG9" s="5" t="s">
        <v>1515</v>
      </c>
      <c r="BH9" s="5" t="s">
        <v>1489</v>
      </c>
      <c r="BI9" s="5" t="s">
        <v>1490</v>
      </c>
      <c r="BJ9" s="5" t="s">
        <v>1491</v>
      </c>
      <c r="BK9" s="5" t="s">
        <v>1516</v>
      </c>
      <c r="BL9" s="5" t="s">
        <v>1517</v>
      </c>
      <c r="BM9" s="5" t="s">
        <v>1518</v>
      </c>
      <c r="BN9" s="5" t="s">
        <v>1519</v>
      </c>
      <c r="BO9" s="5" t="s">
        <v>1520</v>
      </c>
      <c r="BP9" s="5" t="s">
        <v>1521</v>
      </c>
      <c r="BQ9" s="5" t="s">
        <v>1522</v>
      </c>
      <c r="BR9" s="65" t="s">
        <v>1640</v>
      </c>
      <c r="BS9" s="65" t="s">
        <v>130</v>
      </c>
      <c r="BT9" s="65">
        <v>4</v>
      </c>
      <c r="BW9" s="13" t="s">
        <v>76</v>
      </c>
      <c r="BX9" s="13" t="s">
        <v>80</v>
      </c>
      <c r="BY9" s="13" t="s">
        <v>78</v>
      </c>
      <c r="BZ9" s="13" t="s">
        <v>167</v>
      </c>
      <c r="CA9" s="13" t="s">
        <v>130</v>
      </c>
      <c r="CB9" s="13" t="s">
        <v>168</v>
      </c>
      <c r="CC9" s="13" t="s">
        <v>169</v>
      </c>
      <c r="CD9" s="13" t="s">
        <v>170</v>
      </c>
      <c r="CE9" s="13" t="s">
        <v>130</v>
      </c>
      <c r="CF9" s="13" t="s">
        <v>630</v>
      </c>
      <c r="CG9" s="13" t="s">
        <v>171</v>
      </c>
      <c r="CH9" s="13" t="s">
        <v>170</v>
      </c>
      <c r="CI9" s="13" t="s">
        <v>167</v>
      </c>
      <c r="CJ9" s="15" t="s">
        <v>630</v>
      </c>
      <c r="CK9" s="13" t="s">
        <v>1462</v>
      </c>
      <c r="CL9" s="186" t="str">
        <f t="shared" si="2"/>
        <v>A1973B</v>
      </c>
      <c r="CM9" s="43" t="s">
        <v>1465</v>
      </c>
      <c r="CN9" s="13" t="s">
        <v>79</v>
      </c>
      <c r="CO9" s="13">
        <v>3</v>
      </c>
      <c r="CP9" s="13" t="s">
        <v>1466</v>
      </c>
      <c r="CQ9" s="13" t="s">
        <v>82</v>
      </c>
      <c r="CR9" s="16" t="s">
        <v>1366</v>
      </c>
      <c r="CS9" s="13" t="s">
        <v>1365</v>
      </c>
      <c r="CT9" s="13" t="s">
        <v>81</v>
      </c>
      <c r="CU9" s="13" t="s">
        <v>1365</v>
      </c>
      <c r="CV9" s="15" t="s">
        <v>1367</v>
      </c>
      <c r="CW9" s="15" t="s">
        <v>1466</v>
      </c>
      <c r="CZ9" s="2" t="str">
        <f t="shared" si="4"/>
        <v/>
      </c>
      <c r="DA9" s="55" t="str">
        <f t="shared" si="3"/>
        <v/>
      </c>
    </row>
    <row r="10" spans="1:125" ht="32.4" x14ac:dyDescent="0.3">
      <c r="A10" s="393" t="str">
        <f>IF(B10="","",B10&amp;"-"&amp;COUNTIF($B$2:B10,B10))</f>
        <v>無-2</v>
      </c>
      <c r="B10" s="6" t="s">
        <v>113</v>
      </c>
      <c r="C10" s="2" t="str">
        <f>IF(F10="","",F10&amp;"-"&amp;COUNTIF(F$2:$H10,F10))</f>
        <v/>
      </c>
      <c r="D10" s="2" t="str">
        <f>IF(G10="","",G10&amp;"-"&amp;COUNTIF(G$2:$H10,G10))</f>
        <v>18-8</v>
      </c>
      <c r="E10" s="2" t="str">
        <f>IF(H10="","",H10&amp;"-"&amp;COUNTIF($H$2:H10,H10))</f>
        <v>全-9</v>
      </c>
      <c r="G10" s="13" t="s">
        <v>1581</v>
      </c>
      <c r="H10" s="13" t="s">
        <v>1582</v>
      </c>
      <c r="I10" s="2">
        <f>IF(Q10="","",COUNTA($Q$2:Q10))</f>
        <v>9</v>
      </c>
      <c r="J10" s="13" t="s">
        <v>1574</v>
      </c>
      <c r="K10" s="10" t="s">
        <v>1583</v>
      </c>
      <c r="L10" s="391" t="s">
        <v>1596</v>
      </c>
      <c r="M10" s="6" t="s">
        <v>1365</v>
      </c>
      <c r="N10" s="13" t="s">
        <v>1407</v>
      </c>
      <c r="O10" s="215" t="s">
        <v>1599</v>
      </c>
      <c r="P10" s="16" t="s">
        <v>1408</v>
      </c>
      <c r="Q10" s="214" t="s">
        <v>1409</v>
      </c>
      <c r="R10" s="16" t="s">
        <v>1409</v>
      </c>
      <c r="S10" s="13" t="s">
        <v>1395</v>
      </c>
      <c r="T10" s="6" t="s">
        <v>121</v>
      </c>
      <c r="U10" s="13" t="s">
        <v>1594</v>
      </c>
      <c r="V10" s="2" t="str">
        <f t="shared" si="0"/>
        <v>YETL申請中</v>
      </c>
      <c r="W10" s="216" t="str">
        <f t="shared" si="1"/>
        <v>5965YETL申請中</v>
      </c>
      <c r="X10" s="13" t="s">
        <v>78</v>
      </c>
      <c r="Y10" s="387">
        <v>46</v>
      </c>
      <c r="Z10" s="13" t="s">
        <v>77</v>
      </c>
      <c r="AA10" s="14">
        <v>650</v>
      </c>
      <c r="AB10" s="14" t="s">
        <v>1584</v>
      </c>
      <c r="AC10" s="14" t="s">
        <v>1125</v>
      </c>
      <c r="AD10" s="14">
        <v>8000</v>
      </c>
      <c r="AE10" s="14" t="s">
        <v>1588</v>
      </c>
      <c r="AF10" s="14" t="s">
        <v>172</v>
      </c>
      <c r="AH10" s="14">
        <v>4</v>
      </c>
      <c r="AI10" s="13" t="s">
        <v>1593</v>
      </c>
      <c r="AJ10" s="14" t="s">
        <v>1357</v>
      </c>
      <c r="AK10" s="14" t="s">
        <v>1358</v>
      </c>
      <c r="AL10" s="14">
        <v>0</v>
      </c>
      <c r="AM10" s="6"/>
      <c r="AN10" s="13" t="s">
        <v>1447</v>
      </c>
      <c r="AO10" s="13" t="s">
        <v>1448</v>
      </c>
      <c r="AP10" s="5" t="s">
        <v>1449</v>
      </c>
      <c r="AQ10" s="5" t="s">
        <v>1467</v>
      </c>
      <c r="AR10" s="5" t="s">
        <v>1313</v>
      </c>
      <c r="AS10" s="5" t="s">
        <v>174</v>
      </c>
      <c r="AT10" s="5" t="s">
        <v>175</v>
      </c>
      <c r="AU10" s="5" t="s">
        <v>176</v>
      </c>
      <c r="AV10" s="5" t="s">
        <v>1408</v>
      </c>
      <c r="AW10" s="5" t="s">
        <v>1409</v>
      </c>
      <c r="AX10" s="5" t="s">
        <v>1611</v>
      </c>
      <c r="AY10" s="5" t="s">
        <v>1485</v>
      </c>
      <c r="AZ10" s="5" t="s">
        <v>1501</v>
      </c>
      <c r="BA10" s="5" t="s">
        <v>1613</v>
      </c>
      <c r="BB10" s="5" t="s">
        <v>1612</v>
      </c>
      <c r="BC10" s="5" t="s">
        <v>1489</v>
      </c>
      <c r="BD10" s="5" t="s">
        <v>1490</v>
      </c>
      <c r="BE10" s="5" t="s">
        <v>1491</v>
      </c>
      <c r="BF10" s="5" t="s">
        <v>1614</v>
      </c>
      <c r="BG10" s="5" t="s">
        <v>1614</v>
      </c>
      <c r="BH10" s="5" t="s">
        <v>1534</v>
      </c>
      <c r="BI10" s="5" t="s">
        <v>1535</v>
      </c>
      <c r="BJ10" s="5" t="s">
        <v>1536</v>
      </c>
      <c r="BK10" s="5" t="s">
        <v>1615</v>
      </c>
      <c r="BL10" s="5" t="s">
        <v>1615</v>
      </c>
      <c r="BR10" s="65" t="s">
        <v>1641</v>
      </c>
      <c r="BS10" s="65" t="s">
        <v>130</v>
      </c>
      <c r="BT10" s="65">
        <v>4</v>
      </c>
      <c r="BW10" s="13" t="s">
        <v>76</v>
      </c>
      <c r="BX10" s="13" t="s">
        <v>80</v>
      </c>
      <c r="BY10" s="13" t="s">
        <v>78</v>
      </c>
      <c r="BZ10" s="13" t="s">
        <v>167</v>
      </c>
      <c r="CA10" s="13" t="s">
        <v>130</v>
      </c>
      <c r="CB10" s="13" t="s">
        <v>168</v>
      </c>
      <c r="CC10" s="13" t="s">
        <v>169</v>
      </c>
      <c r="CD10" s="13" t="s">
        <v>170</v>
      </c>
      <c r="CE10" s="13" t="s">
        <v>130</v>
      </c>
      <c r="CF10" s="13" t="s">
        <v>630</v>
      </c>
      <c r="CG10" s="13" t="s">
        <v>171</v>
      </c>
      <c r="CH10" s="13" t="s">
        <v>170</v>
      </c>
      <c r="CI10" s="13" t="s">
        <v>167</v>
      </c>
      <c r="CJ10" s="15" t="s">
        <v>630</v>
      </c>
      <c r="CK10" s="13" t="s">
        <v>1462</v>
      </c>
      <c r="CL10" s="186" t="str">
        <f t="shared" si="2"/>
        <v>A1973B</v>
      </c>
      <c r="CM10" s="43" t="s">
        <v>1465</v>
      </c>
      <c r="CN10" s="13" t="s">
        <v>79</v>
      </c>
      <c r="CO10" s="13">
        <v>3</v>
      </c>
      <c r="CP10" s="13" t="s">
        <v>1466</v>
      </c>
      <c r="CQ10" s="13" t="s">
        <v>82</v>
      </c>
      <c r="CR10" s="16" t="s">
        <v>1366</v>
      </c>
      <c r="CS10" s="13" t="s">
        <v>1365</v>
      </c>
      <c r="CT10" s="13" t="s">
        <v>81</v>
      </c>
      <c r="CU10" s="13" t="s">
        <v>1365</v>
      </c>
      <c r="CV10" s="15" t="s">
        <v>1367</v>
      </c>
      <c r="CW10" s="15" t="s">
        <v>1466</v>
      </c>
      <c r="CZ10" s="2" t="str">
        <f t="shared" si="4"/>
        <v/>
      </c>
      <c r="DA10" s="55" t="str">
        <f t="shared" si="3"/>
        <v/>
      </c>
    </row>
    <row r="11" spans="1:125" ht="32.4" x14ac:dyDescent="0.3">
      <c r="A11" s="393" t="str">
        <f>IF(B11="","",B11&amp;"-"&amp;COUNTIF($B$2:B11,B11))</f>
        <v>無-3</v>
      </c>
      <c r="B11" s="6" t="s">
        <v>113</v>
      </c>
      <c r="C11" s="2" t="str">
        <f>IF(F11="","",F11&amp;"-"&amp;COUNTIF(F$2:$H11,F11))</f>
        <v/>
      </c>
      <c r="D11" s="2" t="str">
        <f>IF(G11="","",G11&amp;"-"&amp;COUNTIF(G$2:$H11,G11))</f>
        <v>18-9</v>
      </c>
      <c r="E11" s="2" t="str">
        <f>IF(H11="","",H11&amp;"-"&amp;COUNTIF($H$2:H11,H11))</f>
        <v>全-10</v>
      </c>
      <c r="G11" s="13" t="s">
        <v>1581</v>
      </c>
      <c r="H11" s="13" t="s">
        <v>1582</v>
      </c>
      <c r="I11" s="2">
        <f>IF(Q11="","",COUNTA($Q$2:Q11))</f>
        <v>10</v>
      </c>
      <c r="J11" s="13" t="s">
        <v>1575</v>
      </c>
      <c r="K11" s="10" t="s">
        <v>1583</v>
      </c>
      <c r="L11" s="391" t="s">
        <v>1597</v>
      </c>
      <c r="M11" s="6" t="s">
        <v>1365</v>
      </c>
      <c r="N11" s="6">
        <v>432129</v>
      </c>
      <c r="O11" s="215" t="s">
        <v>1600</v>
      </c>
      <c r="P11" s="16" t="s">
        <v>1410</v>
      </c>
      <c r="Q11" s="214" t="s">
        <v>1411</v>
      </c>
      <c r="R11" s="16" t="s">
        <v>1411</v>
      </c>
      <c r="S11" s="13" t="s">
        <v>1395</v>
      </c>
      <c r="T11" s="6" t="s">
        <v>121</v>
      </c>
      <c r="U11" s="13" t="s">
        <v>1594</v>
      </c>
      <c r="V11" s="2" t="str">
        <f>T11&amp;U11</f>
        <v>YETL申請中</v>
      </c>
      <c r="W11" s="216" t="str">
        <f>IF(S11="","",S11&amp;V11)</f>
        <v>5965YETL申請中</v>
      </c>
      <c r="X11" s="13" t="s">
        <v>78</v>
      </c>
      <c r="Y11" s="387">
        <v>46</v>
      </c>
      <c r="Z11" s="13" t="s">
        <v>77</v>
      </c>
      <c r="AA11" s="14">
        <v>150</v>
      </c>
      <c r="AB11" s="14" t="s">
        <v>1584</v>
      </c>
      <c r="AC11" s="14" t="s">
        <v>1075</v>
      </c>
      <c r="AD11" s="14">
        <v>10000</v>
      </c>
      <c r="AE11" s="14" t="s">
        <v>78</v>
      </c>
      <c r="AF11" s="14" t="s">
        <v>172</v>
      </c>
      <c r="AH11" s="14">
        <v>4</v>
      </c>
      <c r="AI11" s="13" t="s">
        <v>1593</v>
      </c>
      <c r="AJ11" s="14" t="s">
        <v>1357</v>
      </c>
      <c r="AK11" s="14" t="s">
        <v>1358</v>
      </c>
      <c r="AL11" s="14">
        <v>0</v>
      </c>
      <c r="AM11" s="6"/>
      <c r="AN11" s="13" t="s">
        <v>1450</v>
      </c>
      <c r="AO11" s="13" t="s">
        <v>1451</v>
      </c>
      <c r="AP11" s="5" t="s">
        <v>1449</v>
      </c>
      <c r="AQ11" s="5" t="s">
        <v>1467</v>
      </c>
      <c r="AR11" s="5" t="s">
        <v>1313</v>
      </c>
      <c r="AS11" s="5" t="s">
        <v>174</v>
      </c>
      <c r="AT11" s="5" t="s">
        <v>175</v>
      </c>
      <c r="AU11" s="5" t="s">
        <v>176</v>
      </c>
      <c r="AV11" s="5" t="s">
        <v>1410</v>
      </c>
      <c r="AW11" s="5" t="s">
        <v>1411</v>
      </c>
      <c r="AX11" s="5" t="s">
        <v>1617</v>
      </c>
      <c r="AY11" s="5" t="s">
        <v>1619</v>
      </c>
      <c r="AZ11" s="5" t="s">
        <v>1618</v>
      </c>
      <c r="BA11" s="5" t="s">
        <v>1620</v>
      </c>
      <c r="BB11" s="5" t="s">
        <v>1616</v>
      </c>
      <c r="BC11" s="5" t="s">
        <v>1623</v>
      </c>
      <c r="BD11" s="5" t="s">
        <v>1624</v>
      </c>
      <c r="BE11" s="5" t="s">
        <v>1625</v>
      </c>
      <c r="BF11" s="5" t="s">
        <v>1621</v>
      </c>
      <c r="BG11" s="5" t="s">
        <v>1622</v>
      </c>
      <c r="BH11" s="5" t="s">
        <v>1628</v>
      </c>
      <c r="BI11" s="5" t="s">
        <v>1629</v>
      </c>
      <c r="BJ11" s="5" t="s">
        <v>1630</v>
      </c>
      <c r="BK11" s="5" t="s">
        <v>1627</v>
      </c>
      <c r="BL11" s="5" t="s">
        <v>1626</v>
      </c>
      <c r="BM11" s="5" t="s">
        <v>1489</v>
      </c>
      <c r="BN11" s="5" t="s">
        <v>1490</v>
      </c>
      <c r="BO11" s="5" t="s">
        <v>1491</v>
      </c>
      <c r="BP11" s="5" t="s">
        <v>1631</v>
      </c>
      <c r="BQ11" s="5" t="s">
        <v>1632</v>
      </c>
      <c r="BR11" s="65" t="s">
        <v>1642</v>
      </c>
      <c r="BS11" s="65" t="s">
        <v>130</v>
      </c>
      <c r="BT11" s="65">
        <v>4</v>
      </c>
      <c r="BW11" s="13" t="s">
        <v>76</v>
      </c>
      <c r="BX11" s="13" t="s">
        <v>80</v>
      </c>
      <c r="BY11" s="13" t="s">
        <v>78</v>
      </c>
      <c r="BZ11" s="13" t="s">
        <v>167</v>
      </c>
      <c r="CA11" s="13" t="s">
        <v>130</v>
      </c>
      <c r="CB11" s="13" t="s">
        <v>168</v>
      </c>
      <c r="CC11" s="13" t="s">
        <v>169</v>
      </c>
      <c r="CD11" s="13" t="s">
        <v>170</v>
      </c>
      <c r="CE11" s="13" t="s">
        <v>130</v>
      </c>
      <c r="CF11" s="13" t="s">
        <v>630</v>
      </c>
      <c r="CG11" s="13" t="s">
        <v>171</v>
      </c>
      <c r="CH11" s="13" t="s">
        <v>170</v>
      </c>
      <c r="CI11" s="13" t="s">
        <v>167</v>
      </c>
      <c r="CJ11" s="15" t="s">
        <v>630</v>
      </c>
      <c r="CK11" s="13" t="s">
        <v>1462</v>
      </c>
      <c r="CL11" s="186" t="str">
        <f t="shared" si="2"/>
        <v>A1973B</v>
      </c>
      <c r="CM11" s="43" t="s">
        <v>1465</v>
      </c>
      <c r="CN11" s="13" t="s">
        <v>79</v>
      </c>
      <c r="CO11" s="13">
        <v>3</v>
      </c>
      <c r="CP11" s="13" t="s">
        <v>1466</v>
      </c>
      <c r="CQ11" s="13" t="s">
        <v>82</v>
      </c>
      <c r="CR11" s="16" t="s">
        <v>1366</v>
      </c>
      <c r="CS11" s="13" t="s">
        <v>1365</v>
      </c>
      <c r="CT11" s="13" t="s">
        <v>81</v>
      </c>
      <c r="CU11" s="13" t="s">
        <v>1365</v>
      </c>
      <c r="CV11" s="15" t="s">
        <v>1367</v>
      </c>
      <c r="CW11" s="15" t="s">
        <v>1466</v>
      </c>
      <c r="CZ11" s="2" t="str">
        <f t="shared" si="4"/>
        <v/>
      </c>
      <c r="DA11" s="55" t="str">
        <f t="shared" si="3"/>
        <v/>
      </c>
    </row>
    <row r="12" spans="1:125" ht="32.4" x14ac:dyDescent="0.3">
      <c r="A12" s="390" t="str">
        <f>IF(B12="","",B12&amp;"-"&amp;COUNTIF($B$2:B12,B12))</f>
        <v/>
      </c>
      <c r="C12" s="2" t="str">
        <f>IF(F12="","",F12&amp;"-"&amp;COUNTIF(F$2:$H12,F12))</f>
        <v/>
      </c>
      <c r="D12" s="2" t="str">
        <f>IF(G12="","",G12&amp;"-"&amp;COUNTIF(G$2:$H12,G12))</f>
        <v>18-10</v>
      </c>
      <c r="E12" s="2" t="str">
        <f>IF(H12="","",H12&amp;"-"&amp;COUNTIF($H$2:H12,H12))</f>
        <v>全-11</v>
      </c>
      <c r="G12" s="13" t="s">
        <v>1581</v>
      </c>
      <c r="H12" s="13" t="s">
        <v>1582</v>
      </c>
      <c r="I12" s="2">
        <f>IF(Q12="","",COUNTA($Q$2:Q12))</f>
        <v>11</v>
      </c>
      <c r="J12" s="13" t="s">
        <v>1576</v>
      </c>
      <c r="K12" s="10" t="s">
        <v>1314</v>
      </c>
      <c r="L12" s="6" t="s">
        <v>1564</v>
      </c>
      <c r="M12" s="6" t="s">
        <v>1365</v>
      </c>
      <c r="N12" s="13" t="s">
        <v>1412</v>
      </c>
      <c r="O12" s="215" t="s">
        <v>1413</v>
      </c>
      <c r="P12" s="16" t="s">
        <v>1414</v>
      </c>
      <c r="Q12" s="214" t="s">
        <v>1415</v>
      </c>
      <c r="R12" s="16" t="s">
        <v>1415</v>
      </c>
      <c r="S12" s="13" t="s">
        <v>1416</v>
      </c>
      <c r="T12" s="6" t="s">
        <v>121</v>
      </c>
      <c r="U12" s="13" t="s">
        <v>1417</v>
      </c>
      <c r="V12" s="2" t="str">
        <f t="shared" si="0"/>
        <v>YETL22084</v>
      </c>
      <c r="W12" s="216" t="str">
        <f t="shared" si="1"/>
        <v>6350YETL22084</v>
      </c>
      <c r="X12" s="13" t="s">
        <v>78</v>
      </c>
      <c r="Y12" s="387">
        <v>45</v>
      </c>
      <c r="Z12" s="13" t="s">
        <v>77</v>
      </c>
      <c r="AA12" s="14">
        <v>40</v>
      </c>
      <c r="AB12" s="14" t="s">
        <v>1584</v>
      </c>
      <c r="AC12" s="14" t="s">
        <v>1589</v>
      </c>
      <c r="AD12" s="14">
        <v>9000</v>
      </c>
      <c r="AE12" s="14" t="s">
        <v>78</v>
      </c>
      <c r="AF12" s="14" t="s">
        <v>173</v>
      </c>
      <c r="AH12" s="14">
        <v>4</v>
      </c>
      <c r="AI12" s="13" t="s">
        <v>1593</v>
      </c>
      <c r="AJ12" s="14" t="s">
        <v>1357</v>
      </c>
      <c r="AK12" s="14" t="s">
        <v>1358</v>
      </c>
      <c r="AL12" s="14">
        <v>0</v>
      </c>
      <c r="AM12" s="6"/>
      <c r="AN12" s="13" t="s">
        <v>1452</v>
      </c>
      <c r="AO12" s="13" t="s">
        <v>1453</v>
      </c>
      <c r="AP12" s="5" t="s">
        <v>1454</v>
      </c>
      <c r="AQ12" s="5" t="s">
        <v>1467</v>
      </c>
      <c r="AR12" s="5" t="s">
        <v>1313</v>
      </c>
      <c r="AS12" s="5" t="s">
        <v>174</v>
      </c>
      <c r="AT12" s="5" t="s">
        <v>175</v>
      </c>
      <c r="AU12" s="5" t="s">
        <v>176</v>
      </c>
      <c r="AV12" s="5" t="s">
        <v>1414</v>
      </c>
      <c r="AW12" s="5" t="s">
        <v>1415</v>
      </c>
      <c r="AX12" s="5" t="s">
        <v>1504</v>
      </c>
      <c r="AY12" s="5" t="s">
        <v>1505</v>
      </c>
      <c r="AZ12" s="5" t="s">
        <v>1506</v>
      </c>
      <c r="BA12" s="5" t="s">
        <v>1523</v>
      </c>
      <c r="BB12" s="5" t="s">
        <v>1524</v>
      </c>
      <c r="BC12" s="5" t="s">
        <v>1525</v>
      </c>
      <c r="BD12" s="5" t="s">
        <v>1526</v>
      </c>
      <c r="BE12" s="5" t="s">
        <v>1527</v>
      </c>
      <c r="BF12" s="5" t="s">
        <v>1528</v>
      </c>
      <c r="BG12" s="5" t="s">
        <v>1529</v>
      </c>
      <c r="BR12" s="65" t="s">
        <v>1643</v>
      </c>
      <c r="BS12" s="65" t="s">
        <v>130</v>
      </c>
      <c r="BT12" s="65">
        <v>4</v>
      </c>
      <c r="BW12" s="388" t="s">
        <v>76</v>
      </c>
      <c r="BX12" s="5" t="s">
        <v>80</v>
      </c>
      <c r="BY12" s="16" t="s">
        <v>78</v>
      </c>
      <c r="BZ12" s="16" t="s">
        <v>167</v>
      </c>
      <c r="CA12" s="185" t="s">
        <v>130</v>
      </c>
      <c r="CB12" s="16" t="s">
        <v>168</v>
      </c>
      <c r="CC12" s="42" t="s">
        <v>169</v>
      </c>
      <c r="CD12" s="42" t="s">
        <v>170</v>
      </c>
      <c r="CE12" s="16" t="s">
        <v>130</v>
      </c>
      <c r="CF12" s="16" t="s">
        <v>630</v>
      </c>
      <c r="CG12" s="16" t="s">
        <v>171</v>
      </c>
      <c r="CH12" s="16" t="s">
        <v>170</v>
      </c>
      <c r="CI12" s="16" t="s">
        <v>167</v>
      </c>
      <c r="CJ12" s="15" t="s">
        <v>630</v>
      </c>
      <c r="CK12" s="43" t="s">
        <v>1462</v>
      </c>
      <c r="CL12" s="186" t="str">
        <f t="shared" si="2"/>
        <v>A1973B</v>
      </c>
      <c r="CM12" s="43" t="s">
        <v>1465</v>
      </c>
      <c r="CN12" s="13" t="s">
        <v>79</v>
      </c>
      <c r="CO12" s="13">
        <v>3</v>
      </c>
      <c r="CP12" s="13" t="s">
        <v>1466</v>
      </c>
      <c r="CQ12" s="13" t="s">
        <v>82</v>
      </c>
      <c r="CR12" s="16" t="s">
        <v>1366</v>
      </c>
      <c r="CS12" s="13" t="s">
        <v>1365</v>
      </c>
      <c r="CT12" s="13" t="s">
        <v>81</v>
      </c>
      <c r="CU12" s="13" t="s">
        <v>1365</v>
      </c>
      <c r="CV12" s="15" t="s">
        <v>1367</v>
      </c>
      <c r="CW12" s="15" t="s">
        <v>1466</v>
      </c>
      <c r="CZ12" s="2" t="str">
        <f t="shared" si="4"/>
        <v/>
      </c>
      <c r="DA12" s="55" t="str">
        <f t="shared" si="3"/>
        <v/>
      </c>
    </row>
    <row r="13" spans="1:125" ht="48.6" x14ac:dyDescent="0.3">
      <c r="A13" s="2" t="str">
        <f>IF(B13="","",B13&amp;"-"&amp;COUNTIF($B$2:B13,B13))</f>
        <v/>
      </c>
      <c r="C13" s="2" t="str">
        <f>IF(F13="","",F13&amp;"-"&amp;COUNTIF(F$2:$H13,F13))</f>
        <v/>
      </c>
      <c r="D13" s="2" t="str">
        <f>IF(G13="","",G13&amp;"-"&amp;COUNTIF(G$2:$H13,G13))</f>
        <v>18-11</v>
      </c>
      <c r="E13" s="2" t="str">
        <f>IF(H13="","",H13&amp;"-"&amp;COUNTIF($H$2:H13,H13))</f>
        <v>全-12</v>
      </c>
      <c r="G13" s="13" t="s">
        <v>1581</v>
      </c>
      <c r="H13" s="13" t="s">
        <v>1582</v>
      </c>
      <c r="I13" s="2">
        <f>IF(Q13="","",COUNTA($Q$2:Q13))</f>
        <v>12</v>
      </c>
      <c r="J13" s="13" t="s">
        <v>1577</v>
      </c>
      <c r="K13" s="10" t="s">
        <v>1314</v>
      </c>
      <c r="L13" s="6" t="s">
        <v>1565</v>
      </c>
      <c r="M13" s="6" t="s">
        <v>1365</v>
      </c>
      <c r="N13" s="6" t="s">
        <v>1418</v>
      </c>
      <c r="O13" s="214" t="s">
        <v>1419</v>
      </c>
      <c r="P13" s="5" t="s">
        <v>1420</v>
      </c>
      <c r="Q13" s="209" t="s">
        <v>1421</v>
      </c>
      <c r="R13" s="16" t="s">
        <v>1422</v>
      </c>
      <c r="S13" s="13" t="s">
        <v>1395</v>
      </c>
      <c r="T13" s="6" t="s">
        <v>121</v>
      </c>
      <c r="U13" s="6" t="s">
        <v>1423</v>
      </c>
      <c r="V13" s="2" t="str">
        <f t="shared" si="0"/>
        <v>YETL22083</v>
      </c>
      <c r="W13" s="216" t="str">
        <f t="shared" si="1"/>
        <v>5965YETL22083</v>
      </c>
      <c r="X13" s="184" t="s">
        <v>78</v>
      </c>
      <c r="Y13" s="386">
        <v>59</v>
      </c>
      <c r="Z13" s="6" t="s">
        <v>77</v>
      </c>
      <c r="AA13" s="14">
        <v>120</v>
      </c>
      <c r="AB13" s="14" t="s">
        <v>1584</v>
      </c>
      <c r="AC13" s="14" t="s">
        <v>1590</v>
      </c>
      <c r="AD13" s="14">
        <v>20000</v>
      </c>
      <c r="AE13" s="14" t="s">
        <v>1591</v>
      </c>
      <c r="AF13" s="14" t="s">
        <v>173</v>
      </c>
      <c r="AH13" s="14">
        <v>4</v>
      </c>
      <c r="AI13" s="13" t="s">
        <v>1593</v>
      </c>
      <c r="AJ13" s="14" t="s">
        <v>1357</v>
      </c>
      <c r="AK13" s="14" t="s">
        <v>1358</v>
      </c>
      <c r="AL13" s="14">
        <v>0</v>
      </c>
      <c r="AM13" s="6"/>
      <c r="AN13" s="6" t="s">
        <v>1455</v>
      </c>
      <c r="AO13" s="41" t="s">
        <v>1456</v>
      </c>
      <c r="AP13" s="6" t="s">
        <v>1457</v>
      </c>
      <c r="AQ13" s="5" t="s">
        <v>1467</v>
      </c>
      <c r="AR13" s="6" t="s">
        <v>1313</v>
      </c>
      <c r="AS13" s="5" t="s">
        <v>174</v>
      </c>
      <c r="AT13" s="5" t="s">
        <v>175</v>
      </c>
      <c r="AU13" s="5" t="s">
        <v>176</v>
      </c>
      <c r="AV13" s="5" t="s">
        <v>1420</v>
      </c>
      <c r="AW13" s="5" t="s">
        <v>1421</v>
      </c>
      <c r="AX13" s="5" t="s">
        <v>1484</v>
      </c>
      <c r="AY13" s="5" t="s">
        <v>1485</v>
      </c>
      <c r="AZ13" s="5" t="s">
        <v>1501</v>
      </c>
      <c r="BA13" s="5" t="s">
        <v>1530</v>
      </c>
      <c r="BB13" s="5" t="s">
        <v>1531</v>
      </c>
      <c r="BC13" s="5" t="s">
        <v>1489</v>
      </c>
      <c r="BD13" s="5" t="s">
        <v>1490</v>
      </c>
      <c r="BE13" s="5" t="s">
        <v>1491</v>
      </c>
      <c r="BF13" s="5" t="s">
        <v>1532</v>
      </c>
      <c r="BG13" s="5" t="s">
        <v>1533</v>
      </c>
      <c r="BH13" s="5" t="s">
        <v>1534</v>
      </c>
      <c r="BI13" s="5" t="s">
        <v>1535</v>
      </c>
      <c r="BJ13" s="5" t="s">
        <v>1536</v>
      </c>
      <c r="BK13" s="5" t="s">
        <v>1537</v>
      </c>
      <c r="BL13" s="5" t="s">
        <v>1538</v>
      </c>
      <c r="BM13" s="5" t="s">
        <v>1504</v>
      </c>
      <c r="BN13" s="5" t="s">
        <v>1505</v>
      </c>
      <c r="BO13" s="5" t="s">
        <v>1506</v>
      </c>
      <c r="BP13" s="5" t="s">
        <v>1539</v>
      </c>
      <c r="BQ13" s="5" t="s">
        <v>1540</v>
      </c>
      <c r="BR13" s="65" t="s">
        <v>1644</v>
      </c>
      <c r="BS13" s="65" t="s">
        <v>130</v>
      </c>
      <c r="BT13" s="65">
        <v>4</v>
      </c>
      <c r="BV13" s="6"/>
      <c r="BW13" s="388" t="s">
        <v>76</v>
      </c>
      <c r="BX13" s="5" t="s">
        <v>80</v>
      </c>
      <c r="BY13" s="16" t="s">
        <v>78</v>
      </c>
      <c r="BZ13" s="16" t="s">
        <v>167</v>
      </c>
      <c r="CA13" s="388" t="s">
        <v>130</v>
      </c>
      <c r="CB13" s="16" t="s">
        <v>168</v>
      </c>
      <c r="CC13" s="392" t="s">
        <v>1464</v>
      </c>
      <c r="CD13" s="42" t="s">
        <v>170</v>
      </c>
      <c r="CE13" s="16" t="s">
        <v>130</v>
      </c>
      <c r="CF13" s="16" t="s">
        <v>630</v>
      </c>
      <c r="CG13" s="16" t="s">
        <v>171</v>
      </c>
      <c r="CH13" s="16" t="s">
        <v>170</v>
      </c>
      <c r="CI13" s="16" t="s">
        <v>167</v>
      </c>
      <c r="CJ13" s="15" t="s">
        <v>630</v>
      </c>
      <c r="CK13" s="43" t="s">
        <v>1462</v>
      </c>
      <c r="CL13" s="186" t="str">
        <f t="shared" si="2"/>
        <v>A1973B</v>
      </c>
      <c r="CM13" s="43" t="s">
        <v>1465</v>
      </c>
      <c r="CN13" s="13" t="s">
        <v>79</v>
      </c>
      <c r="CO13" s="5">
        <v>3</v>
      </c>
      <c r="CP13" s="6" t="s">
        <v>1466</v>
      </c>
      <c r="CQ13" s="6" t="s">
        <v>82</v>
      </c>
      <c r="CR13" s="5" t="s">
        <v>1366</v>
      </c>
      <c r="CS13" s="16" t="s">
        <v>1365</v>
      </c>
      <c r="CT13" s="16" t="s">
        <v>81</v>
      </c>
      <c r="CU13" s="16" t="s">
        <v>1365</v>
      </c>
      <c r="CV13" s="15" t="s">
        <v>1367</v>
      </c>
      <c r="CW13" s="15" t="s">
        <v>1466</v>
      </c>
      <c r="CZ13" s="2" t="str">
        <f t="shared" si="4"/>
        <v/>
      </c>
      <c r="DA13" s="55" t="str">
        <f t="shared" si="3"/>
        <v/>
      </c>
    </row>
    <row r="14" spans="1:125" ht="48.6" x14ac:dyDescent="0.3">
      <c r="A14" s="2" t="str">
        <f>IF(B14="","",B14&amp;"-"&amp;COUNTIF($B$2:B14,B14))</f>
        <v/>
      </c>
      <c r="C14" s="2" t="str">
        <f>IF(F14="","",F14&amp;"-"&amp;COUNTIF(F$2:$H14,F14))</f>
        <v/>
      </c>
      <c r="D14" s="2" t="str">
        <f>IF(G14="","",G14&amp;"-"&amp;COUNTIF(G$2:$H14,G14))</f>
        <v>18-12</v>
      </c>
      <c r="E14" s="2" t="str">
        <f>IF(H14="","",H14&amp;"-"&amp;COUNTIF($H$2:H14,H14))</f>
        <v>全-13</v>
      </c>
      <c r="G14" s="13" t="s">
        <v>1581</v>
      </c>
      <c r="H14" s="13" t="s">
        <v>1582</v>
      </c>
      <c r="I14" s="2">
        <f>IF(Q14="","",COUNTA($Q$2:Q14))</f>
        <v>13</v>
      </c>
      <c r="J14" s="13" t="s">
        <v>1578</v>
      </c>
      <c r="K14" s="10" t="s">
        <v>1314</v>
      </c>
      <c r="L14" s="6" t="s">
        <v>1566</v>
      </c>
      <c r="M14" s="6" t="s">
        <v>1365</v>
      </c>
      <c r="N14" s="6" t="s">
        <v>1424</v>
      </c>
      <c r="O14" s="214" t="s">
        <v>1425</v>
      </c>
      <c r="P14" s="5" t="s">
        <v>1426</v>
      </c>
      <c r="Q14" s="214" t="s">
        <v>1427</v>
      </c>
      <c r="R14" s="16" t="s">
        <v>1428</v>
      </c>
      <c r="S14" s="13" t="s">
        <v>1395</v>
      </c>
      <c r="T14" s="6" t="s">
        <v>121</v>
      </c>
      <c r="U14" s="6" t="s">
        <v>1429</v>
      </c>
      <c r="V14" s="2" t="str">
        <f t="shared" si="0"/>
        <v>YETL22082</v>
      </c>
      <c r="W14" s="216" t="str">
        <f t="shared" si="1"/>
        <v>5965YETL22082</v>
      </c>
      <c r="X14" s="16">
        <v>1</v>
      </c>
      <c r="Y14" s="386">
        <v>16</v>
      </c>
      <c r="Z14" s="6" t="s">
        <v>77</v>
      </c>
      <c r="AA14" s="14">
        <v>150</v>
      </c>
      <c r="AB14" s="14" t="s">
        <v>1584</v>
      </c>
      <c r="AC14" s="14" t="s">
        <v>1590</v>
      </c>
      <c r="AD14" s="14">
        <v>20000</v>
      </c>
      <c r="AE14" s="14" t="s">
        <v>1591</v>
      </c>
      <c r="AF14" s="14" t="s">
        <v>173</v>
      </c>
      <c r="AH14" s="14">
        <v>4</v>
      </c>
      <c r="AI14" s="13" t="s">
        <v>1593</v>
      </c>
      <c r="AJ14" s="14" t="s">
        <v>1357</v>
      </c>
      <c r="AK14" s="14" t="s">
        <v>1358</v>
      </c>
      <c r="AL14" s="14">
        <v>0</v>
      </c>
      <c r="AM14" s="6"/>
      <c r="AN14" s="6" t="s">
        <v>1455</v>
      </c>
      <c r="AO14" s="41" t="s">
        <v>1456</v>
      </c>
      <c r="AP14" s="6" t="s">
        <v>1457</v>
      </c>
      <c r="AQ14" s="5" t="s">
        <v>1467</v>
      </c>
      <c r="AR14" s="6" t="s">
        <v>1313</v>
      </c>
      <c r="AS14" s="5" t="s">
        <v>174</v>
      </c>
      <c r="AT14" s="5" t="s">
        <v>175</v>
      </c>
      <c r="AU14" s="5" t="s">
        <v>176</v>
      </c>
      <c r="AV14" s="5" t="s">
        <v>1426</v>
      </c>
      <c r="AW14" s="5" t="s">
        <v>1427</v>
      </c>
      <c r="AX14" s="5" t="s">
        <v>1484</v>
      </c>
      <c r="AY14" s="5" t="s">
        <v>1485</v>
      </c>
      <c r="AZ14" s="5" t="s">
        <v>1501</v>
      </c>
      <c r="BA14" s="5" t="s">
        <v>1530</v>
      </c>
      <c r="BB14" s="5" t="s">
        <v>1531</v>
      </c>
      <c r="BC14" s="5" t="s">
        <v>1489</v>
      </c>
      <c r="BD14" s="5" t="s">
        <v>1490</v>
      </c>
      <c r="BE14" s="5" t="s">
        <v>1491</v>
      </c>
      <c r="BF14" s="5" t="s">
        <v>1541</v>
      </c>
      <c r="BG14" s="5" t="s">
        <v>1542</v>
      </c>
      <c r="BH14" s="5" t="s">
        <v>1534</v>
      </c>
      <c r="BI14" s="5" t="s">
        <v>1535</v>
      </c>
      <c r="BJ14" s="5" t="s">
        <v>1536</v>
      </c>
      <c r="BK14" s="5" t="s">
        <v>1537</v>
      </c>
      <c r="BL14" s="5" t="s">
        <v>1538</v>
      </c>
      <c r="BM14" s="5" t="s">
        <v>1504</v>
      </c>
      <c r="BN14" s="5" t="s">
        <v>1505</v>
      </c>
      <c r="BO14" s="5" t="s">
        <v>1506</v>
      </c>
      <c r="BP14" s="5" t="s">
        <v>1539</v>
      </c>
      <c r="BQ14" s="5" t="s">
        <v>1540</v>
      </c>
      <c r="BR14" s="65" t="s">
        <v>1645</v>
      </c>
      <c r="BS14" s="65" t="s">
        <v>130</v>
      </c>
      <c r="BT14" s="65">
        <v>4</v>
      </c>
      <c r="BV14" s="6"/>
      <c r="BW14" s="388" t="s">
        <v>76</v>
      </c>
      <c r="BX14" s="5" t="s">
        <v>80</v>
      </c>
      <c r="BY14" s="16" t="s">
        <v>78</v>
      </c>
      <c r="BZ14" s="16" t="s">
        <v>167</v>
      </c>
      <c r="CA14" s="388" t="s">
        <v>130</v>
      </c>
      <c r="CB14" s="16" t="s">
        <v>168</v>
      </c>
      <c r="CC14" s="392" t="s">
        <v>1464</v>
      </c>
      <c r="CD14" s="42" t="s">
        <v>170</v>
      </c>
      <c r="CE14" s="16" t="s">
        <v>130</v>
      </c>
      <c r="CF14" s="16" t="s">
        <v>630</v>
      </c>
      <c r="CG14" s="16" t="s">
        <v>171</v>
      </c>
      <c r="CH14" s="16" t="s">
        <v>170</v>
      </c>
      <c r="CI14" s="16" t="s">
        <v>167</v>
      </c>
      <c r="CJ14" s="15" t="s">
        <v>630</v>
      </c>
      <c r="CK14" s="43" t="s">
        <v>1462</v>
      </c>
      <c r="CL14" s="186" t="str">
        <f t="shared" si="2"/>
        <v>A1973B</v>
      </c>
      <c r="CM14" s="43" t="s">
        <v>1465</v>
      </c>
      <c r="CN14" s="13" t="s">
        <v>79</v>
      </c>
      <c r="CO14" s="5">
        <v>3</v>
      </c>
      <c r="CP14" s="6" t="s">
        <v>1466</v>
      </c>
      <c r="CQ14" s="6" t="s">
        <v>82</v>
      </c>
      <c r="CR14" s="5" t="s">
        <v>1366</v>
      </c>
      <c r="CS14" s="16" t="s">
        <v>1365</v>
      </c>
      <c r="CT14" s="16" t="s">
        <v>81</v>
      </c>
      <c r="CU14" s="16" t="s">
        <v>1365</v>
      </c>
      <c r="CV14" s="15" t="s">
        <v>1367</v>
      </c>
      <c r="CW14" s="15" t="s">
        <v>1466</v>
      </c>
      <c r="CZ14" s="2" t="str">
        <f t="shared" si="4"/>
        <v/>
      </c>
      <c r="DA14" s="55" t="str">
        <f t="shared" si="3"/>
        <v/>
      </c>
    </row>
    <row r="15" spans="1:125" ht="64.8" x14ac:dyDescent="0.3">
      <c r="A15" s="2" t="str">
        <f>IF(B15="","",B15&amp;"-"&amp;COUNTIF($B$2:B15,B15))</f>
        <v/>
      </c>
      <c r="C15" s="2" t="str">
        <f>IF(F15="","",F15&amp;"-"&amp;COUNTIF(F$2:$H15,F15))</f>
        <v/>
      </c>
      <c r="D15" s="2" t="str">
        <f>IF(G15="","",G15&amp;"-"&amp;COUNTIF(G$2:$H15,G15))</f>
        <v>18-13</v>
      </c>
      <c r="E15" s="2" t="str">
        <f>IF(H15="","",H15&amp;"-"&amp;COUNTIF($H$2:H15,H15))</f>
        <v>全-14</v>
      </c>
      <c r="G15" s="13" t="s">
        <v>1581</v>
      </c>
      <c r="H15" s="13" t="s">
        <v>1582</v>
      </c>
      <c r="I15" s="2">
        <f>IF(Q15="","",COUNTA($Q$2:Q15))</f>
        <v>14</v>
      </c>
      <c r="J15" s="13" t="s">
        <v>1579</v>
      </c>
      <c r="K15" s="10" t="s">
        <v>1314</v>
      </c>
      <c r="L15" s="6" t="s">
        <v>1567</v>
      </c>
      <c r="M15" s="6" t="s">
        <v>1365</v>
      </c>
      <c r="N15" s="13" t="s">
        <v>1430</v>
      </c>
      <c r="O15" s="215" t="s">
        <v>1431</v>
      </c>
      <c r="P15" s="16" t="s">
        <v>1432</v>
      </c>
      <c r="Q15" s="214" t="s">
        <v>1433</v>
      </c>
      <c r="R15" s="16" t="s">
        <v>1434</v>
      </c>
      <c r="S15" s="13" t="s">
        <v>1435</v>
      </c>
      <c r="T15" s="6" t="s">
        <v>121</v>
      </c>
      <c r="U15" s="6">
        <v>22091</v>
      </c>
      <c r="V15" s="2" t="str">
        <f t="shared" si="0"/>
        <v>YETL22091</v>
      </c>
      <c r="W15" s="216" t="str">
        <f t="shared" si="1"/>
        <v>5945YETL22091</v>
      </c>
      <c r="X15" s="13">
        <v>1</v>
      </c>
      <c r="Y15" s="386">
        <v>46</v>
      </c>
      <c r="Z15" s="13" t="s">
        <v>77</v>
      </c>
      <c r="AA15" s="14">
        <v>50</v>
      </c>
      <c r="AB15" s="14" t="s">
        <v>1584</v>
      </c>
      <c r="AC15" s="14" t="s">
        <v>1592</v>
      </c>
      <c r="AD15" s="14">
        <v>11000</v>
      </c>
      <c r="AE15" s="14" t="s">
        <v>1588</v>
      </c>
      <c r="AF15" s="14" t="s">
        <v>173</v>
      </c>
      <c r="AH15" s="14">
        <v>4</v>
      </c>
      <c r="AI15" s="13" t="s">
        <v>1593</v>
      </c>
      <c r="AJ15" s="14" t="s">
        <v>1357</v>
      </c>
      <c r="AK15" s="14" t="s">
        <v>1358</v>
      </c>
      <c r="AL15" s="14">
        <v>0</v>
      </c>
      <c r="AM15" s="6"/>
      <c r="AN15" s="6" t="s">
        <v>1458</v>
      </c>
      <c r="AO15" s="41" t="s">
        <v>1459</v>
      </c>
      <c r="AP15" s="6" t="s">
        <v>1460</v>
      </c>
      <c r="AQ15" s="5" t="s">
        <v>1467</v>
      </c>
      <c r="AR15" s="6" t="s">
        <v>1313</v>
      </c>
      <c r="AS15" s="5" t="s">
        <v>174</v>
      </c>
      <c r="AT15" s="5" t="s">
        <v>175</v>
      </c>
      <c r="AU15" s="5" t="s">
        <v>176</v>
      </c>
      <c r="AV15" s="5" t="s">
        <v>1432</v>
      </c>
      <c r="AW15" s="5" t="s">
        <v>1433</v>
      </c>
      <c r="AX15" s="5" t="s">
        <v>1543</v>
      </c>
      <c r="AY15" s="5" t="s">
        <v>1544</v>
      </c>
      <c r="AZ15" s="5" t="s">
        <v>1545</v>
      </c>
      <c r="BA15" s="5">
        <v>1</v>
      </c>
      <c r="BB15" s="5">
        <v>1</v>
      </c>
      <c r="BC15" s="5" t="s">
        <v>1534</v>
      </c>
      <c r="BD15" s="5" t="s">
        <v>1535</v>
      </c>
      <c r="BE15" s="5" t="s">
        <v>1546</v>
      </c>
      <c r="BF15" s="5" t="s">
        <v>1547</v>
      </c>
      <c r="BG15" s="5" t="s">
        <v>1548</v>
      </c>
      <c r="BH15" s="5" t="s">
        <v>1489</v>
      </c>
      <c r="BI15" s="5" t="s">
        <v>1490</v>
      </c>
      <c r="BJ15" s="5" t="s">
        <v>1549</v>
      </c>
      <c r="BK15" s="5" t="s">
        <v>1550</v>
      </c>
      <c r="BL15" s="5" t="s">
        <v>1551</v>
      </c>
      <c r="BM15" s="5" t="s">
        <v>1552</v>
      </c>
      <c r="BN15" s="5" t="s">
        <v>1553</v>
      </c>
      <c r="BO15" s="5" t="s">
        <v>1554</v>
      </c>
      <c r="BP15" s="5" t="s">
        <v>1555</v>
      </c>
      <c r="BQ15" s="5" t="s">
        <v>1556</v>
      </c>
      <c r="BR15" s="65" t="s">
        <v>1646</v>
      </c>
      <c r="BS15" s="65" t="s">
        <v>130</v>
      </c>
      <c r="BT15" s="65">
        <v>4</v>
      </c>
      <c r="BV15" s="6"/>
      <c r="BW15" s="13" t="s">
        <v>76</v>
      </c>
      <c r="BX15" s="13" t="s">
        <v>80</v>
      </c>
      <c r="BY15" s="13" t="s">
        <v>78</v>
      </c>
      <c r="BZ15" s="13" t="s">
        <v>167</v>
      </c>
      <c r="CA15" s="13" t="s">
        <v>130</v>
      </c>
      <c r="CB15" s="13" t="s">
        <v>168</v>
      </c>
      <c r="CC15" s="42" t="s">
        <v>169</v>
      </c>
      <c r="CD15" s="13" t="s">
        <v>170</v>
      </c>
      <c r="CE15" s="13" t="s">
        <v>130</v>
      </c>
      <c r="CF15" s="16" t="s">
        <v>630</v>
      </c>
      <c r="CG15" s="13" t="s">
        <v>171</v>
      </c>
      <c r="CH15" s="13" t="s">
        <v>170</v>
      </c>
      <c r="CI15" s="13" t="s">
        <v>167</v>
      </c>
      <c r="CJ15" s="15" t="s">
        <v>630</v>
      </c>
      <c r="CK15" s="13" t="s">
        <v>1462</v>
      </c>
      <c r="CL15" s="186" t="str">
        <f t="shared" si="2"/>
        <v>A1973B</v>
      </c>
      <c r="CM15" s="43" t="s">
        <v>1465</v>
      </c>
      <c r="CN15" s="13" t="s">
        <v>79</v>
      </c>
      <c r="CO15" s="13">
        <v>3</v>
      </c>
      <c r="CP15" s="13" t="s">
        <v>1466</v>
      </c>
      <c r="CQ15" s="13" t="s">
        <v>82</v>
      </c>
      <c r="CR15" s="16" t="s">
        <v>1366</v>
      </c>
      <c r="CS15" s="13" t="s">
        <v>1365</v>
      </c>
      <c r="CT15" s="13" t="s">
        <v>81</v>
      </c>
      <c r="CU15" s="13" t="s">
        <v>1365</v>
      </c>
      <c r="CV15" s="15" t="s">
        <v>1367</v>
      </c>
      <c r="CW15" s="15" t="s">
        <v>1466</v>
      </c>
      <c r="CZ15" s="2" t="str">
        <f t="shared" si="4"/>
        <v/>
      </c>
      <c r="DA15" s="55" t="str">
        <f t="shared" si="3"/>
        <v/>
      </c>
    </row>
    <row r="16" spans="1:125" x14ac:dyDescent="0.3">
      <c r="A16" s="2" t="str">
        <f>IF(B16="","",B16&amp;"-"&amp;COUNTIF($B$2:B16,B16))</f>
        <v/>
      </c>
      <c r="C16" s="2" t="str">
        <f>IF(F16="","",F16&amp;"-"&amp;COUNTIF(F$2:$H16,F16))</f>
        <v/>
      </c>
      <c r="D16" s="2" t="str">
        <f>IF(G16="","",G16&amp;"-"&amp;COUNTIF(G$2:$H16,G16))</f>
        <v/>
      </c>
      <c r="E16" s="2" t="str">
        <f>IF(H16="","",H16&amp;"-"&amp;COUNTIF($H$2:H16,H16))</f>
        <v/>
      </c>
      <c r="I16" s="2" t="str">
        <f>IF(Q16="","",COUNTA($Q$2:Q16))</f>
        <v/>
      </c>
      <c r="K16" s="10"/>
      <c r="M16" s="6"/>
      <c r="N16" s="6"/>
      <c r="O16" s="215"/>
      <c r="Q16" s="214"/>
      <c r="T16" s="6"/>
      <c r="U16" s="6"/>
      <c r="V16" s="2" t="str">
        <f t="shared" si="0"/>
        <v/>
      </c>
      <c r="W16" s="216" t="str">
        <f t="shared" si="1"/>
        <v/>
      </c>
      <c r="AM16" s="6"/>
      <c r="CL16" s="186" t="str">
        <f t="shared" si="2"/>
        <v/>
      </c>
      <c r="CM16" s="43"/>
      <c r="CP16" s="13"/>
      <c r="CZ16" s="2" t="str">
        <f t="shared" si="4"/>
        <v/>
      </c>
      <c r="DA16" s="55" t="str">
        <f t="shared" si="3"/>
        <v/>
      </c>
    </row>
    <row r="17" spans="1:125" x14ac:dyDescent="0.3">
      <c r="A17" s="2" t="str">
        <f>IF(B17="","",B17&amp;"-"&amp;COUNTIF($B$2:B17,B17))</f>
        <v/>
      </c>
      <c r="C17" s="2" t="str">
        <f>IF(F17="","",F17&amp;"-"&amp;COUNTIF(F$2:$H17,F17))</f>
        <v/>
      </c>
      <c r="D17" s="2" t="str">
        <f>IF(G17="","",G17&amp;"-"&amp;COUNTIF(G$2:$H17,G17))</f>
        <v/>
      </c>
      <c r="E17" s="2" t="str">
        <f>IF(H17="","",H17&amp;"-"&amp;COUNTIF($H$2:H17,H17))</f>
        <v/>
      </c>
      <c r="I17" s="2" t="str">
        <f>IF(Q17="","",COUNTA($Q$2:Q17))</f>
        <v/>
      </c>
      <c r="K17" s="10"/>
      <c r="M17" s="6"/>
      <c r="O17" s="215"/>
      <c r="Q17" s="214"/>
      <c r="T17" s="6"/>
      <c r="U17" s="6"/>
      <c r="V17" s="2" t="str">
        <f t="shared" si="0"/>
        <v/>
      </c>
      <c r="W17" s="216" t="str">
        <f t="shared" si="1"/>
        <v/>
      </c>
      <c r="AM17" s="6"/>
      <c r="CL17" s="186" t="str">
        <f t="shared" si="2"/>
        <v/>
      </c>
      <c r="CM17" s="43"/>
      <c r="CP17" s="13"/>
      <c r="CZ17" s="2" t="str">
        <f t="shared" si="4"/>
        <v/>
      </c>
      <c r="DA17" s="55" t="str">
        <f t="shared" si="3"/>
        <v/>
      </c>
    </row>
    <row r="18" spans="1:125" x14ac:dyDescent="0.3">
      <c r="A18" s="2" t="str">
        <f>IF(B18="","",B18&amp;"-"&amp;COUNTIF($B$2:B18,B18))</f>
        <v/>
      </c>
      <c r="C18" s="2" t="str">
        <f>IF(F18="","",F18&amp;"-"&amp;COUNTIF(F$2:$H18,F18))</f>
        <v/>
      </c>
      <c r="D18" s="2" t="str">
        <f>IF(G18="","",G18&amp;"-"&amp;COUNTIF(G$2:$H18,G18))</f>
        <v/>
      </c>
      <c r="E18" s="2" t="str">
        <f>IF(H18="","",H18&amp;"-"&amp;COUNTIF($H$2:H18,H18))</f>
        <v/>
      </c>
      <c r="I18" s="2" t="str">
        <f>IF(Q18="","",COUNTA($Q$2:Q18))</f>
        <v/>
      </c>
      <c r="K18" s="10"/>
      <c r="M18" s="6"/>
      <c r="N18" s="6"/>
      <c r="O18" s="215"/>
      <c r="Q18" s="214"/>
      <c r="T18" s="6"/>
      <c r="U18" s="6"/>
      <c r="V18" s="2" t="str">
        <f t="shared" si="0"/>
        <v/>
      </c>
      <c r="W18" s="216" t="str">
        <f t="shared" si="1"/>
        <v/>
      </c>
      <c r="AM18" s="6"/>
      <c r="CL18" s="186" t="str">
        <f t="shared" si="2"/>
        <v/>
      </c>
      <c r="CM18" s="43"/>
      <c r="CP18" s="13"/>
      <c r="CZ18" s="2" t="str">
        <f t="shared" si="4"/>
        <v/>
      </c>
      <c r="DA18" s="55" t="str">
        <f t="shared" si="3"/>
        <v/>
      </c>
    </row>
    <row r="19" spans="1:125" x14ac:dyDescent="0.3">
      <c r="A19" s="2" t="str">
        <f>IF(B19="","",B19&amp;"-"&amp;COUNTIF($B$2:B19,B19))</f>
        <v/>
      </c>
      <c r="C19" s="2" t="str">
        <f>IF(F19="","",F19&amp;"-"&amp;COUNTIF(F$2:$H19,F19))</f>
        <v/>
      </c>
      <c r="D19" s="2" t="str">
        <f>IF(G19="","",G19&amp;"-"&amp;COUNTIF(G$2:$H19,G19))</f>
        <v/>
      </c>
      <c r="E19" s="2" t="str">
        <f>IF(H19="","",H19&amp;"-"&amp;COUNTIF($H$2:H19,H19))</f>
        <v/>
      </c>
      <c r="I19" s="2" t="str">
        <f>IF(Q19="","",COUNTA($Q$2:Q19))</f>
        <v/>
      </c>
      <c r="K19" s="10"/>
      <c r="M19" s="6"/>
      <c r="O19" s="215"/>
      <c r="Q19" s="214"/>
      <c r="T19" s="6"/>
      <c r="U19" s="6"/>
      <c r="V19" s="2" t="str">
        <f t="shared" si="0"/>
        <v/>
      </c>
      <c r="W19" s="216" t="str">
        <f t="shared" si="1"/>
        <v/>
      </c>
      <c r="AM19" s="6"/>
      <c r="CL19" s="186" t="str">
        <f t="shared" si="2"/>
        <v/>
      </c>
      <c r="CM19" s="43"/>
      <c r="CP19" s="13"/>
      <c r="CZ19" s="2" t="str">
        <f t="shared" si="4"/>
        <v/>
      </c>
      <c r="DA19" s="55" t="str">
        <f t="shared" si="3"/>
        <v/>
      </c>
    </row>
    <row r="20" spans="1:125" x14ac:dyDescent="0.3">
      <c r="A20" s="2" t="str">
        <f>IF(B20="","",B20&amp;"-"&amp;COUNTIF($B$2:B20,B20))</f>
        <v/>
      </c>
      <c r="C20" s="2" t="str">
        <f>IF(F20="","",F20&amp;"-"&amp;COUNTIF(F$2:$H20,F20))</f>
        <v/>
      </c>
      <c r="D20" s="2" t="str">
        <f>IF(G20="","",G20&amp;"-"&amp;COUNTIF(G$2:$H20,G20))</f>
        <v/>
      </c>
      <c r="E20" s="2" t="str">
        <f>IF(H20="","",H20&amp;"-"&amp;COUNTIF($H$2:H20,H20))</f>
        <v/>
      </c>
      <c r="I20" s="2" t="str">
        <f>IF(Q20="","",COUNTA($Q$2:Q20))</f>
        <v/>
      </c>
      <c r="K20" s="10"/>
      <c r="M20" s="6"/>
      <c r="N20" s="6"/>
      <c r="O20" s="215"/>
      <c r="Q20" s="214"/>
      <c r="T20" s="6"/>
      <c r="U20" s="6"/>
      <c r="V20" s="2" t="str">
        <f>T20&amp;U20</f>
        <v/>
      </c>
      <c r="W20" s="216" t="str">
        <f>IF(S20="","",S20&amp;V20)</f>
        <v/>
      </c>
      <c r="AM20" s="6"/>
      <c r="CL20" s="186" t="str">
        <f t="shared" si="2"/>
        <v/>
      </c>
      <c r="CM20" s="43"/>
      <c r="CP20" s="13"/>
      <c r="CZ20" s="2" t="str">
        <f t="shared" si="4"/>
        <v/>
      </c>
      <c r="DA20" s="55" t="str">
        <f t="shared" si="3"/>
        <v/>
      </c>
    </row>
    <row r="21" spans="1:125" s="10" customFormat="1" x14ac:dyDescent="0.3">
      <c r="A21" s="2" t="str">
        <f>IF(B21="","",B21&amp;"-"&amp;COUNTIF($B$2:B21,B21))</f>
        <v/>
      </c>
      <c r="B21" s="6"/>
      <c r="C21" s="2" t="str">
        <f>IF(F21="","",F21&amp;"-"&amp;COUNTIF(F$2:$H21,F21))</f>
        <v/>
      </c>
      <c r="D21" s="2" t="str">
        <f>IF(G21="","",G21&amp;"-"&amp;COUNTIF(G$2:$H21,G21))</f>
        <v/>
      </c>
      <c r="E21" s="2" t="str">
        <f>IF(H21="","",H21&amp;"-"&amp;COUNTIF($H$2:H21,H21))</f>
        <v/>
      </c>
      <c r="F21" s="13"/>
      <c r="G21" s="13"/>
      <c r="H21" s="13"/>
      <c r="I21" s="2" t="str">
        <f>IF(Q21="","",COUNTA($Q$2:Q21))</f>
        <v/>
      </c>
      <c r="J21" s="283"/>
      <c r="N21" s="283"/>
      <c r="O21" s="296"/>
      <c r="P21" s="287"/>
      <c r="Q21" s="284"/>
      <c r="R21" s="287"/>
      <c r="S21" s="283"/>
      <c r="V21" s="55" t="str">
        <f>T21&amp;U21</f>
        <v/>
      </c>
      <c r="W21" s="288" t="str">
        <f>IF(S21="","",S21&amp;V21)</f>
        <v/>
      </c>
      <c r="X21" s="283"/>
      <c r="Y21" s="285"/>
      <c r="Z21" s="283"/>
      <c r="AA21" s="290"/>
      <c r="AB21" s="290"/>
      <c r="AC21" s="290"/>
      <c r="AD21" s="290"/>
      <c r="AE21" s="290"/>
      <c r="AF21" s="290"/>
      <c r="AG21" s="290"/>
      <c r="AH21" s="290"/>
      <c r="AI21" s="283"/>
      <c r="AJ21" s="290"/>
      <c r="AK21" s="290"/>
      <c r="AL21" s="290"/>
      <c r="AN21" s="283"/>
      <c r="AO21" s="283"/>
      <c r="AP21" s="285"/>
      <c r="AQ21" s="285"/>
      <c r="AR21" s="285"/>
      <c r="AS21" s="285"/>
      <c r="AT21" s="285"/>
      <c r="AU21" s="285"/>
      <c r="AV21" s="285"/>
      <c r="AW21" s="285"/>
      <c r="AX21" s="285"/>
      <c r="AY21" s="285"/>
      <c r="AZ21" s="285"/>
      <c r="BA21" s="285"/>
      <c r="BB21" s="285"/>
      <c r="BC21" s="285"/>
      <c r="BD21" s="285"/>
      <c r="BE21" s="285"/>
      <c r="BF21" s="285"/>
      <c r="BG21" s="285"/>
      <c r="BH21" s="285"/>
      <c r="BI21" s="285"/>
      <c r="BJ21" s="285"/>
      <c r="BK21" s="285"/>
      <c r="BL21" s="285"/>
      <c r="BM21" s="285"/>
      <c r="BN21" s="285"/>
      <c r="BO21" s="285"/>
      <c r="BP21" s="285"/>
      <c r="BQ21" s="285"/>
      <c r="BR21" s="292"/>
      <c r="BS21" s="292"/>
      <c r="BT21" s="292"/>
      <c r="BU21" s="292"/>
      <c r="BV21" s="285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93"/>
      <c r="CK21" s="283"/>
      <c r="CL21" s="57" t="str">
        <f t="shared" si="2"/>
        <v/>
      </c>
      <c r="CM21" s="294"/>
      <c r="CN21" s="283"/>
      <c r="CO21" s="283"/>
      <c r="CP21" s="283"/>
      <c r="CQ21" s="283"/>
      <c r="CR21" s="287"/>
      <c r="CS21" s="283"/>
      <c r="CT21" s="283"/>
      <c r="CU21" s="283"/>
      <c r="CV21" s="293"/>
      <c r="CW21" s="293"/>
      <c r="CX21" s="293"/>
      <c r="CY21" s="283"/>
      <c r="CZ21" s="55" t="str">
        <f t="shared" si="4"/>
        <v/>
      </c>
      <c r="DA21" s="55" t="str">
        <f t="shared" si="3"/>
        <v/>
      </c>
      <c r="DB21" s="283"/>
      <c r="DC21" s="283"/>
      <c r="DD21" s="283"/>
      <c r="DE21" s="283"/>
      <c r="DF21" s="283"/>
      <c r="DG21" s="283"/>
      <c r="DH21" s="283"/>
      <c r="DI21" s="283"/>
      <c r="DJ21" s="283"/>
      <c r="DK21" s="287"/>
      <c r="DL21" s="283"/>
      <c r="DM21" s="283"/>
      <c r="DN21" s="283"/>
      <c r="DO21" s="283"/>
      <c r="DP21" s="283"/>
      <c r="DQ21" s="283"/>
      <c r="DR21" s="283"/>
      <c r="DS21" s="283"/>
      <c r="DT21" s="283"/>
      <c r="DU21" s="297"/>
    </row>
    <row r="22" spans="1:125" x14ac:dyDescent="0.3">
      <c r="A22" s="2" t="str">
        <f>IF(B22="","",B22&amp;"-"&amp;COUNTIF($B$2:B22,B22))</f>
        <v/>
      </c>
      <c r="C22" s="2" t="str">
        <f>IF(F22="","",F22&amp;"-"&amp;COUNTIF(F$2:$H22,F22))</f>
        <v/>
      </c>
      <c r="D22" s="2" t="str">
        <f>IF(G22="","",G22&amp;"-"&amp;COUNTIF(G$2:$H22,G22))</f>
        <v/>
      </c>
      <c r="E22" s="2" t="str">
        <f>IF(H22="","",H22&amp;"-"&amp;COUNTIF($H$2:H22,H22))</f>
        <v/>
      </c>
      <c r="I22" s="2" t="str">
        <f>IF(Q22="","",COUNTA($Q$2:Q22))</f>
        <v/>
      </c>
      <c r="K22" s="10"/>
      <c r="M22" s="6"/>
      <c r="N22" s="6"/>
      <c r="O22" s="215"/>
      <c r="Q22" s="214"/>
      <c r="T22" s="6"/>
      <c r="U22" s="6"/>
      <c r="V22" s="2" t="str">
        <f>T22&amp;U22</f>
        <v/>
      </c>
      <c r="W22" s="216" t="str">
        <f>IF(S22="","",S22&amp;V22)</f>
        <v/>
      </c>
      <c r="AM22" s="6"/>
      <c r="CL22" s="186" t="str">
        <f t="shared" si="2"/>
        <v/>
      </c>
      <c r="CM22" s="43"/>
      <c r="CP22" s="13"/>
      <c r="CZ22" s="2" t="str">
        <f t="shared" si="4"/>
        <v/>
      </c>
      <c r="DA22" s="55" t="str">
        <f t="shared" si="3"/>
        <v/>
      </c>
    </row>
    <row r="23" spans="1:125" x14ac:dyDescent="0.3">
      <c r="A23" s="2" t="str">
        <f>IF(B23="","",B23&amp;"-"&amp;COUNTIF($B$2:B23,B23))</f>
        <v/>
      </c>
      <c r="C23" s="2" t="str">
        <f>IF(F23="","",F23&amp;"-"&amp;COUNTIF(F$2:$H23,F23))</f>
        <v/>
      </c>
      <c r="D23" s="2" t="str">
        <f>IF(G23="","",G23&amp;"-"&amp;COUNTIF(G$2:$H23,G23))</f>
        <v/>
      </c>
      <c r="E23" s="2" t="str">
        <f>IF(H23="","",H23&amp;"-"&amp;COUNTIF($H$2:H23,H23))</f>
        <v/>
      </c>
      <c r="I23" s="2" t="str">
        <f>IF(Q23="","",COUNTA($Q$2:Q23))</f>
        <v/>
      </c>
      <c r="K23" s="10"/>
      <c r="M23" s="6"/>
      <c r="O23" s="215"/>
      <c r="Q23" s="214"/>
      <c r="T23" s="6"/>
      <c r="U23" s="6"/>
      <c r="V23" s="2" t="str">
        <f t="shared" si="0"/>
        <v/>
      </c>
      <c r="W23" s="216" t="str">
        <f t="shared" si="1"/>
        <v/>
      </c>
      <c r="AM23" s="6"/>
      <c r="CL23" s="186" t="str">
        <f t="shared" si="2"/>
        <v/>
      </c>
      <c r="CM23" s="43"/>
      <c r="CP23" s="13"/>
      <c r="CZ23" s="2" t="str">
        <f t="shared" si="4"/>
        <v/>
      </c>
      <c r="DA23" s="55" t="str">
        <f t="shared" si="3"/>
        <v/>
      </c>
    </row>
    <row r="24" spans="1:125" x14ac:dyDescent="0.3">
      <c r="A24" s="2" t="str">
        <f>IF(B24="","",B24&amp;"-"&amp;COUNTIF($B$2:B24,B24))</f>
        <v/>
      </c>
      <c r="C24" s="2" t="str">
        <f>IF(F24="","",F24&amp;"-"&amp;COUNTIF(F$2:$H24,F24))</f>
        <v/>
      </c>
      <c r="D24" s="2" t="str">
        <f>IF(G24="","",G24&amp;"-"&amp;COUNTIF(G$2:$H24,G24))</f>
        <v/>
      </c>
      <c r="E24" s="2" t="str">
        <f>IF(H24="","",H24&amp;"-"&amp;COUNTIF($H$2:H24,H24))</f>
        <v/>
      </c>
      <c r="I24" s="2" t="str">
        <f>IF(Q24="","",COUNTA($Q$2:Q24))</f>
        <v/>
      </c>
      <c r="K24" s="10"/>
      <c r="M24" s="6"/>
      <c r="O24" s="215"/>
      <c r="Q24" s="214"/>
      <c r="T24" s="6"/>
      <c r="U24" s="6"/>
      <c r="V24" s="2" t="str">
        <f t="shared" si="0"/>
        <v/>
      </c>
      <c r="W24" s="216" t="str">
        <f t="shared" si="1"/>
        <v/>
      </c>
      <c r="AM24" s="6"/>
      <c r="CL24" s="186" t="str">
        <f t="shared" si="2"/>
        <v/>
      </c>
      <c r="CV24" s="13"/>
      <c r="CZ24" s="2" t="str">
        <f t="shared" si="4"/>
        <v/>
      </c>
      <c r="DA24" s="55" t="str">
        <f t="shared" si="3"/>
        <v/>
      </c>
    </row>
    <row r="25" spans="1:125" x14ac:dyDescent="0.3">
      <c r="A25" s="2" t="str">
        <f>IF(B25="","",B25&amp;"-"&amp;COUNTIF($B$2:B25,B25))</f>
        <v/>
      </c>
      <c r="C25" s="2" t="str">
        <f>IF(F25="","",F25&amp;"-"&amp;COUNTIF(F$2:$H25,F25))</f>
        <v/>
      </c>
      <c r="D25" s="2" t="str">
        <f>IF(G25="","",G25&amp;"-"&amp;COUNTIF(G$2:$H25,G25))</f>
        <v/>
      </c>
      <c r="E25" s="2" t="str">
        <f>IF(H25="","",H25&amp;"-"&amp;COUNTIF($H$2:H25,H25))</f>
        <v/>
      </c>
      <c r="I25" s="2" t="str">
        <f>IF(Q25="","",COUNTA($Q$2:Q25))</f>
        <v/>
      </c>
      <c r="K25" s="10"/>
      <c r="M25" s="6"/>
      <c r="N25" s="6"/>
      <c r="O25" s="215"/>
      <c r="Q25" s="214"/>
      <c r="T25" s="6"/>
      <c r="U25" s="6"/>
      <c r="V25" s="2" t="str">
        <f t="shared" si="0"/>
        <v/>
      </c>
      <c r="W25" s="216" t="str">
        <f t="shared" si="1"/>
        <v/>
      </c>
      <c r="AM25" s="6"/>
      <c r="CL25" s="186" t="str">
        <f t="shared" si="2"/>
        <v/>
      </c>
      <c r="CZ25" s="2" t="str">
        <f t="shared" si="4"/>
        <v/>
      </c>
      <c r="DA25" s="55" t="str">
        <f t="shared" si="3"/>
        <v/>
      </c>
    </row>
    <row r="26" spans="1:125" x14ac:dyDescent="0.3">
      <c r="A26" s="2" t="str">
        <f>IF(B26="","",B26&amp;"-"&amp;COUNTIF($B$2:B26,B26))</f>
        <v/>
      </c>
      <c r="C26" s="2" t="str">
        <f>IF(F26="","",F26&amp;"-"&amp;COUNTIF(F$2:$H26,F26))</f>
        <v/>
      </c>
      <c r="D26" s="2" t="str">
        <f>IF(G26="","",G26&amp;"-"&amp;COUNTIF(G$2:$H26,G26))</f>
        <v/>
      </c>
      <c r="E26" s="2" t="str">
        <f>IF(H26="","",H26&amp;"-"&amp;COUNTIF($H$2:H26,H26))</f>
        <v/>
      </c>
      <c r="I26" s="2" t="str">
        <f>IF(Q26="","",COUNTA($Q$2:Q26))</f>
        <v/>
      </c>
      <c r="K26" s="10"/>
      <c r="M26" s="6"/>
      <c r="O26" s="215"/>
      <c r="Q26" s="214"/>
      <c r="T26" s="6"/>
      <c r="U26" s="6"/>
      <c r="V26" s="2" t="str">
        <f t="shared" si="0"/>
        <v/>
      </c>
      <c r="W26" s="216" t="str">
        <f t="shared" si="1"/>
        <v/>
      </c>
      <c r="AM26" s="6"/>
      <c r="CL26" s="186" t="str">
        <f t="shared" si="2"/>
        <v/>
      </c>
      <c r="CZ26" s="2" t="str">
        <f t="shared" si="4"/>
        <v/>
      </c>
      <c r="DA26" s="55" t="str">
        <f t="shared" si="3"/>
        <v/>
      </c>
    </row>
    <row r="27" spans="1:125" x14ac:dyDescent="0.3">
      <c r="A27" s="2" t="str">
        <f>IF(B27="","",B27&amp;"-"&amp;COUNTIF($B$2:B27,B27))</f>
        <v/>
      </c>
      <c r="C27" s="2" t="str">
        <f>IF(F27="","",F27&amp;"-"&amp;COUNTIF(F$2:$H27,F27))</f>
        <v/>
      </c>
      <c r="D27" s="2" t="str">
        <f>IF(G27="","",G27&amp;"-"&amp;COUNTIF(G$2:$H27,G27))</f>
        <v/>
      </c>
      <c r="E27" s="2" t="str">
        <f>IF(H27="","",H27&amp;"-"&amp;COUNTIF($H$2:H27,H27))</f>
        <v/>
      </c>
      <c r="I27" s="2" t="str">
        <f>IF(Q27="","",COUNTA($Q$2:Q27))</f>
        <v/>
      </c>
      <c r="K27" s="10"/>
      <c r="M27" s="6"/>
      <c r="N27" s="6"/>
      <c r="O27" s="215"/>
      <c r="Q27" s="214"/>
      <c r="T27" s="6"/>
      <c r="U27" s="6"/>
      <c r="V27" s="2" t="str">
        <f t="shared" si="0"/>
        <v/>
      </c>
      <c r="W27" s="216" t="str">
        <f t="shared" si="1"/>
        <v/>
      </c>
      <c r="AM27" s="6"/>
      <c r="CL27" s="186" t="str">
        <f t="shared" si="2"/>
        <v/>
      </c>
      <c r="CZ27" s="2" t="str">
        <f t="shared" si="4"/>
        <v/>
      </c>
      <c r="DA27" s="55" t="str">
        <f t="shared" si="3"/>
        <v/>
      </c>
    </row>
    <row r="28" spans="1:125" x14ac:dyDescent="0.3">
      <c r="A28" s="2" t="str">
        <f>IF(B28="","",B28&amp;"-"&amp;COUNTIF($B$2:B28,B28))</f>
        <v/>
      </c>
      <c r="C28" s="2" t="str">
        <f>IF(F28="","",F28&amp;"-"&amp;COUNTIF(F$2:$H28,F28))</f>
        <v/>
      </c>
      <c r="D28" s="2" t="str">
        <f>IF(G28="","",G28&amp;"-"&amp;COUNTIF(G$2:$H28,G28))</f>
        <v/>
      </c>
      <c r="E28" s="2" t="str">
        <f>IF(H28="","",H28&amp;"-"&amp;COUNTIF($H$2:H28,H28))</f>
        <v/>
      </c>
      <c r="I28" s="2" t="str">
        <f>IF(Q28="","",COUNTA($Q$2:Q28))</f>
        <v/>
      </c>
      <c r="K28" s="10"/>
      <c r="M28" s="6"/>
      <c r="O28" s="215"/>
      <c r="Q28" s="214"/>
      <c r="T28" s="6"/>
      <c r="U28" s="6"/>
      <c r="V28" s="2" t="str">
        <f t="shared" si="0"/>
        <v/>
      </c>
      <c r="W28" s="216" t="str">
        <f t="shared" si="1"/>
        <v/>
      </c>
      <c r="AM28" s="6"/>
      <c r="CL28" s="57" t="str">
        <f t="shared" si="2"/>
        <v/>
      </c>
      <c r="CZ28" s="55" t="str">
        <f t="shared" si="4"/>
        <v/>
      </c>
      <c r="DA28" s="55" t="str">
        <f t="shared" si="3"/>
        <v/>
      </c>
    </row>
    <row r="29" spans="1:125" x14ac:dyDescent="0.3">
      <c r="A29" s="2" t="str">
        <f>IF(B29="","",B29&amp;"-"&amp;COUNTIF($B$2:B29,B29))</f>
        <v/>
      </c>
      <c r="C29" s="2" t="str">
        <f>IF(F29="","",F29&amp;"-"&amp;COUNTIF(F$2:$H29,F29))</f>
        <v/>
      </c>
      <c r="D29" s="2" t="str">
        <f>IF(G29="","",G29&amp;"-"&amp;COUNTIF(G$2:$H29,G29))</f>
        <v/>
      </c>
      <c r="E29" s="2" t="str">
        <f>IF(H29="","",H29&amp;"-"&amp;COUNTIF($H$2:H29,H29))</f>
        <v/>
      </c>
      <c r="I29" s="2" t="str">
        <f>IF(Q29="","",COUNTA($Q$2:Q29))</f>
        <v/>
      </c>
      <c r="K29" s="10"/>
      <c r="L29" s="10"/>
      <c r="O29" s="215"/>
      <c r="Q29" s="214"/>
      <c r="V29" s="2" t="str">
        <f t="shared" si="0"/>
        <v/>
      </c>
      <c r="W29" s="216" t="str">
        <f t="shared" si="1"/>
        <v/>
      </c>
      <c r="CL29" s="57" t="str">
        <f t="shared" si="2"/>
        <v/>
      </c>
      <c r="CZ29" s="55" t="str">
        <f t="shared" si="4"/>
        <v/>
      </c>
      <c r="DA29" s="55" t="str">
        <f t="shared" si="3"/>
        <v/>
      </c>
    </row>
    <row r="30" spans="1:125" x14ac:dyDescent="0.3">
      <c r="A30" s="2" t="str">
        <f>IF(B30="","",B30&amp;"-"&amp;COUNTIF($B$2:B30,B30))</f>
        <v/>
      </c>
      <c r="C30" s="2" t="str">
        <f>IF(F30="","",F30&amp;"-"&amp;COUNTIF(F$2:$H30,F30))</f>
        <v/>
      </c>
      <c r="D30" s="2" t="str">
        <f>IF(G30="","",G30&amp;"-"&amp;COUNTIF(G$2:$H30,G30))</f>
        <v/>
      </c>
      <c r="E30" s="2" t="str">
        <f>IF(H30="","",H30&amp;"-"&amp;COUNTIF($H$2:H30,H30))</f>
        <v/>
      </c>
      <c r="I30" s="2" t="str">
        <f>IF(Q30="","",COUNTA($Q$2:Q30))</f>
        <v/>
      </c>
      <c r="K30" s="10"/>
      <c r="L30" s="10"/>
      <c r="O30" s="215"/>
      <c r="Q30" s="214"/>
      <c r="V30" s="2" t="str">
        <f t="shared" si="0"/>
        <v/>
      </c>
      <c r="W30" s="216" t="str">
        <f t="shared" si="1"/>
        <v/>
      </c>
      <c r="CL30" s="57" t="str">
        <f t="shared" si="2"/>
        <v/>
      </c>
      <c r="CZ30" s="55" t="str">
        <f t="shared" si="4"/>
        <v/>
      </c>
      <c r="DA30" s="55" t="str">
        <f t="shared" si="3"/>
        <v/>
      </c>
    </row>
    <row r="31" spans="1:125" x14ac:dyDescent="0.3">
      <c r="A31" s="2" t="str">
        <f>IF(B31="","",B31&amp;"-"&amp;COUNTIF($B$2:B31,B31))</f>
        <v/>
      </c>
      <c r="C31" s="2" t="str">
        <f>IF(F31="","",F31&amp;"-"&amp;COUNTIF(F$2:$H31,F31))</f>
        <v/>
      </c>
      <c r="D31" s="2" t="str">
        <f>IF(G31="","",G31&amp;"-"&amp;COUNTIF(G$2:$H31,G31))</f>
        <v/>
      </c>
      <c r="E31" s="2" t="str">
        <f>IF(H31="","",H31&amp;"-"&amp;COUNTIF($H$2:H31,H31))</f>
        <v/>
      </c>
      <c r="I31" s="2" t="str">
        <f>IF(Q31="","",COUNTA($Q$2:Q31))</f>
        <v/>
      </c>
      <c r="K31" s="10"/>
      <c r="L31" s="10"/>
      <c r="O31" s="215"/>
      <c r="Q31" s="214"/>
      <c r="V31" s="2" t="str">
        <f t="shared" si="0"/>
        <v/>
      </c>
      <c r="W31" s="216" t="str">
        <f t="shared" si="1"/>
        <v/>
      </c>
      <c r="CL31" s="57" t="str">
        <f t="shared" si="2"/>
        <v/>
      </c>
      <c r="CZ31" s="55" t="str">
        <f t="shared" si="4"/>
        <v/>
      </c>
      <c r="DA31" s="55" t="str">
        <f t="shared" si="3"/>
        <v/>
      </c>
    </row>
    <row r="32" spans="1:125" x14ac:dyDescent="0.3">
      <c r="A32" s="2" t="str">
        <f>IF(B32="","",B32&amp;"-"&amp;COUNTIF($B$2:B32,B32))</f>
        <v/>
      </c>
      <c r="C32" s="2" t="str">
        <f>IF(F32="","",F32&amp;"-"&amp;COUNTIF(F$2:$H32,F32))</f>
        <v/>
      </c>
      <c r="D32" s="2" t="str">
        <f>IF(G32="","",G32&amp;"-"&amp;COUNTIF(G$2:$H32,G32))</f>
        <v/>
      </c>
      <c r="E32" s="2" t="str">
        <f>IF(H32="","",H32&amp;"-"&amp;COUNTIF($H$2:H32,H32))</f>
        <v/>
      </c>
      <c r="I32" s="2" t="str">
        <f>IF(Q32="","",COUNTA($Q$2:Q32))</f>
        <v/>
      </c>
      <c r="K32" s="10"/>
      <c r="L32" s="10"/>
      <c r="O32" s="215"/>
      <c r="Q32" s="214"/>
      <c r="V32" s="2" t="str">
        <f t="shared" si="0"/>
        <v/>
      </c>
      <c r="W32" s="216" t="str">
        <f t="shared" si="1"/>
        <v/>
      </c>
      <c r="CL32" s="57" t="str">
        <f t="shared" si="2"/>
        <v/>
      </c>
      <c r="CZ32" s="55" t="str">
        <f t="shared" si="4"/>
        <v/>
      </c>
      <c r="DA32" s="55" t="str">
        <f t="shared" si="3"/>
        <v/>
      </c>
    </row>
    <row r="33" spans="1:105" x14ac:dyDescent="0.3">
      <c r="A33" s="2" t="str">
        <f>IF(B33="","",B33&amp;"-"&amp;COUNTIF($B$2:B33,B33))</f>
        <v/>
      </c>
      <c r="C33" s="2" t="str">
        <f>IF(F33="","",F33&amp;"-"&amp;COUNTIF(F$2:$H33,F33))</f>
        <v/>
      </c>
      <c r="D33" s="2" t="str">
        <f>IF(G33="","",G33&amp;"-"&amp;COUNTIF(G$2:$H33,G33))</f>
        <v/>
      </c>
      <c r="E33" s="2" t="str">
        <f>IF(H33="","",H33&amp;"-"&amp;COUNTIF($H$2:H33,H33))</f>
        <v/>
      </c>
      <c r="I33" s="2" t="str">
        <f>IF(Q33="","",COUNTA($Q$2:Q33))</f>
        <v/>
      </c>
      <c r="K33" s="10"/>
      <c r="L33" s="10"/>
      <c r="O33" s="215"/>
      <c r="Q33" s="214"/>
      <c r="V33" s="2" t="str">
        <f t="shared" si="0"/>
        <v/>
      </c>
      <c r="W33" s="216" t="str">
        <f t="shared" si="1"/>
        <v/>
      </c>
      <c r="CL33" s="57" t="str">
        <f t="shared" si="2"/>
        <v/>
      </c>
      <c r="CZ33" s="55" t="str">
        <f t="shared" si="4"/>
        <v/>
      </c>
      <c r="DA33" s="55" t="str">
        <f t="shared" si="3"/>
        <v/>
      </c>
    </row>
    <row r="34" spans="1:105" x14ac:dyDescent="0.3">
      <c r="A34" s="2" t="str">
        <f>IF(B34="","",B34&amp;"-"&amp;COUNTIF($B$2:B34,B34))</f>
        <v/>
      </c>
      <c r="C34" s="2" t="str">
        <f>IF(F34="","",F34&amp;"-"&amp;COUNTIF(F$2:$H34,F34))</f>
        <v/>
      </c>
      <c r="D34" s="2" t="str">
        <f>IF(G34="","",G34&amp;"-"&amp;COUNTIF(G$2:$H34,G34))</f>
        <v/>
      </c>
      <c r="E34" s="2" t="str">
        <f>IF(H34="","",H34&amp;"-"&amp;COUNTIF($H$2:H34,H34))</f>
        <v/>
      </c>
      <c r="I34" s="2" t="str">
        <f>IF(Q34="","",COUNTA($Q$2:Q34))</f>
        <v/>
      </c>
      <c r="K34" s="10"/>
      <c r="L34" s="10"/>
      <c r="O34" s="215"/>
      <c r="Q34" s="214"/>
      <c r="V34" s="2" t="str">
        <f t="shared" si="0"/>
        <v/>
      </c>
      <c r="W34" s="216" t="str">
        <f t="shared" si="1"/>
        <v/>
      </c>
      <c r="CL34" s="57" t="str">
        <f t="shared" si="2"/>
        <v/>
      </c>
      <c r="CZ34" s="55" t="str">
        <f t="shared" si="4"/>
        <v/>
      </c>
      <c r="DA34" s="55" t="str">
        <f t="shared" si="3"/>
        <v/>
      </c>
    </row>
    <row r="35" spans="1:105" x14ac:dyDescent="0.3">
      <c r="A35" s="2" t="str">
        <f>IF(B35="","",B35&amp;"-"&amp;COUNTIF($B$2:B35,B35))</f>
        <v/>
      </c>
      <c r="C35" s="2" t="str">
        <f>IF(F35="","",F35&amp;"-"&amp;COUNTIF(F$2:$H35,F35))</f>
        <v/>
      </c>
      <c r="D35" s="2" t="str">
        <f>IF(G35="","",G35&amp;"-"&amp;COUNTIF(G$2:$H35,G35))</f>
        <v/>
      </c>
      <c r="E35" s="2" t="str">
        <f>IF(H35="","",H35&amp;"-"&amp;COUNTIF($H$2:H35,H35))</f>
        <v/>
      </c>
      <c r="I35" s="2" t="str">
        <f>IF(Q35="","",COUNTA($Q$2:Q35))</f>
        <v/>
      </c>
      <c r="J35" s="283"/>
      <c r="K35" s="10"/>
      <c r="L35" s="10"/>
      <c r="O35" s="215"/>
      <c r="Q35" s="214"/>
      <c r="V35" s="2" t="str">
        <f t="shared" si="0"/>
        <v/>
      </c>
      <c r="W35" s="216" t="str">
        <f t="shared" si="1"/>
        <v/>
      </c>
      <c r="CL35" s="57" t="str">
        <f t="shared" si="2"/>
        <v/>
      </c>
      <c r="CZ35" s="55" t="str">
        <f t="shared" si="4"/>
        <v/>
      </c>
      <c r="DA35" s="55" t="str">
        <f t="shared" si="3"/>
        <v/>
      </c>
    </row>
    <row r="36" spans="1:105" x14ac:dyDescent="0.3">
      <c r="A36" s="2" t="str">
        <f>IF(B36="","",B36&amp;"-"&amp;COUNTIF($B$2:B36,B36))</f>
        <v/>
      </c>
      <c r="C36" s="2" t="str">
        <f>IF(F36="","",F36&amp;"-"&amp;COUNTIF(F$2:$H36,F36))</f>
        <v/>
      </c>
      <c r="D36" s="2" t="str">
        <f>IF(G36="","",G36&amp;"-"&amp;COUNTIF(G$2:$H36,G36))</f>
        <v/>
      </c>
      <c r="E36" s="2" t="str">
        <f>IF(H36="","",H36&amp;"-"&amp;COUNTIF($H$2:H36,H36))</f>
        <v/>
      </c>
      <c r="I36" s="2" t="str">
        <f>IF(Q36="","",COUNTA($Q$2:Q36))</f>
        <v/>
      </c>
      <c r="J36" s="283"/>
      <c r="K36" s="10"/>
      <c r="L36" s="10"/>
      <c r="O36" s="215"/>
      <c r="Q36" s="214"/>
      <c r="V36" s="2" t="str">
        <f t="shared" si="0"/>
        <v/>
      </c>
      <c r="W36" s="216" t="str">
        <f t="shared" si="1"/>
        <v/>
      </c>
      <c r="CL36" s="57" t="str">
        <f t="shared" si="2"/>
        <v/>
      </c>
      <c r="CZ36" s="55" t="str">
        <f t="shared" si="4"/>
        <v/>
      </c>
      <c r="DA36" s="55" t="str">
        <f t="shared" si="3"/>
        <v/>
      </c>
    </row>
    <row r="37" spans="1:105" x14ac:dyDescent="0.3">
      <c r="A37" s="2" t="str">
        <f>IF(B37="","",B37&amp;"-"&amp;COUNTIF($B$2:B37,B37))</f>
        <v/>
      </c>
      <c r="C37" s="2" t="str">
        <f>IF(F37="","",F37&amp;"-"&amp;COUNTIF(F$2:$H37,F37))</f>
        <v/>
      </c>
      <c r="D37" s="2" t="str">
        <f>IF(G37="","",G37&amp;"-"&amp;COUNTIF(G$2:$H37,G37))</f>
        <v/>
      </c>
      <c r="E37" s="2" t="str">
        <f>IF(H37="","",H37&amp;"-"&amp;COUNTIF($H$2:H37,H37))</f>
        <v/>
      </c>
      <c r="I37" s="2" t="str">
        <f>IF(Q37="","",COUNTA($Q$2:Q37))</f>
        <v/>
      </c>
      <c r="J37" s="283"/>
      <c r="K37" s="10"/>
      <c r="L37" s="10"/>
      <c r="O37" s="215"/>
      <c r="Q37" s="214"/>
      <c r="V37" s="2" t="str">
        <f t="shared" si="0"/>
        <v/>
      </c>
      <c r="W37" s="216" t="str">
        <f t="shared" si="1"/>
        <v/>
      </c>
      <c r="CL37" s="57" t="str">
        <f t="shared" si="2"/>
        <v/>
      </c>
      <c r="CZ37" s="55" t="str">
        <f t="shared" si="4"/>
        <v/>
      </c>
      <c r="DA37" s="55" t="str">
        <f t="shared" si="3"/>
        <v/>
      </c>
    </row>
    <row r="38" spans="1:105" x14ac:dyDescent="0.3">
      <c r="A38" s="2" t="str">
        <f>IF(B38="","",B38&amp;"-"&amp;COUNTIF($B$2:B38,B38))</f>
        <v/>
      </c>
      <c r="C38" s="2" t="str">
        <f>IF(F38="","",F38&amp;"-"&amp;COUNTIF(F$2:$H38,F38))</f>
        <v/>
      </c>
      <c r="D38" s="2" t="str">
        <f>IF(G38="","",G38&amp;"-"&amp;COUNTIF(G$2:$H38,G38))</f>
        <v/>
      </c>
      <c r="E38" s="2" t="str">
        <f>IF(H38="","",H38&amp;"-"&amp;COUNTIF($H$2:H38,H38))</f>
        <v/>
      </c>
      <c r="I38" s="2" t="str">
        <f>IF(Q38="","",COUNTA($Q$2:Q38))</f>
        <v/>
      </c>
      <c r="J38" s="283"/>
      <c r="K38" s="10"/>
      <c r="L38" s="10"/>
      <c r="O38" s="215"/>
      <c r="Q38" s="214"/>
      <c r="V38" s="2" t="str">
        <f t="shared" si="0"/>
        <v/>
      </c>
      <c r="W38" s="216" t="str">
        <f t="shared" si="1"/>
        <v/>
      </c>
      <c r="CL38" s="57" t="str">
        <f t="shared" si="2"/>
        <v/>
      </c>
      <c r="CZ38" s="55" t="str">
        <f t="shared" si="4"/>
        <v/>
      </c>
      <c r="DA38" s="55" t="str">
        <f t="shared" si="3"/>
        <v/>
      </c>
    </row>
    <row r="39" spans="1:105" x14ac:dyDescent="0.3">
      <c r="A39" s="2" t="str">
        <f>IF(B39="","",B39&amp;"-"&amp;COUNTIF($B$2:B39,B39))</f>
        <v/>
      </c>
      <c r="C39" s="2" t="str">
        <f>IF(F39="","",F39&amp;"-"&amp;COUNTIF(F$2:$H39,F39))</f>
        <v/>
      </c>
      <c r="D39" s="2" t="str">
        <f>IF(G39="","",G39&amp;"-"&amp;COUNTIF(G$2:$H39,G39))</f>
        <v/>
      </c>
      <c r="E39" s="2" t="str">
        <f>IF(H39="","",H39&amp;"-"&amp;COUNTIF($H$2:H39,H39))</f>
        <v/>
      </c>
      <c r="I39" s="2" t="str">
        <f>IF(Q39="","",COUNTA($Q$2:Q39))</f>
        <v/>
      </c>
      <c r="J39" s="283"/>
      <c r="K39" s="10"/>
      <c r="L39" s="10"/>
      <c r="O39" s="215"/>
      <c r="Q39" s="214"/>
      <c r="V39" s="2" t="str">
        <f t="shared" si="0"/>
        <v/>
      </c>
      <c r="W39" s="216" t="str">
        <f t="shared" si="1"/>
        <v/>
      </c>
      <c r="CL39" s="57" t="str">
        <f t="shared" si="2"/>
        <v/>
      </c>
      <c r="CZ39" s="55" t="str">
        <f t="shared" si="4"/>
        <v/>
      </c>
      <c r="DA39" s="55" t="str">
        <f t="shared" si="3"/>
        <v/>
      </c>
    </row>
    <row r="40" spans="1:105" x14ac:dyDescent="0.3">
      <c r="A40" s="2" t="str">
        <f>IF(B40="","",B40&amp;"-"&amp;COUNTIF($B$2:B40,B40))</f>
        <v/>
      </c>
      <c r="C40" s="2" t="str">
        <f>IF(F40="","",F40&amp;"-"&amp;COUNTIF(F$2:$H40,F40))</f>
        <v/>
      </c>
      <c r="D40" s="2" t="str">
        <f>IF(G40="","",G40&amp;"-"&amp;COUNTIF(G$2:$H40,G40))</f>
        <v/>
      </c>
      <c r="E40" s="2" t="str">
        <f>IF(H40="","",H40&amp;"-"&amp;COUNTIF($H$2:H40,H40))</f>
        <v/>
      </c>
      <c r="I40" s="2" t="str">
        <f>IF(Q40="","",COUNTA($Q$2:Q40))</f>
        <v/>
      </c>
      <c r="J40" s="283"/>
      <c r="K40" s="10"/>
      <c r="L40" s="10"/>
      <c r="O40" s="215"/>
      <c r="Q40" s="214"/>
      <c r="V40" s="2" t="str">
        <f t="shared" si="0"/>
        <v/>
      </c>
      <c r="W40" s="216" t="str">
        <f t="shared" si="1"/>
        <v/>
      </c>
      <c r="CL40" s="57" t="str">
        <f t="shared" si="2"/>
        <v/>
      </c>
      <c r="CZ40" s="55" t="str">
        <f t="shared" si="4"/>
        <v/>
      </c>
      <c r="DA40" s="55" t="str">
        <f t="shared" si="3"/>
        <v/>
      </c>
    </row>
    <row r="41" spans="1:105" x14ac:dyDescent="0.3">
      <c r="A41" s="2" t="str">
        <f>IF(B41="","",B41&amp;"-"&amp;COUNTIF($B$2:B41,B41))</f>
        <v/>
      </c>
      <c r="C41" s="2" t="str">
        <f>IF(F41="","",F41&amp;"-"&amp;COUNTIF(F$2:$H41,F41))</f>
        <v/>
      </c>
      <c r="D41" s="2" t="str">
        <f>IF(G41="","",G41&amp;"-"&amp;COUNTIF(G$2:$H41,G41))</f>
        <v/>
      </c>
      <c r="E41" s="2" t="str">
        <f>IF(H41="","",H41&amp;"-"&amp;COUNTIF($H$2:H41,H41))</f>
        <v/>
      </c>
      <c r="I41" s="2" t="str">
        <f>IF(Q41="","",COUNTA($Q$2:Q41))</f>
        <v/>
      </c>
      <c r="J41" s="283"/>
      <c r="K41" s="10"/>
      <c r="L41" s="10"/>
      <c r="O41" s="215"/>
      <c r="Q41" s="214"/>
      <c r="V41" s="2" t="str">
        <f t="shared" si="0"/>
        <v/>
      </c>
      <c r="W41" s="216" t="str">
        <f t="shared" si="1"/>
        <v/>
      </c>
      <c r="CL41" s="57" t="str">
        <f t="shared" si="2"/>
        <v/>
      </c>
      <c r="CZ41" s="55" t="str">
        <f t="shared" si="4"/>
        <v/>
      </c>
      <c r="DA41" s="55" t="str">
        <f t="shared" si="3"/>
        <v/>
      </c>
    </row>
    <row r="42" spans="1:105" x14ac:dyDescent="0.3">
      <c r="A42" s="2" t="str">
        <f>IF(B42="","",B42&amp;"-"&amp;COUNTIF($B$2:B42,B42))</f>
        <v/>
      </c>
      <c r="C42" s="2" t="str">
        <f>IF(F42="","",F42&amp;"-"&amp;COUNTIF(F$2:$H42,F42))</f>
        <v/>
      </c>
      <c r="D42" s="2" t="str">
        <f>IF(G42="","",G42&amp;"-"&amp;COUNTIF(G$2:$H42,G42))</f>
        <v/>
      </c>
      <c r="E42" s="2" t="str">
        <f>IF(H42="","",H42&amp;"-"&amp;COUNTIF($H$2:H42,H42))</f>
        <v/>
      </c>
      <c r="I42" s="2" t="str">
        <f>IF(Q42="","",COUNTA($Q$2:Q42))</f>
        <v/>
      </c>
      <c r="J42" s="283"/>
      <c r="K42" s="10"/>
      <c r="L42" s="10"/>
      <c r="O42" s="215"/>
      <c r="Q42" s="214"/>
      <c r="V42" s="2" t="str">
        <f t="shared" si="0"/>
        <v/>
      </c>
      <c r="W42" s="216" t="str">
        <f t="shared" si="1"/>
        <v/>
      </c>
      <c r="CL42" s="57" t="str">
        <f t="shared" si="2"/>
        <v/>
      </c>
      <c r="CZ42" s="55" t="str">
        <f t="shared" si="4"/>
        <v/>
      </c>
      <c r="DA42" s="55" t="str">
        <f t="shared" si="3"/>
        <v/>
      </c>
    </row>
    <row r="43" spans="1:105" x14ac:dyDescent="0.3">
      <c r="A43" s="2" t="str">
        <f>IF(B43="","",B43&amp;"-"&amp;COUNTIF($B$2:B43,B43))</f>
        <v/>
      </c>
      <c r="C43" s="2" t="str">
        <f>IF(F43="","",F43&amp;"-"&amp;COUNTIF(F$2:$H43,F43))</f>
        <v/>
      </c>
      <c r="D43" s="2" t="str">
        <f>IF(G43="","",G43&amp;"-"&amp;COUNTIF(G$2:$H43,G43))</f>
        <v/>
      </c>
      <c r="E43" s="2" t="str">
        <f>IF(H43="","",H43&amp;"-"&amp;COUNTIF($H$2:H43,H43))</f>
        <v/>
      </c>
      <c r="I43" s="2" t="str">
        <f>IF(Q43="","",COUNTA($Q$2:Q43))</f>
        <v/>
      </c>
      <c r="J43" s="283"/>
      <c r="K43" s="10"/>
      <c r="L43" s="10"/>
      <c r="O43" s="215"/>
      <c r="Q43" s="214"/>
      <c r="V43" s="2" t="str">
        <f t="shared" si="0"/>
        <v/>
      </c>
      <c r="W43" s="216" t="str">
        <f t="shared" si="1"/>
        <v/>
      </c>
      <c r="CL43" s="57" t="str">
        <f t="shared" si="2"/>
        <v/>
      </c>
      <c r="CZ43" s="55" t="str">
        <f t="shared" si="4"/>
        <v/>
      </c>
      <c r="DA43" s="55" t="str">
        <f t="shared" si="3"/>
        <v/>
      </c>
    </row>
    <row r="44" spans="1:105" x14ac:dyDescent="0.3">
      <c r="A44" s="2" t="str">
        <f>IF(B44="","",B44&amp;"-"&amp;COUNTIF($B$2:B44,B44))</f>
        <v/>
      </c>
      <c r="C44" s="2" t="str">
        <f>IF(F44="","",F44&amp;"-"&amp;COUNTIF(F$2:$H44,F44))</f>
        <v/>
      </c>
      <c r="D44" s="2" t="str">
        <f>IF(G44="","",G44&amp;"-"&amp;COUNTIF(G$2:$H44,G44))</f>
        <v/>
      </c>
      <c r="E44" s="2" t="str">
        <f>IF(H44="","",H44&amp;"-"&amp;COUNTIF($H$2:H44,H44))</f>
        <v/>
      </c>
      <c r="I44" s="2" t="str">
        <f>IF(Q44="","",COUNTA($Q$2:Q44))</f>
        <v/>
      </c>
      <c r="J44" s="283"/>
      <c r="K44" s="10"/>
      <c r="L44" s="10"/>
      <c r="O44" s="215"/>
      <c r="Q44" s="214"/>
      <c r="V44" s="2" t="str">
        <f t="shared" si="0"/>
        <v/>
      </c>
      <c r="W44" s="216" t="str">
        <f t="shared" si="1"/>
        <v/>
      </c>
      <c r="CL44" s="57" t="str">
        <f t="shared" si="2"/>
        <v/>
      </c>
      <c r="CZ44" s="55" t="str">
        <f t="shared" si="4"/>
        <v/>
      </c>
      <c r="DA44" s="55" t="str">
        <f t="shared" si="3"/>
        <v/>
      </c>
    </row>
    <row r="45" spans="1:105" x14ac:dyDescent="0.3">
      <c r="A45" s="2" t="str">
        <f>IF(B45="","",B45&amp;"-"&amp;COUNTIF($B$2:B45,B45))</f>
        <v/>
      </c>
      <c r="C45" s="2" t="str">
        <f>IF(F45="","",F45&amp;"-"&amp;COUNTIF(F$2:$H45,F45))</f>
        <v/>
      </c>
      <c r="D45" s="2" t="str">
        <f>IF(G45="","",G45&amp;"-"&amp;COUNTIF(G$2:$H45,G45))</f>
        <v/>
      </c>
      <c r="E45" s="2" t="str">
        <f>IF(H45="","",H45&amp;"-"&amp;COUNTIF($H$2:H45,H45))</f>
        <v/>
      </c>
      <c r="I45" s="2" t="str">
        <f>IF(Q45="","",COUNTA($Q$2:Q45))</f>
        <v/>
      </c>
      <c r="J45" s="283"/>
      <c r="K45" s="10"/>
      <c r="L45" s="10"/>
      <c r="O45" s="215"/>
      <c r="Q45" s="214"/>
      <c r="V45" s="2" t="str">
        <f t="shared" si="0"/>
        <v/>
      </c>
      <c r="W45" s="216" t="str">
        <f t="shared" si="1"/>
        <v/>
      </c>
      <c r="CL45" s="57" t="str">
        <f t="shared" si="2"/>
        <v/>
      </c>
      <c r="CZ45" s="55" t="str">
        <f t="shared" si="4"/>
        <v/>
      </c>
      <c r="DA45" s="55" t="str">
        <f t="shared" si="3"/>
        <v/>
      </c>
    </row>
    <row r="46" spans="1:105" x14ac:dyDescent="0.3">
      <c r="A46" s="2" t="str">
        <f>IF(B46="","",B46&amp;"-"&amp;COUNTIF($B$2:B46,B46))</f>
        <v/>
      </c>
      <c r="C46" s="2" t="str">
        <f>IF(F46="","",F46&amp;"-"&amp;COUNTIF(F$2:$H46,F46))</f>
        <v/>
      </c>
      <c r="D46" s="2" t="str">
        <f>IF(G46="","",G46&amp;"-"&amp;COUNTIF(G$2:$H46,G46))</f>
        <v/>
      </c>
      <c r="E46" s="2" t="str">
        <f>IF(H46="","",H46&amp;"-"&amp;COUNTIF($H$2:H46,H46))</f>
        <v/>
      </c>
      <c r="I46" s="2" t="str">
        <f>IF(Q46="","",COUNTA($Q$2:Q46))</f>
        <v/>
      </c>
      <c r="J46" s="283"/>
      <c r="K46" s="10"/>
      <c r="L46" s="10"/>
      <c r="O46" s="215"/>
      <c r="Q46" s="214"/>
      <c r="V46" s="2" t="str">
        <f t="shared" si="0"/>
        <v/>
      </c>
      <c r="W46" s="216" t="str">
        <f t="shared" si="1"/>
        <v/>
      </c>
      <c r="CL46" s="57" t="str">
        <f t="shared" si="2"/>
        <v/>
      </c>
      <c r="CZ46" s="55" t="str">
        <f t="shared" si="4"/>
        <v/>
      </c>
      <c r="DA46" s="55" t="str">
        <f t="shared" si="3"/>
        <v/>
      </c>
    </row>
    <row r="47" spans="1:105" x14ac:dyDescent="0.3">
      <c r="A47" s="2" t="str">
        <f>IF(B47="","",B47&amp;"-"&amp;COUNTIF($B$2:B47,B47))</f>
        <v/>
      </c>
      <c r="C47" s="2" t="str">
        <f>IF(F47="","",F47&amp;"-"&amp;COUNTIF(F$2:$H47,F47))</f>
        <v/>
      </c>
      <c r="D47" s="2" t="str">
        <f>IF(G47="","",G47&amp;"-"&amp;COUNTIF(G$2:$H47,G47))</f>
        <v/>
      </c>
      <c r="E47" s="2" t="str">
        <f>IF(H47="","",H47&amp;"-"&amp;COUNTIF($H$2:H47,H47))</f>
        <v/>
      </c>
      <c r="I47" s="2" t="str">
        <f>IF(Q47="","",COUNTA($Q$2:Q47))</f>
        <v/>
      </c>
      <c r="J47" s="283"/>
      <c r="K47" s="10"/>
      <c r="L47" s="10"/>
      <c r="O47" s="215"/>
      <c r="Q47" s="214"/>
      <c r="V47" s="2" t="str">
        <f t="shared" si="0"/>
        <v/>
      </c>
      <c r="W47" s="216" t="str">
        <f t="shared" si="1"/>
        <v/>
      </c>
      <c r="CL47" s="57" t="str">
        <f t="shared" si="2"/>
        <v/>
      </c>
      <c r="CZ47" s="55" t="str">
        <f t="shared" si="4"/>
        <v/>
      </c>
      <c r="DA47" s="55" t="str">
        <f t="shared" si="3"/>
        <v/>
      </c>
    </row>
    <row r="48" spans="1:105" x14ac:dyDescent="0.3">
      <c r="A48" s="2" t="str">
        <f>IF(B48="","",B48&amp;"-"&amp;COUNTIF($B$2:B48,B48))</f>
        <v/>
      </c>
      <c r="C48" s="2" t="str">
        <f>IF(F48="","",F48&amp;"-"&amp;COUNTIF(F$2:$H48,F48))</f>
        <v/>
      </c>
      <c r="D48" s="2" t="str">
        <f>IF(G48="","",G48&amp;"-"&amp;COUNTIF(G$2:$H48,G48))</f>
        <v/>
      </c>
      <c r="E48" s="2" t="str">
        <f>IF(H48="","",H48&amp;"-"&amp;COUNTIF($H$2:H48,H48))</f>
        <v/>
      </c>
      <c r="I48" s="2" t="str">
        <f>IF(Q48="","",COUNTA($Q$2:Q48))</f>
        <v/>
      </c>
      <c r="J48" s="283"/>
      <c r="K48" s="10"/>
      <c r="L48" s="10"/>
      <c r="O48" s="215"/>
      <c r="Q48" s="214"/>
      <c r="V48" s="2" t="str">
        <f t="shared" si="0"/>
        <v/>
      </c>
      <c r="W48" s="216" t="str">
        <f t="shared" si="1"/>
        <v/>
      </c>
      <c r="CL48" s="57" t="str">
        <f t="shared" si="2"/>
        <v/>
      </c>
      <c r="CZ48" s="55" t="str">
        <f t="shared" si="4"/>
        <v/>
      </c>
      <c r="DA48" s="55" t="str">
        <f t="shared" si="3"/>
        <v/>
      </c>
    </row>
    <row r="49" spans="1:105" x14ac:dyDescent="0.3">
      <c r="A49" s="2" t="str">
        <f>IF(B49="","",B49&amp;"-"&amp;COUNTIF($B$2:B49,B49))</f>
        <v/>
      </c>
      <c r="C49" s="2" t="str">
        <f>IF(F49="","",F49&amp;"-"&amp;COUNTIF(F$2:$H49,F49))</f>
        <v/>
      </c>
      <c r="D49" s="2" t="str">
        <f>IF(G49="","",G49&amp;"-"&amp;COUNTIF(G$2:$H49,G49))</f>
        <v/>
      </c>
      <c r="E49" s="2" t="str">
        <f>IF(H49="","",H49&amp;"-"&amp;COUNTIF($H$2:H49,H49))</f>
        <v/>
      </c>
      <c r="I49" s="2" t="str">
        <f>IF(Q49="","",COUNTA($Q$2:Q49))</f>
        <v/>
      </c>
      <c r="J49" s="283"/>
      <c r="K49" s="10"/>
      <c r="L49" s="10"/>
      <c r="O49" s="215"/>
      <c r="Q49" s="214"/>
      <c r="V49" s="2" t="str">
        <f t="shared" si="0"/>
        <v/>
      </c>
      <c r="W49" s="216" t="str">
        <f t="shared" si="1"/>
        <v/>
      </c>
      <c r="CL49" s="57" t="str">
        <f t="shared" si="2"/>
        <v/>
      </c>
      <c r="CZ49" s="55" t="str">
        <f t="shared" si="4"/>
        <v/>
      </c>
      <c r="DA49" s="55" t="str">
        <f t="shared" si="3"/>
        <v/>
      </c>
    </row>
    <row r="50" spans="1:105" x14ac:dyDescent="0.3">
      <c r="A50" s="2" t="str">
        <f>IF(B50="","",B50&amp;"-"&amp;COUNTIF($B$2:B50,B50))</f>
        <v/>
      </c>
      <c r="C50" s="2" t="str">
        <f>IF(F50="","",F50&amp;"-"&amp;COUNTIF(F$2:$H50,F50))</f>
        <v/>
      </c>
      <c r="D50" s="2" t="str">
        <f>IF(G50="","",G50&amp;"-"&amp;COUNTIF(G$2:$H50,G50))</f>
        <v/>
      </c>
      <c r="E50" s="2" t="str">
        <f>IF(H50="","",H50&amp;"-"&amp;COUNTIF($H$2:H50,H50))</f>
        <v/>
      </c>
      <c r="I50" s="2" t="str">
        <f>IF(Q50="","",COUNTA($Q$2:Q50))</f>
        <v/>
      </c>
      <c r="J50" s="283"/>
      <c r="K50" s="10"/>
      <c r="L50" s="10"/>
      <c r="O50" s="215"/>
      <c r="Q50" s="214"/>
      <c r="V50" s="2" t="str">
        <f t="shared" si="0"/>
        <v/>
      </c>
      <c r="W50" s="216" t="str">
        <f t="shared" si="1"/>
        <v/>
      </c>
      <c r="CL50" s="57" t="str">
        <f t="shared" si="2"/>
        <v/>
      </c>
      <c r="CZ50" s="55" t="str">
        <f t="shared" si="4"/>
        <v/>
      </c>
      <c r="DA50" s="55" t="str">
        <f t="shared" si="3"/>
        <v/>
      </c>
    </row>
    <row r="51" spans="1:105" x14ac:dyDescent="0.3">
      <c r="A51" s="2" t="str">
        <f>IF(B51="","",B51&amp;"-"&amp;COUNTIF($B$2:B51,B51))</f>
        <v/>
      </c>
      <c r="C51" s="2" t="str">
        <f>IF(F51="","",F51&amp;"-"&amp;COUNTIF(F$2:$H51,F51))</f>
        <v/>
      </c>
      <c r="D51" s="2" t="str">
        <f>IF(G51="","",G51&amp;"-"&amp;COUNTIF(G$2:$H51,G51))</f>
        <v/>
      </c>
      <c r="E51" s="2" t="str">
        <f>IF(H51="","",H51&amp;"-"&amp;COUNTIF($H$2:H51,H51))</f>
        <v/>
      </c>
      <c r="I51" s="2" t="str">
        <f>IF(Q51="","",COUNTA($Q$2:Q51))</f>
        <v/>
      </c>
      <c r="J51" s="283"/>
      <c r="K51" s="10"/>
      <c r="L51" s="10"/>
      <c r="O51" s="215"/>
      <c r="Q51" s="214"/>
      <c r="V51" s="2" t="str">
        <f t="shared" si="0"/>
        <v/>
      </c>
      <c r="W51" s="216" t="str">
        <f t="shared" si="1"/>
        <v/>
      </c>
      <c r="CL51" s="57" t="str">
        <f t="shared" si="2"/>
        <v/>
      </c>
      <c r="CZ51" s="55" t="str">
        <f t="shared" si="4"/>
        <v/>
      </c>
      <c r="DA51" s="55" t="str">
        <f t="shared" si="3"/>
        <v/>
      </c>
    </row>
    <row r="52" spans="1:105" x14ac:dyDescent="0.3">
      <c r="A52" s="2" t="str">
        <f>IF(B52="","",B52&amp;"-"&amp;COUNTIF($B$2:B52,B52))</f>
        <v/>
      </c>
      <c r="C52" s="2" t="str">
        <f>IF(F52="","",F52&amp;"-"&amp;COUNTIF(F$2:$H52,F52))</f>
        <v/>
      </c>
      <c r="D52" s="2" t="str">
        <f>IF(G52="","",G52&amp;"-"&amp;COUNTIF(G$2:$H52,G52))</f>
        <v/>
      </c>
      <c r="E52" s="2" t="str">
        <f>IF(H52="","",H52&amp;"-"&amp;COUNTIF($H$2:H52,H52))</f>
        <v/>
      </c>
      <c r="I52" s="2" t="str">
        <f>IF(Q52="","",COUNTA($Q$2:Q52))</f>
        <v/>
      </c>
      <c r="J52" s="283"/>
      <c r="K52" s="10"/>
      <c r="L52" s="10"/>
      <c r="O52" s="215"/>
      <c r="Q52" s="214"/>
      <c r="V52" s="2" t="str">
        <f t="shared" si="0"/>
        <v/>
      </c>
      <c r="W52" s="216" t="str">
        <f t="shared" si="1"/>
        <v/>
      </c>
      <c r="CL52" s="57" t="str">
        <f t="shared" si="2"/>
        <v/>
      </c>
      <c r="CZ52" s="55" t="str">
        <f t="shared" si="4"/>
        <v/>
      </c>
      <c r="DA52" s="55" t="str">
        <f t="shared" si="3"/>
        <v/>
      </c>
    </row>
    <row r="53" spans="1:105" x14ac:dyDescent="0.3">
      <c r="A53" s="2" t="str">
        <f>IF(B53="","",B53&amp;"-"&amp;COUNTIF($B$2:B53,B53))</f>
        <v/>
      </c>
      <c r="C53" s="2" t="str">
        <f>IF(F53="","",F53&amp;"-"&amp;COUNTIF(F$2:$H53,F53))</f>
        <v/>
      </c>
      <c r="D53" s="2" t="str">
        <f>IF(G53="","",G53&amp;"-"&amp;COUNTIF(G$2:$H53,G53))</f>
        <v/>
      </c>
      <c r="E53" s="2" t="str">
        <f>IF(H53="","",H53&amp;"-"&amp;COUNTIF($H$2:H53,H53))</f>
        <v/>
      </c>
      <c r="I53" s="2" t="str">
        <f>IF(Q53="","",COUNTA($Q$2:Q53))</f>
        <v/>
      </c>
      <c r="J53" s="283"/>
      <c r="K53" s="10"/>
      <c r="L53" s="10"/>
      <c r="O53" s="215"/>
      <c r="Q53" s="214"/>
      <c r="V53" s="2" t="str">
        <f t="shared" si="0"/>
        <v/>
      </c>
      <c r="W53" s="216" t="str">
        <f t="shared" si="1"/>
        <v/>
      </c>
      <c r="CL53" s="57" t="str">
        <f t="shared" si="2"/>
        <v/>
      </c>
      <c r="CZ53" s="55" t="str">
        <f t="shared" si="4"/>
        <v/>
      </c>
      <c r="DA53" s="55" t="str">
        <f t="shared" si="3"/>
        <v/>
      </c>
    </row>
    <row r="54" spans="1:105" x14ac:dyDescent="0.3">
      <c r="A54" s="2" t="str">
        <f>IF(B54="","",B54&amp;"-"&amp;COUNTIF($B$2:B54,B54))</f>
        <v/>
      </c>
      <c r="C54" s="2" t="str">
        <f>IF(F54="","",F54&amp;"-"&amp;COUNTIF(F$2:$H54,F54))</f>
        <v/>
      </c>
      <c r="D54" s="2" t="str">
        <f>IF(G54="","",G54&amp;"-"&amp;COUNTIF(G$2:$H54,G54))</f>
        <v/>
      </c>
      <c r="E54" s="2" t="str">
        <f>IF(H54="","",H54&amp;"-"&amp;COUNTIF($H$2:H54,H54))</f>
        <v/>
      </c>
      <c r="I54" s="2" t="str">
        <f>IF(Q54="","",COUNTA($Q$2:Q54))</f>
        <v/>
      </c>
      <c r="J54" s="283"/>
      <c r="K54" s="10"/>
      <c r="L54" s="10"/>
      <c r="O54" s="215"/>
      <c r="Q54" s="214"/>
      <c r="V54" s="2" t="str">
        <f t="shared" si="0"/>
        <v/>
      </c>
      <c r="W54" s="216" t="str">
        <f t="shared" si="1"/>
        <v/>
      </c>
      <c r="CL54" s="57" t="str">
        <f t="shared" si="2"/>
        <v/>
      </c>
      <c r="CZ54" s="55" t="str">
        <f t="shared" si="4"/>
        <v/>
      </c>
      <c r="DA54" s="55" t="str">
        <f t="shared" si="3"/>
        <v/>
      </c>
    </row>
    <row r="55" spans="1:105" x14ac:dyDescent="0.3">
      <c r="A55" s="2" t="str">
        <f>IF(B55="","",B55&amp;"-"&amp;COUNTIF($B$2:B55,B55))</f>
        <v/>
      </c>
      <c r="C55" s="2" t="str">
        <f>IF(F55="","",F55&amp;"-"&amp;COUNTIF(F$2:$H55,F55))</f>
        <v/>
      </c>
      <c r="D55" s="2" t="str">
        <f>IF(G55="","",G55&amp;"-"&amp;COUNTIF(G$2:$H55,G55))</f>
        <v/>
      </c>
      <c r="E55" s="2" t="str">
        <f>IF(H55="","",H55&amp;"-"&amp;COUNTIF($H$2:H55,H55))</f>
        <v/>
      </c>
      <c r="I55" s="2" t="str">
        <f>IF(Q55="","",COUNTA($Q$2:Q55))</f>
        <v/>
      </c>
      <c r="J55" s="283"/>
      <c r="K55" s="10"/>
      <c r="L55" s="10"/>
      <c r="O55" s="215"/>
      <c r="Q55" s="214"/>
      <c r="V55" s="2" t="str">
        <f t="shared" si="0"/>
        <v/>
      </c>
      <c r="W55" s="216" t="str">
        <f t="shared" si="1"/>
        <v/>
      </c>
      <c r="CL55" s="57" t="str">
        <f t="shared" si="2"/>
        <v/>
      </c>
      <c r="CZ55" s="55" t="str">
        <f t="shared" si="4"/>
        <v/>
      </c>
      <c r="DA55" s="55" t="str">
        <f t="shared" si="3"/>
        <v/>
      </c>
    </row>
    <row r="56" spans="1:105" x14ac:dyDescent="0.3">
      <c r="A56" s="2" t="str">
        <f>IF(B56="","",B56&amp;"-"&amp;COUNTIF($B$2:B56,B56))</f>
        <v/>
      </c>
      <c r="C56" s="2" t="str">
        <f>IF(F56="","",F56&amp;"-"&amp;COUNTIF(F$2:$H56,F56))</f>
        <v/>
      </c>
      <c r="D56" s="2" t="str">
        <f>IF(G56="","",G56&amp;"-"&amp;COUNTIF(G$2:$H56,G56))</f>
        <v/>
      </c>
      <c r="E56" s="2" t="str">
        <f>IF(H56="","",H56&amp;"-"&amp;COUNTIF($H$2:H56,H56))</f>
        <v/>
      </c>
      <c r="I56" s="2" t="str">
        <f>IF(Q56="","",COUNTA($Q$2:Q56))</f>
        <v/>
      </c>
      <c r="J56" s="283"/>
      <c r="K56" s="10"/>
      <c r="L56" s="10"/>
      <c r="O56" s="215"/>
      <c r="Q56" s="214"/>
      <c r="V56" s="2" t="str">
        <f t="shared" si="0"/>
        <v/>
      </c>
      <c r="W56" s="216" t="str">
        <f t="shared" si="1"/>
        <v/>
      </c>
      <c r="CL56" s="57" t="str">
        <f t="shared" si="2"/>
        <v/>
      </c>
      <c r="CZ56" s="55" t="str">
        <f t="shared" si="4"/>
        <v/>
      </c>
      <c r="DA56" s="55" t="str">
        <f t="shared" si="3"/>
        <v/>
      </c>
    </row>
    <row r="57" spans="1:105" x14ac:dyDescent="0.3">
      <c r="A57" s="2" t="str">
        <f>IF(B57="","",B57&amp;"-"&amp;COUNTIF($B$2:B57,B57))</f>
        <v/>
      </c>
      <c r="C57" s="2" t="str">
        <f>IF(F57="","",F57&amp;"-"&amp;COUNTIF(F$2:$H57,F57))</f>
        <v/>
      </c>
      <c r="D57" s="2" t="str">
        <f>IF(G57="","",G57&amp;"-"&amp;COUNTIF(G$2:$H57,G57))</f>
        <v/>
      </c>
      <c r="E57" s="2" t="str">
        <f>IF(H57="","",H57&amp;"-"&amp;COUNTIF($H$2:H57,H57))</f>
        <v/>
      </c>
      <c r="I57" s="2" t="str">
        <f>IF(Q57="","",COUNTA($Q$2:Q57))</f>
        <v/>
      </c>
      <c r="J57" s="283"/>
      <c r="K57" s="10"/>
      <c r="L57" s="10"/>
      <c r="O57" s="215"/>
      <c r="Q57" s="214"/>
      <c r="V57" s="2" t="str">
        <f t="shared" si="0"/>
        <v/>
      </c>
      <c r="W57" s="216" t="str">
        <f t="shared" si="1"/>
        <v/>
      </c>
      <c r="CL57" s="57" t="str">
        <f t="shared" si="2"/>
        <v/>
      </c>
      <c r="CZ57" s="55" t="str">
        <f t="shared" si="4"/>
        <v/>
      </c>
      <c r="DA57" s="55" t="str">
        <f t="shared" si="3"/>
        <v/>
      </c>
    </row>
    <row r="58" spans="1:105" x14ac:dyDescent="0.3">
      <c r="A58" s="2" t="str">
        <f>IF(B58="","",B58&amp;"-"&amp;COUNTIF($B$2:B58,B58))</f>
        <v/>
      </c>
      <c r="C58" s="2" t="str">
        <f>IF(F58="","",F58&amp;"-"&amp;COUNTIF(F$2:$H58,F58))</f>
        <v/>
      </c>
      <c r="D58" s="2" t="str">
        <f>IF(G58="","",G58&amp;"-"&amp;COUNTIF(G$2:$H58,G58))</f>
        <v/>
      </c>
      <c r="E58" s="2" t="str">
        <f>IF(H58="","",H58&amp;"-"&amp;COUNTIF($H$2:H58,H58))</f>
        <v/>
      </c>
      <c r="I58" s="2" t="str">
        <f>IF(Q58="","",COUNTA($Q$2:Q58))</f>
        <v/>
      </c>
      <c r="J58" s="283"/>
      <c r="K58" s="10"/>
      <c r="L58" s="10"/>
      <c r="O58" s="215"/>
      <c r="Q58" s="214"/>
      <c r="V58" s="2" t="str">
        <f t="shared" si="0"/>
        <v/>
      </c>
      <c r="W58" s="216" t="str">
        <f t="shared" si="1"/>
        <v/>
      </c>
      <c r="CL58" s="57" t="str">
        <f t="shared" si="2"/>
        <v/>
      </c>
      <c r="CZ58" s="55" t="str">
        <f t="shared" si="4"/>
        <v/>
      </c>
      <c r="DA58" s="55" t="str">
        <f t="shared" si="3"/>
        <v/>
      </c>
    </row>
    <row r="59" spans="1:105" x14ac:dyDescent="0.3">
      <c r="A59" s="2" t="str">
        <f>IF(B59="","",B59&amp;"-"&amp;COUNTIF($B$2:B59,B59))</f>
        <v/>
      </c>
      <c r="C59" s="2" t="str">
        <f>IF(F59="","",F59&amp;"-"&amp;COUNTIF(F$2:$H59,F59))</f>
        <v/>
      </c>
      <c r="D59" s="2" t="str">
        <f>IF(G59="","",G59&amp;"-"&amp;COUNTIF(G$2:$H59,G59))</f>
        <v/>
      </c>
      <c r="E59" s="2" t="str">
        <f>IF(H59="","",H59&amp;"-"&amp;COUNTIF($H$2:H59,H59))</f>
        <v/>
      </c>
      <c r="I59" s="2" t="str">
        <f>IF(Q59="","",COUNTA($Q$2:Q59))</f>
        <v/>
      </c>
      <c r="J59" s="283"/>
      <c r="K59" s="10"/>
      <c r="L59" s="10"/>
      <c r="O59" s="215"/>
      <c r="Q59" s="214"/>
      <c r="V59" s="2" t="str">
        <f t="shared" si="0"/>
        <v/>
      </c>
      <c r="W59" s="216" t="str">
        <f t="shared" si="1"/>
        <v/>
      </c>
      <c r="CL59" s="57" t="str">
        <f t="shared" si="2"/>
        <v/>
      </c>
      <c r="CZ59" s="55" t="str">
        <f t="shared" si="4"/>
        <v/>
      </c>
      <c r="DA59" s="55" t="str">
        <f t="shared" si="3"/>
        <v/>
      </c>
    </row>
    <row r="60" spans="1:105" x14ac:dyDescent="0.3">
      <c r="A60" s="2" t="str">
        <f>IF(B60="","",B60&amp;"-"&amp;COUNTIF($B$2:B60,B60))</f>
        <v/>
      </c>
      <c r="C60" s="2" t="str">
        <f>IF(F60="","",F60&amp;"-"&amp;COUNTIF(F$2:$H60,F60))</f>
        <v/>
      </c>
      <c r="D60" s="2" t="str">
        <f>IF(G60="","",G60&amp;"-"&amp;COUNTIF(G$2:$H60,G60))</f>
        <v/>
      </c>
      <c r="E60" s="2" t="str">
        <f>IF(H60="","",H60&amp;"-"&amp;COUNTIF($H$2:H60,H60))</f>
        <v/>
      </c>
      <c r="I60" s="2" t="str">
        <f>IF(Q60="","",COUNTA($Q$2:Q60))</f>
        <v/>
      </c>
      <c r="J60" s="283"/>
      <c r="K60" s="10"/>
      <c r="L60" s="10"/>
      <c r="O60" s="215"/>
      <c r="Q60" s="214"/>
      <c r="V60" s="2" t="str">
        <f t="shared" si="0"/>
        <v/>
      </c>
      <c r="W60" s="216" t="str">
        <f t="shared" si="1"/>
        <v/>
      </c>
      <c r="CL60" s="57" t="str">
        <f t="shared" si="2"/>
        <v/>
      </c>
      <c r="CZ60" s="55" t="str">
        <f t="shared" si="4"/>
        <v/>
      </c>
      <c r="DA60" s="55" t="str">
        <f t="shared" si="3"/>
        <v/>
      </c>
    </row>
    <row r="61" spans="1:105" x14ac:dyDescent="0.3">
      <c r="A61" s="2" t="str">
        <f>IF(B61="","",B61&amp;"-"&amp;COUNTIF($B$2:B61,B61))</f>
        <v/>
      </c>
      <c r="C61" s="2" t="str">
        <f>IF(F61="","",F61&amp;"-"&amp;COUNTIF(F$2:$H61,F61))</f>
        <v/>
      </c>
      <c r="D61" s="2" t="str">
        <f>IF(G61="","",G61&amp;"-"&amp;COUNTIF(G$2:$H61,G61))</f>
        <v/>
      </c>
      <c r="E61" s="2" t="str">
        <f>IF(H61="","",H61&amp;"-"&amp;COUNTIF($H$2:H61,H61))</f>
        <v/>
      </c>
      <c r="I61" s="2" t="str">
        <f>IF(Q61="","",COUNTA($Q$2:Q61))</f>
        <v/>
      </c>
      <c r="J61" s="283"/>
      <c r="K61" s="10"/>
      <c r="L61" s="10"/>
      <c r="O61" s="215"/>
      <c r="Q61" s="214"/>
      <c r="V61" s="2" t="str">
        <f t="shared" si="0"/>
        <v/>
      </c>
      <c r="W61" s="216" t="str">
        <f t="shared" si="1"/>
        <v/>
      </c>
      <c r="CL61" s="57" t="str">
        <f t="shared" si="2"/>
        <v/>
      </c>
      <c r="CZ61" s="55" t="str">
        <f t="shared" si="4"/>
        <v/>
      </c>
      <c r="DA61" s="55" t="str">
        <f t="shared" si="3"/>
        <v/>
      </c>
    </row>
    <row r="62" spans="1:105" x14ac:dyDescent="0.3">
      <c r="A62" s="2" t="str">
        <f>IF(B62="","",B62&amp;"-"&amp;COUNTIF($B$2:B62,B62))</f>
        <v/>
      </c>
      <c r="C62" s="2" t="str">
        <f>IF(F62="","",F62&amp;"-"&amp;COUNTIF(F$2:$H62,F62))</f>
        <v/>
      </c>
      <c r="D62" s="2" t="str">
        <f>IF(G62="","",G62&amp;"-"&amp;COUNTIF(G$2:$H62,G62))</f>
        <v/>
      </c>
      <c r="E62" s="2" t="str">
        <f>IF(H62="","",H62&amp;"-"&amp;COUNTIF($H$2:H62,H62))</f>
        <v/>
      </c>
      <c r="I62" s="2" t="str">
        <f>IF(Q62="","",COUNTA($Q$2:Q62))</f>
        <v/>
      </c>
      <c r="J62" s="283"/>
      <c r="K62" s="10"/>
      <c r="L62" s="10"/>
      <c r="O62" s="215"/>
      <c r="Q62" s="214"/>
      <c r="V62" s="2" t="str">
        <f t="shared" si="0"/>
        <v/>
      </c>
      <c r="W62" s="216" t="str">
        <f t="shared" si="1"/>
        <v/>
      </c>
      <c r="CL62" s="57" t="str">
        <f t="shared" si="2"/>
        <v/>
      </c>
      <c r="CZ62" s="55" t="str">
        <f t="shared" si="4"/>
        <v/>
      </c>
      <c r="DA62" s="55" t="str">
        <f t="shared" si="3"/>
        <v/>
      </c>
    </row>
    <row r="63" spans="1:105" x14ac:dyDescent="0.3">
      <c r="A63" s="2" t="str">
        <f>IF(B63="","",B63&amp;"-"&amp;COUNTIF($B$2:B63,B63))</f>
        <v/>
      </c>
      <c r="C63" s="2" t="str">
        <f>IF(F63="","",F63&amp;"-"&amp;COUNTIF(F$2:$H63,F63))</f>
        <v/>
      </c>
      <c r="D63" s="2" t="str">
        <f>IF(G63="","",G63&amp;"-"&amp;COUNTIF(G$2:$H63,G63))</f>
        <v/>
      </c>
      <c r="E63" s="2" t="str">
        <f>IF(H63="","",H63&amp;"-"&amp;COUNTIF($H$2:H63,H63))</f>
        <v/>
      </c>
      <c r="I63" s="2" t="str">
        <f>IF(Q63="","",COUNTA($Q$2:Q63))</f>
        <v/>
      </c>
      <c r="J63" s="283"/>
      <c r="K63" s="10"/>
      <c r="L63" s="10"/>
      <c r="O63" s="215"/>
      <c r="Q63" s="214"/>
      <c r="V63" s="2" t="str">
        <f t="shared" si="0"/>
        <v/>
      </c>
      <c r="W63" s="216" t="str">
        <f t="shared" si="1"/>
        <v/>
      </c>
      <c r="CL63" s="57" t="str">
        <f t="shared" si="2"/>
        <v/>
      </c>
      <c r="CZ63" s="55" t="str">
        <f t="shared" si="4"/>
        <v/>
      </c>
      <c r="DA63" s="55" t="str">
        <f t="shared" si="3"/>
        <v/>
      </c>
    </row>
    <row r="64" spans="1:105" x14ac:dyDescent="0.3">
      <c r="A64" s="2" t="str">
        <f>IF(B64="","",B64&amp;"-"&amp;COUNTIF($B$2:B64,B64))</f>
        <v/>
      </c>
      <c r="C64" s="2" t="str">
        <f>IF(F64="","",F64&amp;"-"&amp;COUNTIF(F$2:$H64,F64))</f>
        <v/>
      </c>
      <c r="D64" s="2" t="str">
        <f>IF(G64="","",G64&amp;"-"&amp;COUNTIF(G$2:$H64,G64))</f>
        <v/>
      </c>
      <c r="E64" s="2" t="str">
        <f>IF(H64="","",H64&amp;"-"&amp;COUNTIF($H$2:H64,H64))</f>
        <v/>
      </c>
      <c r="I64" s="2" t="str">
        <f>IF(Q64="","",COUNTA($Q$2:Q64))</f>
        <v/>
      </c>
      <c r="J64" s="283"/>
      <c r="K64" s="10"/>
      <c r="L64" s="10"/>
      <c r="O64" s="215"/>
      <c r="Q64" s="214"/>
      <c r="V64" s="2" t="str">
        <f t="shared" si="0"/>
        <v/>
      </c>
      <c r="W64" s="216" t="str">
        <f t="shared" si="1"/>
        <v/>
      </c>
      <c r="CL64" s="57" t="str">
        <f t="shared" si="2"/>
        <v/>
      </c>
      <c r="CZ64" s="55" t="str">
        <f t="shared" si="4"/>
        <v/>
      </c>
      <c r="DA64" s="55" t="str">
        <f t="shared" si="3"/>
        <v/>
      </c>
    </row>
    <row r="65" spans="1:105" x14ac:dyDescent="0.3">
      <c r="A65" s="2" t="str">
        <f>IF(B65="","",B65&amp;"-"&amp;COUNTIF($B$2:B65,B65))</f>
        <v/>
      </c>
      <c r="C65" s="2" t="str">
        <f>IF(F65="","",F65&amp;"-"&amp;COUNTIF(F$2:$H65,F65))</f>
        <v/>
      </c>
      <c r="D65" s="2" t="str">
        <f>IF(G65="","",G65&amp;"-"&amp;COUNTIF(G$2:$H65,G65))</f>
        <v/>
      </c>
      <c r="E65" s="2" t="str">
        <f>IF(H65="","",H65&amp;"-"&amp;COUNTIF($H$2:H65,H65))</f>
        <v/>
      </c>
      <c r="I65" s="2" t="str">
        <f>IF(Q65="","",COUNTA($Q$2:Q65))</f>
        <v/>
      </c>
      <c r="J65" s="283"/>
      <c r="K65" s="10"/>
      <c r="L65" s="10"/>
      <c r="O65" s="215"/>
      <c r="Q65" s="214"/>
      <c r="V65" s="2" t="str">
        <f t="shared" si="0"/>
        <v/>
      </c>
      <c r="W65" s="216" t="str">
        <f t="shared" si="1"/>
        <v/>
      </c>
      <c r="CL65" s="57" t="str">
        <f t="shared" si="2"/>
        <v/>
      </c>
      <c r="CZ65" s="55" t="str">
        <f t="shared" si="4"/>
        <v/>
      </c>
      <c r="DA65" s="55" t="str">
        <f t="shared" si="3"/>
        <v/>
      </c>
    </row>
    <row r="66" spans="1:105" x14ac:dyDescent="0.3">
      <c r="A66" s="2" t="str">
        <f>IF(B66="","",B66&amp;"-"&amp;COUNTIF($B$2:B66,B66))</f>
        <v/>
      </c>
      <c r="C66" s="2" t="str">
        <f>IF(F66="","",F66&amp;"-"&amp;COUNTIF(F$2:$H66,F66))</f>
        <v/>
      </c>
      <c r="D66" s="2" t="str">
        <f>IF(G66="","",G66&amp;"-"&amp;COUNTIF(G$2:$H66,G66))</f>
        <v/>
      </c>
      <c r="E66" s="2" t="str">
        <f>IF(H66="","",H66&amp;"-"&amp;COUNTIF($H$2:H66,H66))</f>
        <v/>
      </c>
      <c r="I66" s="2" t="str">
        <f>IF(Q66="","",COUNTA($Q$2:Q66))</f>
        <v/>
      </c>
      <c r="J66" s="283"/>
      <c r="K66" s="10"/>
      <c r="L66" s="10"/>
      <c r="O66" s="215"/>
      <c r="Q66" s="214"/>
      <c r="V66" s="2" t="str">
        <f t="shared" si="0"/>
        <v/>
      </c>
      <c r="W66" s="216" t="str">
        <f t="shared" si="1"/>
        <v/>
      </c>
      <c r="CL66" s="57" t="str">
        <f t="shared" si="2"/>
        <v/>
      </c>
      <c r="CZ66" s="55" t="str">
        <f t="shared" si="4"/>
        <v/>
      </c>
      <c r="DA66" s="55" t="str">
        <f t="shared" si="3"/>
        <v/>
      </c>
    </row>
    <row r="67" spans="1:105" x14ac:dyDescent="0.3">
      <c r="A67" s="2" t="str">
        <f>IF(B67="","",B67&amp;"-"&amp;COUNTIF($B$2:B67,B67))</f>
        <v/>
      </c>
      <c r="C67" s="2" t="str">
        <f>IF(F67="","",F67&amp;"-"&amp;COUNTIF(F$2:$H67,F67))</f>
        <v/>
      </c>
      <c r="D67" s="2" t="str">
        <f>IF(G67="","",G67&amp;"-"&amp;COUNTIF(G$2:$H67,G67))</f>
        <v/>
      </c>
      <c r="E67" s="2" t="str">
        <f>IF(H67="","",H67&amp;"-"&amp;COUNTIF($H$2:H67,H67))</f>
        <v/>
      </c>
      <c r="I67" s="2" t="str">
        <f>IF(Q67="","",COUNTA($Q$2:Q67))</f>
        <v/>
      </c>
      <c r="J67" s="283"/>
      <c r="K67" s="10"/>
      <c r="L67" s="10"/>
      <c r="O67" s="215"/>
      <c r="Q67" s="214"/>
      <c r="V67" s="2" t="str">
        <f t="shared" ref="V67:V100" si="5">T67&amp;U67</f>
        <v/>
      </c>
      <c r="W67" s="216" t="str">
        <f t="shared" ref="W67:W100" si="6">IF(S67="","",S67&amp;V67)</f>
        <v/>
      </c>
      <c r="CL67" s="57" t="str">
        <f t="shared" ref="CL67:CL100" si="7">IF(CK67="","",CJ67&amp;CK67)</f>
        <v/>
      </c>
      <c r="CZ67" s="55" t="str">
        <f t="shared" si="4"/>
        <v/>
      </c>
      <c r="DA67" s="55" t="str">
        <f t="shared" ref="DA67:DA100" si="8">IF(CY67="","",BX67)</f>
        <v/>
      </c>
    </row>
    <row r="68" spans="1:105" x14ac:dyDescent="0.3">
      <c r="A68" s="2" t="str">
        <f>IF(B68="","",B68&amp;"-"&amp;COUNTIF($B$2:B68,B68))</f>
        <v/>
      </c>
      <c r="C68" s="2" t="str">
        <f>IF(F68="","",F68&amp;"-"&amp;COUNTIF(F$2:$H68,F68))</f>
        <v/>
      </c>
      <c r="D68" s="2" t="str">
        <f>IF(G68="","",G68&amp;"-"&amp;COUNTIF(G$2:$H68,G68))</f>
        <v/>
      </c>
      <c r="E68" s="2" t="str">
        <f>IF(H68="","",H68&amp;"-"&amp;COUNTIF($H$2:H68,H68))</f>
        <v/>
      </c>
      <c r="I68" s="2" t="str">
        <f>IF(Q68="","",COUNTA($Q$2:Q68))</f>
        <v/>
      </c>
      <c r="J68" s="283"/>
      <c r="K68" s="10"/>
      <c r="L68" s="10"/>
      <c r="O68" s="215"/>
      <c r="Q68" s="214"/>
      <c r="V68" s="2" t="str">
        <f t="shared" si="5"/>
        <v/>
      </c>
      <c r="W68" s="216" t="str">
        <f t="shared" si="6"/>
        <v/>
      </c>
      <c r="CL68" s="57" t="str">
        <f t="shared" si="7"/>
        <v/>
      </c>
      <c r="CZ68" s="55" t="str">
        <f t="shared" ref="CZ68:CZ100" si="9">IF(DB68="","",DB68&amp;"-"&amp;DC68&amp;"-"&amp;DD68&amp;DE68&amp;"-"&amp;DF68&amp;DG68&amp;"-"&amp;DH68&amp;"-"&amp;DI68&amp;DJ68&amp;"-"&amp;DK68)</f>
        <v/>
      </c>
      <c r="DA68" s="55" t="str">
        <f t="shared" si="8"/>
        <v/>
      </c>
    </row>
    <row r="69" spans="1:105" x14ac:dyDescent="0.3">
      <c r="A69" s="2" t="str">
        <f>IF(B69="","",B69&amp;"-"&amp;COUNTIF($B$2:B69,B69))</f>
        <v/>
      </c>
      <c r="C69" s="2" t="str">
        <f>IF(F69="","",F69&amp;"-"&amp;COUNTIF(F$2:$H69,F69))</f>
        <v/>
      </c>
      <c r="D69" s="2" t="str">
        <f>IF(G69="","",G69&amp;"-"&amp;COUNTIF(G$2:$H69,G69))</f>
        <v/>
      </c>
      <c r="E69" s="2" t="str">
        <f>IF(H69="","",H69&amp;"-"&amp;COUNTIF($H$2:H69,H69))</f>
        <v/>
      </c>
      <c r="I69" s="2" t="str">
        <f>IF(Q69="","",COUNTA($Q$2:Q69))</f>
        <v/>
      </c>
      <c r="J69" s="283"/>
      <c r="K69" s="10"/>
      <c r="L69" s="10"/>
      <c r="O69" s="215"/>
      <c r="Q69" s="214"/>
      <c r="V69" s="2" t="str">
        <f t="shared" si="5"/>
        <v/>
      </c>
      <c r="W69" s="216" t="str">
        <f t="shared" si="6"/>
        <v/>
      </c>
      <c r="CL69" s="57" t="str">
        <f t="shared" si="7"/>
        <v/>
      </c>
      <c r="CZ69" s="55" t="str">
        <f t="shared" si="9"/>
        <v/>
      </c>
      <c r="DA69" s="55" t="str">
        <f t="shared" si="8"/>
        <v/>
      </c>
    </row>
    <row r="70" spans="1:105" x14ac:dyDescent="0.3">
      <c r="A70" s="2" t="str">
        <f>IF(B70="","",B70&amp;"-"&amp;COUNTIF($B$2:B70,B70))</f>
        <v/>
      </c>
      <c r="C70" s="2" t="str">
        <f>IF(F70="","",F70&amp;"-"&amp;COUNTIF(F$2:$H70,F70))</f>
        <v/>
      </c>
      <c r="D70" s="2" t="str">
        <f>IF(G70="","",G70&amp;"-"&amp;COUNTIF(G$2:$H70,G70))</f>
        <v/>
      </c>
      <c r="E70" s="2" t="str">
        <f>IF(H70="","",H70&amp;"-"&amp;COUNTIF($H$2:H70,H70))</f>
        <v/>
      </c>
      <c r="I70" s="2" t="str">
        <f>IF(Q70="","",COUNTA($Q$2:Q70))</f>
        <v/>
      </c>
      <c r="J70" s="283"/>
      <c r="K70" s="10"/>
      <c r="L70" s="10"/>
      <c r="O70" s="215"/>
      <c r="Q70" s="214"/>
      <c r="V70" s="2" t="str">
        <f t="shared" si="5"/>
        <v/>
      </c>
      <c r="W70" s="216" t="str">
        <f t="shared" si="6"/>
        <v/>
      </c>
      <c r="CL70" s="57" t="str">
        <f t="shared" si="7"/>
        <v/>
      </c>
      <c r="CZ70" s="55" t="str">
        <f t="shared" si="9"/>
        <v/>
      </c>
      <c r="DA70" s="55" t="str">
        <f t="shared" si="8"/>
        <v/>
      </c>
    </row>
    <row r="71" spans="1:105" x14ac:dyDescent="0.3">
      <c r="A71" s="2" t="str">
        <f>IF(B71="","",B71&amp;"-"&amp;COUNTIF($B$2:B71,B71))</f>
        <v/>
      </c>
      <c r="C71" s="2" t="str">
        <f>IF(F71="","",F71&amp;"-"&amp;COUNTIF(F$2:$H71,F71))</f>
        <v/>
      </c>
      <c r="D71" s="2" t="str">
        <f>IF(G71="","",G71&amp;"-"&amp;COUNTIF(G$2:$H71,G71))</f>
        <v/>
      </c>
      <c r="E71" s="2" t="str">
        <f>IF(H71="","",H71&amp;"-"&amp;COUNTIF($H$2:H71,H71))</f>
        <v/>
      </c>
      <c r="I71" s="2" t="str">
        <f>IF(Q71="","",COUNTA($Q$2:Q71))</f>
        <v/>
      </c>
      <c r="J71" s="283"/>
      <c r="K71" s="10"/>
      <c r="L71" s="10"/>
      <c r="O71" s="215"/>
      <c r="Q71" s="214"/>
      <c r="V71" s="2" t="str">
        <f t="shared" si="5"/>
        <v/>
      </c>
      <c r="W71" s="216" t="str">
        <f t="shared" si="6"/>
        <v/>
      </c>
      <c r="CL71" s="57" t="str">
        <f t="shared" si="7"/>
        <v/>
      </c>
      <c r="CZ71" s="55" t="str">
        <f t="shared" si="9"/>
        <v/>
      </c>
      <c r="DA71" s="55" t="str">
        <f t="shared" si="8"/>
        <v/>
      </c>
    </row>
    <row r="72" spans="1:105" x14ac:dyDescent="0.3">
      <c r="A72" s="2" t="str">
        <f>IF(B72="","",B72&amp;"-"&amp;COUNTIF($B$2:B72,B72))</f>
        <v/>
      </c>
      <c r="C72" s="2" t="str">
        <f>IF(F72="","",F72&amp;"-"&amp;COUNTIF(F$2:$H72,F72))</f>
        <v/>
      </c>
      <c r="D72" s="2" t="str">
        <f>IF(G72="","",G72&amp;"-"&amp;COUNTIF(G$2:$H72,G72))</f>
        <v/>
      </c>
      <c r="E72" s="2" t="str">
        <f>IF(H72="","",H72&amp;"-"&amp;COUNTIF($H$2:H72,H72))</f>
        <v/>
      </c>
      <c r="I72" s="2" t="str">
        <f>IF(Q72="","",COUNTA($Q$2:Q72))</f>
        <v/>
      </c>
      <c r="J72" s="283"/>
      <c r="K72" s="10"/>
      <c r="L72" s="10"/>
      <c r="O72" s="215"/>
      <c r="Q72" s="214"/>
      <c r="V72" s="2" t="str">
        <f t="shared" si="5"/>
        <v/>
      </c>
      <c r="W72" s="216" t="str">
        <f t="shared" si="6"/>
        <v/>
      </c>
      <c r="CL72" s="57" t="str">
        <f t="shared" si="7"/>
        <v/>
      </c>
      <c r="CZ72" s="55" t="str">
        <f t="shared" si="9"/>
        <v/>
      </c>
      <c r="DA72" s="55" t="str">
        <f t="shared" si="8"/>
        <v/>
      </c>
    </row>
    <row r="73" spans="1:105" x14ac:dyDescent="0.3">
      <c r="A73" s="2" t="str">
        <f>IF(B73="","",B73&amp;"-"&amp;COUNTIF($B$2:B73,B73))</f>
        <v/>
      </c>
      <c r="C73" s="2" t="str">
        <f>IF(F73="","",F73&amp;"-"&amp;COUNTIF(F$2:$H73,F73))</f>
        <v/>
      </c>
      <c r="D73" s="2" t="str">
        <f>IF(G73="","",G73&amp;"-"&amp;COUNTIF(G$2:$H73,G73))</f>
        <v/>
      </c>
      <c r="E73" s="2" t="str">
        <f>IF(H73="","",H73&amp;"-"&amp;COUNTIF($H$2:H73,H73))</f>
        <v/>
      </c>
      <c r="I73" s="2" t="str">
        <f>IF(Q73="","",COUNTA($Q$2:Q73))</f>
        <v/>
      </c>
      <c r="J73" s="283"/>
      <c r="K73" s="10"/>
      <c r="L73" s="10"/>
      <c r="O73" s="215"/>
      <c r="Q73" s="214"/>
      <c r="V73" s="2" t="str">
        <f t="shared" si="5"/>
        <v/>
      </c>
      <c r="W73" s="216" t="str">
        <f t="shared" si="6"/>
        <v/>
      </c>
      <c r="CL73" s="57" t="str">
        <f t="shared" si="7"/>
        <v/>
      </c>
      <c r="CZ73" s="55" t="str">
        <f t="shared" si="9"/>
        <v/>
      </c>
      <c r="DA73" s="55" t="str">
        <f t="shared" si="8"/>
        <v/>
      </c>
    </row>
    <row r="74" spans="1:105" x14ac:dyDescent="0.3">
      <c r="A74" s="2" t="str">
        <f>IF(B74="","",B74&amp;"-"&amp;COUNTIF($B$2:B74,B74))</f>
        <v/>
      </c>
      <c r="C74" s="2" t="str">
        <f>IF(F74="","",F74&amp;"-"&amp;COUNTIF(F$2:$H74,F74))</f>
        <v/>
      </c>
      <c r="D74" s="2" t="str">
        <f>IF(G74="","",G74&amp;"-"&amp;COUNTIF(G$2:$H74,G74))</f>
        <v/>
      </c>
      <c r="E74" s="2" t="str">
        <f>IF(H74="","",H74&amp;"-"&amp;COUNTIF($H$2:H74,H74))</f>
        <v/>
      </c>
      <c r="I74" s="2" t="str">
        <f>IF(Q74="","",COUNTA($Q$2:Q74))</f>
        <v/>
      </c>
      <c r="J74" s="283"/>
      <c r="K74" s="10"/>
      <c r="L74" s="10"/>
      <c r="O74" s="215"/>
      <c r="Q74" s="214"/>
      <c r="V74" s="2" t="str">
        <f t="shared" si="5"/>
        <v/>
      </c>
      <c r="W74" s="216" t="str">
        <f t="shared" si="6"/>
        <v/>
      </c>
      <c r="CL74" s="57" t="str">
        <f t="shared" si="7"/>
        <v/>
      </c>
      <c r="CZ74" s="55" t="str">
        <f t="shared" si="9"/>
        <v/>
      </c>
      <c r="DA74" s="55" t="str">
        <f t="shared" si="8"/>
        <v/>
      </c>
    </row>
    <row r="75" spans="1:105" x14ac:dyDescent="0.3">
      <c r="A75" s="2" t="str">
        <f>IF(B75="","",B75&amp;"-"&amp;COUNTIF($B$2:B75,B75))</f>
        <v/>
      </c>
      <c r="C75" s="2" t="str">
        <f>IF(F75="","",F75&amp;"-"&amp;COUNTIF(F$2:$H75,F75))</f>
        <v/>
      </c>
      <c r="D75" s="2" t="str">
        <f>IF(G75="","",G75&amp;"-"&amp;COUNTIF(G$2:$H75,G75))</f>
        <v/>
      </c>
      <c r="E75" s="2" t="str">
        <f>IF(H75="","",H75&amp;"-"&amp;COUNTIF($H$2:H75,H75))</f>
        <v/>
      </c>
      <c r="I75" s="2" t="str">
        <f>IF(Q75="","",COUNTA($Q$2:Q75))</f>
        <v/>
      </c>
      <c r="J75" s="283"/>
      <c r="K75" s="10"/>
      <c r="L75" s="10"/>
      <c r="O75" s="215"/>
      <c r="Q75" s="214"/>
      <c r="V75" s="2" t="str">
        <f t="shared" si="5"/>
        <v/>
      </c>
      <c r="W75" s="216" t="str">
        <f t="shared" si="6"/>
        <v/>
      </c>
      <c r="CL75" s="57" t="str">
        <f t="shared" si="7"/>
        <v/>
      </c>
      <c r="CZ75" s="55" t="str">
        <f t="shared" si="9"/>
        <v/>
      </c>
      <c r="DA75" s="55" t="str">
        <f t="shared" si="8"/>
        <v/>
      </c>
    </row>
    <row r="76" spans="1:105" x14ac:dyDescent="0.3">
      <c r="A76" s="2" t="str">
        <f>IF(B76="","",B76&amp;"-"&amp;COUNTIF($B$2:B76,B76))</f>
        <v/>
      </c>
      <c r="C76" s="2" t="str">
        <f>IF(F76="","",F76&amp;"-"&amp;COUNTIF(F$2:$H76,F76))</f>
        <v/>
      </c>
      <c r="D76" s="2" t="str">
        <f>IF(G76="","",G76&amp;"-"&amp;COUNTIF(G$2:$H76,G76))</f>
        <v/>
      </c>
      <c r="E76" s="2" t="str">
        <f>IF(H76="","",H76&amp;"-"&amp;COUNTIF($H$2:H76,H76))</f>
        <v/>
      </c>
      <c r="I76" s="2" t="str">
        <f>IF(Q76="","",COUNTA($Q$2:Q76))</f>
        <v/>
      </c>
      <c r="J76" s="283"/>
      <c r="K76" s="10"/>
      <c r="L76" s="10"/>
      <c r="O76" s="215"/>
      <c r="Q76" s="214"/>
      <c r="V76" s="2" t="str">
        <f t="shared" si="5"/>
        <v/>
      </c>
      <c r="W76" s="216" t="str">
        <f t="shared" si="6"/>
        <v/>
      </c>
      <c r="CL76" s="57" t="str">
        <f t="shared" si="7"/>
        <v/>
      </c>
      <c r="CZ76" s="55" t="str">
        <f t="shared" si="9"/>
        <v/>
      </c>
      <c r="DA76" s="55" t="str">
        <f t="shared" si="8"/>
        <v/>
      </c>
    </row>
    <row r="77" spans="1:105" x14ac:dyDescent="0.3">
      <c r="A77" s="2" t="str">
        <f>IF(B77="","",B77&amp;"-"&amp;COUNTIF($B$2:B77,B77))</f>
        <v/>
      </c>
      <c r="C77" s="2" t="str">
        <f>IF(F77="","",F77&amp;"-"&amp;COUNTIF(F$2:$H77,F77))</f>
        <v/>
      </c>
      <c r="D77" s="2" t="str">
        <f>IF(G77="","",G77&amp;"-"&amp;COUNTIF(G$2:$H77,G77))</f>
        <v/>
      </c>
      <c r="E77" s="2" t="str">
        <f>IF(H77="","",H77&amp;"-"&amp;COUNTIF($H$2:H77,H77))</f>
        <v/>
      </c>
      <c r="I77" s="2" t="str">
        <f>IF(Q77="","",COUNTA($Q$2:Q77))</f>
        <v/>
      </c>
      <c r="J77" s="283"/>
      <c r="K77" s="10"/>
      <c r="L77" s="10"/>
      <c r="O77" s="215"/>
      <c r="Q77" s="214"/>
      <c r="V77" s="2" t="str">
        <f t="shared" si="5"/>
        <v/>
      </c>
      <c r="W77" s="216" t="str">
        <f t="shared" si="6"/>
        <v/>
      </c>
      <c r="CL77" s="57" t="str">
        <f t="shared" si="7"/>
        <v/>
      </c>
      <c r="CZ77" s="55" t="str">
        <f t="shared" si="9"/>
        <v/>
      </c>
      <c r="DA77" s="55" t="str">
        <f t="shared" si="8"/>
        <v/>
      </c>
    </row>
    <row r="78" spans="1:105" x14ac:dyDescent="0.3">
      <c r="A78" s="2" t="str">
        <f>IF(B78="","",B78&amp;"-"&amp;COUNTIF($B$2:B78,B78))</f>
        <v/>
      </c>
      <c r="C78" s="2" t="str">
        <f>IF(F78="","",F78&amp;"-"&amp;COUNTIF(F$2:$H78,F78))</f>
        <v/>
      </c>
      <c r="D78" s="2" t="str">
        <f>IF(G78="","",G78&amp;"-"&amp;COUNTIF(G$2:$H78,G78))</f>
        <v/>
      </c>
      <c r="E78" s="2" t="str">
        <f>IF(H78="","",H78&amp;"-"&amp;COUNTIF($H$2:H78,H78))</f>
        <v/>
      </c>
      <c r="I78" s="2" t="str">
        <f>IF(Q78="","",COUNTA($Q$2:Q78))</f>
        <v/>
      </c>
      <c r="J78" s="283"/>
      <c r="K78" s="10"/>
      <c r="L78" s="10"/>
      <c r="O78" s="215"/>
      <c r="Q78" s="214"/>
      <c r="V78" s="2" t="str">
        <f t="shared" si="5"/>
        <v/>
      </c>
      <c r="W78" s="216" t="str">
        <f t="shared" si="6"/>
        <v/>
      </c>
      <c r="CL78" s="57" t="str">
        <f t="shared" si="7"/>
        <v/>
      </c>
      <c r="CZ78" s="55" t="str">
        <f t="shared" si="9"/>
        <v/>
      </c>
      <c r="DA78" s="55" t="str">
        <f t="shared" si="8"/>
        <v/>
      </c>
    </row>
    <row r="79" spans="1:105" x14ac:dyDescent="0.3">
      <c r="A79" s="2" t="str">
        <f>IF(B79="","",B79&amp;"-"&amp;COUNTIF($B$2:B79,B79))</f>
        <v/>
      </c>
      <c r="C79" s="2" t="str">
        <f>IF(F79="","",F79&amp;"-"&amp;COUNTIF(F$2:$H79,F79))</f>
        <v/>
      </c>
      <c r="D79" s="2" t="str">
        <f>IF(G79="","",G79&amp;"-"&amp;COUNTIF(G$2:$H79,G79))</f>
        <v/>
      </c>
      <c r="E79" s="2" t="str">
        <f>IF(H79="","",H79&amp;"-"&amp;COUNTIF($H$2:H79,H79))</f>
        <v/>
      </c>
      <c r="I79" s="2" t="str">
        <f>IF(Q79="","",COUNTA($Q$2:Q79))</f>
        <v/>
      </c>
      <c r="J79" s="283"/>
      <c r="K79" s="10"/>
      <c r="L79" s="10"/>
      <c r="O79" s="215"/>
      <c r="Q79" s="214"/>
      <c r="V79" s="2" t="str">
        <f t="shared" si="5"/>
        <v/>
      </c>
      <c r="W79" s="216" t="str">
        <f t="shared" si="6"/>
        <v/>
      </c>
      <c r="CL79" s="57" t="str">
        <f t="shared" si="7"/>
        <v/>
      </c>
      <c r="CZ79" s="55" t="str">
        <f t="shared" si="9"/>
        <v/>
      </c>
      <c r="DA79" s="55" t="str">
        <f t="shared" si="8"/>
        <v/>
      </c>
    </row>
    <row r="80" spans="1:105" x14ac:dyDescent="0.3">
      <c r="A80" s="2" t="str">
        <f>IF(B80="","",B80&amp;"-"&amp;COUNTIF($B$2:B80,B80))</f>
        <v/>
      </c>
      <c r="C80" s="2" t="str">
        <f>IF(F80="","",F80&amp;"-"&amp;COUNTIF(F$2:$H80,F80))</f>
        <v/>
      </c>
      <c r="D80" s="2" t="str">
        <f>IF(G80="","",G80&amp;"-"&amp;COUNTIF(G$2:$H80,G80))</f>
        <v/>
      </c>
      <c r="E80" s="2" t="str">
        <f>IF(H80="","",H80&amp;"-"&amp;COUNTIF($H$2:H80,H80))</f>
        <v/>
      </c>
      <c r="I80" s="2" t="str">
        <f>IF(Q80="","",COUNTA($Q$2:Q80))</f>
        <v/>
      </c>
      <c r="J80" s="283"/>
      <c r="K80" s="10"/>
      <c r="L80" s="10"/>
      <c r="O80" s="215"/>
      <c r="Q80" s="214"/>
      <c r="V80" s="2" t="str">
        <f t="shared" si="5"/>
        <v/>
      </c>
      <c r="W80" s="216" t="str">
        <f t="shared" si="6"/>
        <v/>
      </c>
      <c r="CL80" s="57" t="str">
        <f t="shared" si="7"/>
        <v/>
      </c>
      <c r="CZ80" s="55" t="str">
        <f t="shared" si="9"/>
        <v/>
      </c>
      <c r="DA80" s="55" t="str">
        <f t="shared" si="8"/>
        <v/>
      </c>
    </row>
    <row r="81" spans="1:105" x14ac:dyDescent="0.3">
      <c r="A81" s="2" t="str">
        <f>IF(B81="","",B81&amp;"-"&amp;COUNTIF($B$2:B81,B81))</f>
        <v/>
      </c>
      <c r="C81" s="2" t="str">
        <f>IF(F81="","",F81&amp;"-"&amp;COUNTIF(F$2:$H81,F81))</f>
        <v/>
      </c>
      <c r="D81" s="2" t="str">
        <f>IF(G81="","",G81&amp;"-"&amp;COUNTIF(G$2:$H81,G81))</f>
        <v/>
      </c>
      <c r="E81" s="2" t="str">
        <f>IF(H81="","",H81&amp;"-"&amp;COUNTIF($H$2:H81,H81))</f>
        <v/>
      </c>
      <c r="I81" s="2" t="str">
        <f>IF(Q81="","",COUNTA($Q$2:Q81))</f>
        <v/>
      </c>
      <c r="J81" s="283"/>
      <c r="K81" s="10"/>
      <c r="L81" s="10"/>
      <c r="O81" s="215"/>
      <c r="Q81" s="214"/>
      <c r="V81" s="2" t="str">
        <f t="shared" si="5"/>
        <v/>
      </c>
      <c r="W81" s="216" t="str">
        <f t="shared" si="6"/>
        <v/>
      </c>
      <c r="CL81" s="57" t="str">
        <f t="shared" si="7"/>
        <v/>
      </c>
      <c r="CZ81" s="55" t="str">
        <f t="shared" si="9"/>
        <v/>
      </c>
      <c r="DA81" s="55" t="str">
        <f t="shared" si="8"/>
        <v/>
      </c>
    </row>
    <row r="82" spans="1:105" x14ac:dyDescent="0.3">
      <c r="A82" s="2" t="str">
        <f>IF(B82="","",B82&amp;"-"&amp;COUNTIF($B$2:B82,B82))</f>
        <v/>
      </c>
      <c r="C82" s="2" t="str">
        <f>IF(F82="","",F82&amp;"-"&amp;COUNTIF(F$2:$H82,F82))</f>
        <v/>
      </c>
      <c r="D82" s="2" t="str">
        <f>IF(G82="","",G82&amp;"-"&amp;COUNTIF(G$2:$H82,G82))</f>
        <v/>
      </c>
      <c r="E82" s="2" t="str">
        <f>IF(H82="","",H82&amp;"-"&amp;COUNTIF($H$2:H82,H82))</f>
        <v/>
      </c>
      <c r="I82" s="2" t="str">
        <f>IF(Q82="","",COUNTA($Q$2:Q82))</f>
        <v/>
      </c>
      <c r="J82" s="283"/>
      <c r="K82" s="10"/>
      <c r="L82" s="10"/>
      <c r="O82" s="215"/>
      <c r="Q82" s="214"/>
      <c r="V82" s="2" t="str">
        <f t="shared" si="5"/>
        <v/>
      </c>
      <c r="W82" s="216" t="str">
        <f t="shared" si="6"/>
        <v/>
      </c>
      <c r="CL82" s="57" t="str">
        <f t="shared" si="7"/>
        <v/>
      </c>
      <c r="CZ82" s="55" t="str">
        <f t="shared" si="9"/>
        <v/>
      </c>
      <c r="DA82" s="55" t="str">
        <f t="shared" si="8"/>
        <v/>
      </c>
    </row>
    <row r="83" spans="1:105" x14ac:dyDescent="0.3">
      <c r="A83" s="2" t="str">
        <f>IF(B83="","",B83&amp;"-"&amp;COUNTIF($B$2:B83,B83))</f>
        <v/>
      </c>
      <c r="C83" s="2" t="str">
        <f>IF(F83="","",F83&amp;"-"&amp;COUNTIF(F$2:$H83,F83))</f>
        <v/>
      </c>
      <c r="D83" s="2" t="str">
        <f>IF(G83="","",G83&amp;"-"&amp;COUNTIF(G$2:$H83,G83))</f>
        <v/>
      </c>
      <c r="E83" s="2" t="str">
        <f>IF(H83="","",H83&amp;"-"&amp;COUNTIF($H$2:H83,H83))</f>
        <v/>
      </c>
      <c r="I83" s="2" t="str">
        <f>IF(Q83="","",COUNTA($Q$2:Q83))</f>
        <v/>
      </c>
      <c r="J83" s="283"/>
      <c r="K83" s="10"/>
      <c r="L83" s="10"/>
      <c r="O83" s="215"/>
      <c r="Q83" s="214"/>
      <c r="V83" s="2" t="str">
        <f t="shared" si="5"/>
        <v/>
      </c>
      <c r="W83" s="216" t="str">
        <f t="shared" si="6"/>
        <v/>
      </c>
      <c r="CL83" s="57" t="str">
        <f t="shared" si="7"/>
        <v/>
      </c>
      <c r="CZ83" s="55" t="str">
        <f t="shared" si="9"/>
        <v/>
      </c>
      <c r="DA83" s="55" t="str">
        <f t="shared" si="8"/>
        <v/>
      </c>
    </row>
    <row r="84" spans="1:105" x14ac:dyDescent="0.3">
      <c r="A84" s="2" t="str">
        <f>IF(B84="","",B84&amp;"-"&amp;COUNTIF($B$2:B84,B84))</f>
        <v/>
      </c>
      <c r="C84" s="2" t="str">
        <f>IF(F84="","",F84&amp;"-"&amp;COUNTIF(F$2:$H84,F84))</f>
        <v/>
      </c>
      <c r="D84" s="2" t="str">
        <f>IF(G84="","",G84&amp;"-"&amp;COUNTIF(G$2:$H84,G84))</f>
        <v/>
      </c>
      <c r="E84" s="2" t="str">
        <f>IF(H84="","",H84&amp;"-"&amp;COUNTIF($H$2:H84,H84))</f>
        <v/>
      </c>
      <c r="I84" s="2" t="str">
        <f>IF(Q84="","",COUNTA($Q$2:Q84))</f>
        <v/>
      </c>
      <c r="J84" s="283"/>
      <c r="K84" s="10"/>
      <c r="L84" s="10"/>
      <c r="O84" s="215"/>
      <c r="Q84" s="214"/>
      <c r="V84" s="2" t="str">
        <f t="shared" si="5"/>
        <v/>
      </c>
      <c r="W84" s="216" t="str">
        <f t="shared" si="6"/>
        <v/>
      </c>
      <c r="CL84" s="57" t="str">
        <f t="shared" si="7"/>
        <v/>
      </c>
      <c r="CZ84" s="55" t="str">
        <f t="shared" si="9"/>
        <v/>
      </c>
      <c r="DA84" s="55" t="str">
        <f t="shared" si="8"/>
        <v/>
      </c>
    </row>
    <row r="85" spans="1:105" x14ac:dyDescent="0.3">
      <c r="A85" s="2" t="str">
        <f>IF(B85="","",B85&amp;"-"&amp;COUNTIF($B$2:B85,B85))</f>
        <v/>
      </c>
      <c r="C85" s="2" t="str">
        <f>IF(F85="","",F85&amp;"-"&amp;COUNTIF(F$2:$H85,F85))</f>
        <v/>
      </c>
      <c r="D85" s="2" t="str">
        <f>IF(G85="","",G85&amp;"-"&amp;COUNTIF(G$2:$H85,G85))</f>
        <v/>
      </c>
      <c r="E85" s="2" t="str">
        <f>IF(H85="","",H85&amp;"-"&amp;COUNTIF($H$2:H85,H85))</f>
        <v/>
      </c>
      <c r="I85" s="2" t="str">
        <f>IF(Q85="","",COUNTA($Q$2:Q85))</f>
        <v/>
      </c>
      <c r="J85" s="283"/>
      <c r="K85" s="10"/>
      <c r="L85" s="10"/>
      <c r="O85" s="215"/>
      <c r="Q85" s="214"/>
      <c r="V85" s="2" t="str">
        <f t="shared" si="5"/>
        <v/>
      </c>
      <c r="W85" s="216" t="str">
        <f t="shared" si="6"/>
        <v/>
      </c>
      <c r="CL85" s="57" t="str">
        <f t="shared" si="7"/>
        <v/>
      </c>
      <c r="CZ85" s="55" t="str">
        <f t="shared" si="9"/>
        <v/>
      </c>
      <c r="DA85" s="55" t="str">
        <f t="shared" si="8"/>
        <v/>
      </c>
    </row>
    <row r="86" spans="1:105" x14ac:dyDescent="0.3">
      <c r="A86" s="2" t="str">
        <f>IF(B86="","",B86&amp;"-"&amp;COUNTIF($B$2:B86,B86))</f>
        <v/>
      </c>
      <c r="C86" s="2" t="str">
        <f>IF(F86="","",F86&amp;"-"&amp;COUNTIF(F$2:$H86,F86))</f>
        <v/>
      </c>
      <c r="D86" s="2" t="str">
        <f>IF(G86="","",G86&amp;"-"&amp;COUNTIF(G$2:$H86,G86))</f>
        <v/>
      </c>
      <c r="E86" s="2" t="str">
        <f>IF(H86="","",H86&amp;"-"&amp;COUNTIF($H$2:H86,H86))</f>
        <v/>
      </c>
      <c r="I86" s="2" t="str">
        <f>IF(Q86="","",COUNTA($Q$2:Q86))</f>
        <v/>
      </c>
      <c r="J86" s="283"/>
      <c r="K86" s="10"/>
      <c r="L86" s="10"/>
      <c r="O86" s="215"/>
      <c r="Q86" s="214"/>
      <c r="V86" s="2" t="str">
        <f t="shared" si="5"/>
        <v/>
      </c>
      <c r="W86" s="216" t="str">
        <f t="shared" si="6"/>
        <v/>
      </c>
      <c r="CL86" s="57" t="str">
        <f t="shared" si="7"/>
        <v/>
      </c>
      <c r="CZ86" s="55" t="str">
        <f t="shared" si="9"/>
        <v/>
      </c>
      <c r="DA86" s="55" t="str">
        <f t="shared" si="8"/>
        <v/>
      </c>
    </row>
    <row r="87" spans="1:105" x14ac:dyDescent="0.3">
      <c r="A87" s="2" t="str">
        <f>IF(B87="","",B87&amp;"-"&amp;COUNTIF($B$2:B87,B87))</f>
        <v/>
      </c>
      <c r="C87" s="2" t="str">
        <f>IF(F87="","",F87&amp;"-"&amp;COUNTIF(F$2:$H87,F87))</f>
        <v/>
      </c>
      <c r="D87" s="2" t="str">
        <f>IF(G87="","",G87&amp;"-"&amp;COUNTIF(G$2:$H87,G87))</f>
        <v/>
      </c>
      <c r="E87" s="2" t="str">
        <f>IF(H87="","",H87&amp;"-"&amp;COUNTIF($H$2:H87,H87))</f>
        <v/>
      </c>
      <c r="I87" s="2" t="str">
        <f>IF(Q87="","",COUNTA($Q$2:Q87))</f>
        <v/>
      </c>
      <c r="J87" s="283"/>
      <c r="K87" s="10"/>
      <c r="L87" s="10"/>
      <c r="O87" s="215"/>
      <c r="Q87" s="214"/>
      <c r="V87" s="2" t="str">
        <f t="shared" si="5"/>
        <v/>
      </c>
      <c r="W87" s="216" t="str">
        <f t="shared" si="6"/>
        <v/>
      </c>
      <c r="CL87" s="57" t="str">
        <f t="shared" si="7"/>
        <v/>
      </c>
      <c r="CZ87" s="55" t="str">
        <f t="shared" si="9"/>
        <v/>
      </c>
      <c r="DA87" s="55" t="str">
        <f t="shared" si="8"/>
        <v/>
      </c>
    </row>
    <row r="88" spans="1:105" x14ac:dyDescent="0.3">
      <c r="A88" s="2" t="str">
        <f>IF(B88="","",B88&amp;"-"&amp;COUNTIF($B$2:B88,B88))</f>
        <v/>
      </c>
      <c r="C88" s="2" t="str">
        <f>IF(F88="","",F88&amp;"-"&amp;COUNTIF(F$2:$H88,F88))</f>
        <v/>
      </c>
      <c r="D88" s="2" t="str">
        <f>IF(G88="","",G88&amp;"-"&amp;COUNTIF(G$2:$H88,G88))</f>
        <v/>
      </c>
      <c r="E88" s="2" t="str">
        <f>IF(H88="","",H88&amp;"-"&amp;COUNTIF($H$2:H88,H88))</f>
        <v/>
      </c>
      <c r="I88" s="2" t="str">
        <f>IF(Q88="","",COUNTA($Q$2:Q88))</f>
        <v/>
      </c>
      <c r="J88" s="283"/>
      <c r="K88" s="10"/>
      <c r="L88" s="10"/>
      <c r="O88" s="215"/>
      <c r="Q88" s="214"/>
      <c r="V88" s="2" t="str">
        <f t="shared" si="5"/>
        <v/>
      </c>
      <c r="W88" s="216" t="str">
        <f t="shared" si="6"/>
        <v/>
      </c>
      <c r="CL88" s="57" t="str">
        <f t="shared" si="7"/>
        <v/>
      </c>
      <c r="CZ88" s="55" t="str">
        <f t="shared" si="9"/>
        <v/>
      </c>
      <c r="DA88" s="55" t="str">
        <f t="shared" si="8"/>
        <v/>
      </c>
    </row>
    <row r="89" spans="1:105" x14ac:dyDescent="0.3">
      <c r="A89" s="2" t="str">
        <f>IF(B89="","",B89&amp;"-"&amp;COUNTIF($B$2:B89,B89))</f>
        <v/>
      </c>
      <c r="C89" s="2" t="str">
        <f>IF(F89="","",F89&amp;"-"&amp;COUNTIF(F$2:$H89,F89))</f>
        <v/>
      </c>
      <c r="D89" s="2" t="str">
        <f>IF(G89="","",G89&amp;"-"&amp;COUNTIF(G$2:$H89,G89))</f>
        <v/>
      </c>
      <c r="E89" s="2" t="str">
        <f>IF(H89="","",H89&amp;"-"&amp;COUNTIF($H$2:H89,H89))</f>
        <v/>
      </c>
      <c r="I89" s="2" t="str">
        <f>IF(Q89="","",COUNTA($Q$2:Q89))</f>
        <v/>
      </c>
      <c r="J89" s="283"/>
      <c r="K89" s="10"/>
      <c r="L89" s="10"/>
      <c r="O89" s="215"/>
      <c r="Q89" s="214"/>
      <c r="V89" s="2" t="str">
        <f t="shared" si="5"/>
        <v/>
      </c>
      <c r="W89" s="216" t="str">
        <f t="shared" si="6"/>
        <v/>
      </c>
      <c r="CL89" s="57" t="str">
        <f t="shared" si="7"/>
        <v/>
      </c>
      <c r="CZ89" s="55" t="str">
        <f t="shared" si="9"/>
        <v/>
      </c>
      <c r="DA89" s="55" t="str">
        <f t="shared" si="8"/>
        <v/>
      </c>
    </row>
    <row r="90" spans="1:105" x14ac:dyDescent="0.3">
      <c r="A90" s="2" t="str">
        <f>IF(B90="","",B90&amp;"-"&amp;COUNTIF($B$2:B90,B90))</f>
        <v/>
      </c>
      <c r="C90" s="2" t="str">
        <f>IF(F90="","",F90&amp;"-"&amp;COUNTIF(F$2:$H90,F90))</f>
        <v/>
      </c>
      <c r="D90" s="2" t="str">
        <f>IF(G90="","",G90&amp;"-"&amp;COUNTIF(G$2:$H90,G90))</f>
        <v/>
      </c>
      <c r="E90" s="2" t="str">
        <f>IF(H90="","",H90&amp;"-"&amp;COUNTIF($H$2:H90,H90))</f>
        <v/>
      </c>
      <c r="I90" s="2" t="str">
        <f>IF(Q90="","",COUNTA($Q$2:Q90))</f>
        <v/>
      </c>
      <c r="J90" s="283"/>
      <c r="K90" s="10"/>
      <c r="L90" s="10"/>
      <c r="O90" s="215"/>
      <c r="Q90" s="214"/>
      <c r="V90" s="2" t="str">
        <f t="shared" si="5"/>
        <v/>
      </c>
      <c r="W90" s="216" t="str">
        <f t="shared" si="6"/>
        <v/>
      </c>
      <c r="CL90" s="57" t="str">
        <f t="shared" si="7"/>
        <v/>
      </c>
      <c r="CZ90" s="55" t="str">
        <f t="shared" si="9"/>
        <v/>
      </c>
      <c r="DA90" s="55" t="str">
        <f t="shared" si="8"/>
        <v/>
      </c>
    </row>
    <row r="91" spans="1:105" x14ac:dyDescent="0.3">
      <c r="A91" s="2" t="str">
        <f>IF(B91="","",B91&amp;"-"&amp;COUNTIF($B$2:B91,B91))</f>
        <v/>
      </c>
      <c r="C91" s="2" t="str">
        <f>IF(F91="","",F91&amp;"-"&amp;COUNTIF(F$2:$H91,F91))</f>
        <v/>
      </c>
      <c r="D91" s="2" t="str">
        <f>IF(G91="","",G91&amp;"-"&amp;COUNTIF(G$2:$H91,G91))</f>
        <v/>
      </c>
      <c r="E91" s="2" t="str">
        <f>IF(H91="","",H91&amp;"-"&amp;COUNTIF($H$2:H91,H91))</f>
        <v/>
      </c>
      <c r="I91" s="2" t="str">
        <f>IF(Q91="","",COUNTA($Q$2:Q91))</f>
        <v/>
      </c>
      <c r="J91" s="283"/>
      <c r="K91" s="10"/>
      <c r="L91" s="10"/>
      <c r="O91" s="215"/>
      <c r="Q91" s="214"/>
      <c r="V91" s="2" t="str">
        <f t="shared" si="5"/>
        <v/>
      </c>
      <c r="W91" s="216" t="str">
        <f t="shared" si="6"/>
        <v/>
      </c>
      <c r="CL91" s="57" t="str">
        <f t="shared" si="7"/>
        <v/>
      </c>
      <c r="CZ91" s="55" t="str">
        <f t="shared" si="9"/>
        <v/>
      </c>
      <c r="DA91" s="55" t="str">
        <f t="shared" si="8"/>
        <v/>
      </c>
    </row>
    <row r="92" spans="1:105" x14ac:dyDescent="0.3">
      <c r="A92" s="2" t="str">
        <f>IF(B92="","",B92&amp;"-"&amp;COUNTIF($B$2:B92,B92))</f>
        <v/>
      </c>
      <c r="C92" s="2" t="str">
        <f>IF(F92="","",F92&amp;"-"&amp;COUNTIF(F$2:$H92,F92))</f>
        <v/>
      </c>
      <c r="D92" s="2" t="str">
        <f>IF(G92="","",G92&amp;"-"&amp;COUNTIF(G$2:$H92,G92))</f>
        <v/>
      </c>
      <c r="E92" s="2" t="str">
        <f>IF(H92="","",H92&amp;"-"&amp;COUNTIF($H$2:H92,H92))</f>
        <v/>
      </c>
      <c r="I92" s="2" t="str">
        <f>IF(Q92="","",COUNTA($Q$2:Q92))</f>
        <v/>
      </c>
      <c r="J92" s="283"/>
      <c r="K92" s="10"/>
      <c r="L92" s="10"/>
      <c r="O92" s="215"/>
      <c r="Q92" s="214"/>
      <c r="V92" s="2" t="str">
        <f t="shared" si="5"/>
        <v/>
      </c>
      <c r="W92" s="216" t="str">
        <f t="shared" si="6"/>
        <v/>
      </c>
      <c r="CL92" s="57" t="str">
        <f t="shared" si="7"/>
        <v/>
      </c>
      <c r="CZ92" s="55" t="str">
        <f t="shared" si="9"/>
        <v/>
      </c>
      <c r="DA92" s="55" t="str">
        <f t="shared" si="8"/>
        <v/>
      </c>
    </row>
    <row r="93" spans="1:105" x14ac:dyDescent="0.3">
      <c r="A93" s="2" t="str">
        <f>IF(B93="","",B93&amp;"-"&amp;COUNTIF($B$2:B93,B93))</f>
        <v/>
      </c>
      <c r="C93" s="2" t="str">
        <f>IF(F93="","",F93&amp;"-"&amp;COUNTIF(F$2:$H93,F93))</f>
        <v/>
      </c>
      <c r="D93" s="2" t="str">
        <f>IF(G93="","",G93&amp;"-"&amp;COUNTIF(G$2:$H93,G93))</f>
        <v/>
      </c>
      <c r="E93" s="2" t="str">
        <f>IF(H93="","",H93&amp;"-"&amp;COUNTIF($H$2:H93,H93))</f>
        <v/>
      </c>
      <c r="I93" s="2" t="str">
        <f>IF(Q93="","",COUNTA($Q$2:Q93))</f>
        <v/>
      </c>
      <c r="J93" s="283"/>
      <c r="K93" s="10"/>
      <c r="L93" s="10"/>
      <c r="O93" s="215"/>
      <c r="Q93" s="214"/>
      <c r="V93" s="2" t="str">
        <f t="shared" si="5"/>
        <v/>
      </c>
      <c r="W93" s="216" t="str">
        <f t="shared" si="6"/>
        <v/>
      </c>
      <c r="CL93" s="57" t="str">
        <f t="shared" si="7"/>
        <v/>
      </c>
      <c r="CZ93" s="55" t="str">
        <f t="shared" si="9"/>
        <v/>
      </c>
      <c r="DA93" s="55" t="str">
        <f t="shared" si="8"/>
        <v/>
      </c>
    </row>
    <row r="94" spans="1:105" x14ac:dyDescent="0.3">
      <c r="A94" s="2" t="str">
        <f>IF(B94="","",B94&amp;"-"&amp;COUNTIF($B$2:B94,B94))</f>
        <v/>
      </c>
      <c r="C94" s="2" t="str">
        <f>IF(F94="","",F94&amp;"-"&amp;COUNTIF(F$2:$H94,F94))</f>
        <v/>
      </c>
      <c r="D94" s="2" t="str">
        <f>IF(G94="","",G94&amp;"-"&amp;COUNTIF(G$2:$H94,G94))</f>
        <v/>
      </c>
      <c r="E94" s="2" t="str">
        <f>IF(H94="","",H94&amp;"-"&amp;COUNTIF($H$2:H94,H94))</f>
        <v/>
      </c>
      <c r="I94" s="2" t="str">
        <f>IF(Q94="","",COUNTA($Q$2:Q94))</f>
        <v/>
      </c>
      <c r="J94" s="283"/>
      <c r="K94" s="10"/>
      <c r="L94" s="10"/>
      <c r="O94" s="215"/>
      <c r="Q94" s="214"/>
      <c r="V94" s="2" t="str">
        <f t="shared" si="5"/>
        <v/>
      </c>
      <c r="W94" s="216" t="str">
        <f t="shared" si="6"/>
        <v/>
      </c>
      <c r="CL94" s="57" t="str">
        <f t="shared" si="7"/>
        <v/>
      </c>
      <c r="CZ94" s="55" t="str">
        <f t="shared" si="9"/>
        <v/>
      </c>
      <c r="DA94" s="55" t="str">
        <f t="shared" si="8"/>
        <v/>
      </c>
    </row>
    <row r="95" spans="1:105" x14ac:dyDescent="0.3">
      <c r="A95" s="2" t="str">
        <f>IF(B95="","",B95&amp;"-"&amp;COUNTIF($B$2:B95,B95))</f>
        <v/>
      </c>
      <c r="C95" s="2" t="str">
        <f>IF(F95="","",F95&amp;"-"&amp;COUNTIF(F$2:$H95,F95))</f>
        <v/>
      </c>
      <c r="D95" s="2" t="str">
        <f>IF(G95="","",G95&amp;"-"&amp;COUNTIF(G$2:$H95,G95))</f>
        <v/>
      </c>
      <c r="E95" s="2" t="str">
        <f>IF(H95="","",H95&amp;"-"&amp;COUNTIF($H$2:H95,H95))</f>
        <v/>
      </c>
      <c r="I95" s="2" t="str">
        <f>IF(Q95="","",COUNTA($Q$2:Q95))</f>
        <v/>
      </c>
      <c r="J95" s="283"/>
      <c r="K95" s="10"/>
      <c r="L95" s="10"/>
      <c r="O95" s="215"/>
      <c r="Q95" s="214"/>
      <c r="V95" s="2" t="str">
        <f t="shared" si="5"/>
        <v/>
      </c>
      <c r="W95" s="216" t="str">
        <f t="shared" si="6"/>
        <v/>
      </c>
      <c r="CL95" s="57" t="str">
        <f t="shared" si="7"/>
        <v/>
      </c>
      <c r="CZ95" s="55" t="str">
        <f t="shared" si="9"/>
        <v/>
      </c>
      <c r="DA95" s="55" t="str">
        <f t="shared" si="8"/>
        <v/>
      </c>
    </row>
    <row r="96" spans="1:105" x14ac:dyDescent="0.3">
      <c r="A96" s="2" t="str">
        <f>IF(B96="","",B96&amp;"-"&amp;COUNTIF($B$2:B96,B96))</f>
        <v/>
      </c>
      <c r="C96" s="2" t="str">
        <f>IF(F96="","",F96&amp;"-"&amp;COUNTIF(F$2:$H96,F96))</f>
        <v/>
      </c>
      <c r="D96" s="2" t="str">
        <f>IF(G96="","",G96&amp;"-"&amp;COUNTIF(G$2:$H96,G96))</f>
        <v/>
      </c>
      <c r="E96" s="2" t="str">
        <f>IF(H96="","",H96&amp;"-"&amp;COUNTIF($H$2:H96,H96))</f>
        <v/>
      </c>
      <c r="I96" s="2" t="str">
        <f>IF(Q96="","",COUNTA($Q$2:Q96))</f>
        <v/>
      </c>
      <c r="J96" s="283"/>
      <c r="K96" s="10"/>
      <c r="L96" s="10"/>
      <c r="O96" s="215"/>
      <c r="Q96" s="214"/>
      <c r="V96" s="2" t="str">
        <f t="shared" si="5"/>
        <v/>
      </c>
      <c r="W96" s="216" t="str">
        <f t="shared" si="6"/>
        <v/>
      </c>
      <c r="CL96" s="57" t="str">
        <f t="shared" si="7"/>
        <v/>
      </c>
      <c r="CZ96" s="55" t="str">
        <f t="shared" si="9"/>
        <v/>
      </c>
      <c r="DA96" s="55" t="str">
        <f t="shared" si="8"/>
        <v/>
      </c>
    </row>
    <row r="97" spans="1:125" x14ac:dyDescent="0.3">
      <c r="A97" s="2" t="str">
        <f>IF(B97="","",B97&amp;"-"&amp;COUNTIF($B$2:B97,B97))</f>
        <v/>
      </c>
      <c r="C97" s="2" t="str">
        <f>IF(F97="","",F97&amp;"-"&amp;COUNTIF(F$2:$H97,F97))</f>
        <v/>
      </c>
      <c r="D97" s="2" t="str">
        <f>IF(G97="","",G97&amp;"-"&amp;COUNTIF(G$2:$H97,G97))</f>
        <v/>
      </c>
      <c r="E97" s="2" t="str">
        <f>IF(H97="","",H97&amp;"-"&amp;COUNTIF($H$2:H97,H97))</f>
        <v/>
      </c>
      <c r="I97" s="2" t="str">
        <f>IF(Q97="","",COUNTA($Q$2:Q97))</f>
        <v/>
      </c>
      <c r="J97" s="283"/>
      <c r="K97" s="10"/>
      <c r="L97" s="10"/>
      <c r="O97" s="215"/>
      <c r="Q97" s="214"/>
      <c r="V97" s="2" t="str">
        <f t="shared" si="5"/>
        <v/>
      </c>
      <c r="W97" s="216" t="str">
        <f t="shared" si="6"/>
        <v/>
      </c>
      <c r="CL97" s="57" t="str">
        <f t="shared" si="7"/>
        <v/>
      </c>
      <c r="CZ97" s="55" t="str">
        <f t="shared" si="9"/>
        <v/>
      </c>
      <c r="DA97" s="55" t="str">
        <f t="shared" si="8"/>
        <v/>
      </c>
    </row>
    <row r="98" spans="1:125" x14ac:dyDescent="0.3">
      <c r="A98" s="2" t="str">
        <f>IF(B98="","",B98&amp;"-"&amp;COUNTIF($B$2:B98,B98))</f>
        <v/>
      </c>
      <c r="C98" s="2" t="str">
        <f>IF(F98="","",F98&amp;"-"&amp;COUNTIF(F$2:$H98,F98))</f>
        <v/>
      </c>
      <c r="D98" s="2" t="str">
        <f>IF(G98="","",G98&amp;"-"&amp;COUNTIF(G$2:$H98,G98))</f>
        <v/>
      </c>
      <c r="E98" s="2" t="str">
        <f>IF(H98="","",H98&amp;"-"&amp;COUNTIF($H$2:H98,H98))</f>
        <v/>
      </c>
      <c r="I98" s="2" t="str">
        <f>IF(Q98="","",COUNTA($Q$2:Q98))</f>
        <v/>
      </c>
      <c r="J98" s="283"/>
      <c r="K98" s="10"/>
      <c r="L98" s="10"/>
      <c r="O98" s="215"/>
      <c r="Q98" s="214"/>
      <c r="V98" s="2" t="str">
        <f t="shared" si="5"/>
        <v/>
      </c>
      <c r="W98" s="216" t="str">
        <f t="shared" si="6"/>
        <v/>
      </c>
      <c r="CL98" s="57" t="str">
        <f t="shared" si="7"/>
        <v/>
      </c>
      <c r="CZ98" s="55" t="str">
        <f t="shared" si="9"/>
        <v/>
      </c>
      <c r="DA98" s="55" t="str">
        <f t="shared" si="8"/>
        <v/>
      </c>
    </row>
    <row r="99" spans="1:125" x14ac:dyDescent="0.3">
      <c r="A99" s="2" t="str">
        <f>IF(B99="","",B99&amp;"-"&amp;COUNTIF($B$2:B99,B99))</f>
        <v/>
      </c>
      <c r="C99" s="2" t="str">
        <f>IF(F99="","",F99&amp;"-"&amp;COUNTIF(F$2:$H99,F99))</f>
        <v/>
      </c>
      <c r="D99" s="2" t="str">
        <f>IF(G99="","",G99&amp;"-"&amp;COUNTIF(G$2:$H99,G99))</f>
        <v/>
      </c>
      <c r="E99" s="2" t="str">
        <f>IF(H99="","",H99&amp;"-"&amp;COUNTIF($H$2:H99,H99))</f>
        <v/>
      </c>
      <c r="I99" s="2" t="str">
        <f>IF(Q99="","",COUNTA($Q$2:Q99))</f>
        <v/>
      </c>
      <c r="J99" s="283"/>
      <c r="K99" s="10"/>
      <c r="L99" s="10"/>
      <c r="O99" s="215"/>
      <c r="Q99" s="214"/>
      <c r="V99" s="2" t="str">
        <f t="shared" si="5"/>
        <v/>
      </c>
      <c r="W99" s="216" t="str">
        <f t="shared" si="6"/>
        <v/>
      </c>
      <c r="CL99" s="57" t="str">
        <f t="shared" si="7"/>
        <v/>
      </c>
      <c r="CZ99" s="55" t="str">
        <f t="shared" si="9"/>
        <v/>
      </c>
      <c r="DA99" s="55" t="str">
        <f t="shared" si="8"/>
        <v/>
      </c>
    </row>
    <row r="100" spans="1:125" x14ac:dyDescent="0.3">
      <c r="A100" s="2" t="str">
        <f>IF(B100="","",B100&amp;"-"&amp;COUNTIF($B$2:B100,B100))</f>
        <v/>
      </c>
      <c r="C100" s="2" t="str">
        <f>IF(F100="","",F100&amp;"-"&amp;COUNTIF(F$2:$H100,F100))</f>
        <v/>
      </c>
      <c r="D100" s="2" t="str">
        <f>IF(G100="","",G100&amp;"-"&amp;COUNTIF(G$2:$H100,G100))</f>
        <v/>
      </c>
      <c r="E100" s="2" t="str">
        <f>IF(H100="","",H100&amp;"-"&amp;COUNTIF($H$2:H100,H100))</f>
        <v/>
      </c>
      <c r="I100" s="2" t="str">
        <f>IF(Q100="","",COUNTA($Q$2:Q100))</f>
        <v/>
      </c>
      <c r="J100" s="283"/>
      <c r="K100" s="10"/>
      <c r="L100" s="10"/>
      <c r="O100" s="215"/>
      <c r="Q100" s="214"/>
      <c r="V100" s="2" t="str">
        <f t="shared" si="5"/>
        <v/>
      </c>
      <c r="W100" s="216" t="str">
        <f t="shared" si="6"/>
        <v/>
      </c>
      <c r="CL100" s="57" t="str">
        <f t="shared" si="7"/>
        <v/>
      </c>
      <c r="CZ100" s="55" t="str">
        <f t="shared" si="9"/>
        <v/>
      </c>
      <c r="DA100" s="55" t="str">
        <f t="shared" si="8"/>
        <v/>
      </c>
    </row>
    <row r="101" spans="1:125" s="24" customFormat="1" x14ac:dyDescent="0.3">
      <c r="A101" s="23"/>
      <c r="C101" s="23"/>
      <c r="D101" s="58"/>
      <c r="E101" s="23"/>
      <c r="F101" s="25"/>
      <c r="G101" s="25"/>
      <c r="H101" s="25"/>
      <c r="I101" s="23"/>
      <c r="J101" s="25"/>
      <c r="M101" s="25"/>
      <c r="N101" s="25"/>
      <c r="O101" s="25"/>
      <c r="P101" s="26"/>
      <c r="Q101" s="26"/>
      <c r="R101" s="26"/>
      <c r="S101" s="25"/>
      <c r="T101" s="25"/>
      <c r="U101" s="25"/>
      <c r="V101" s="23"/>
      <c r="W101" s="58"/>
      <c r="X101" s="25"/>
      <c r="Y101" s="27"/>
      <c r="Z101" s="25"/>
      <c r="AA101" s="28"/>
      <c r="AB101" s="28"/>
      <c r="AC101" s="28"/>
      <c r="AD101" s="28"/>
      <c r="AE101" s="28"/>
      <c r="AF101" s="28"/>
      <c r="AG101" s="28"/>
      <c r="AH101" s="28"/>
      <c r="AI101" s="25"/>
      <c r="AJ101" s="28"/>
      <c r="AK101" s="28"/>
      <c r="AL101" s="28"/>
      <c r="AM101" s="25"/>
      <c r="AN101" s="25"/>
      <c r="AO101" s="25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66"/>
      <c r="BS101" s="66"/>
      <c r="BT101" s="66"/>
      <c r="BU101" s="66"/>
      <c r="BV101" s="27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9"/>
      <c r="CK101" s="25"/>
      <c r="CL101" s="58"/>
      <c r="CM101" s="25"/>
      <c r="CN101" s="25"/>
      <c r="CO101" s="25"/>
      <c r="CP101" s="30"/>
      <c r="CQ101" s="25"/>
      <c r="CR101" s="26"/>
      <c r="CS101" s="25"/>
      <c r="CT101" s="25"/>
      <c r="CU101" s="25"/>
      <c r="CV101" s="29"/>
      <c r="CW101" s="29"/>
      <c r="CX101" s="29"/>
      <c r="CY101" s="25"/>
      <c r="CZ101" s="23"/>
      <c r="DA101" s="23"/>
      <c r="DB101" s="25"/>
      <c r="DC101" s="25"/>
      <c r="DD101" s="25"/>
      <c r="DE101" s="25"/>
      <c r="DF101" s="25"/>
      <c r="DG101" s="25"/>
      <c r="DH101" s="25"/>
      <c r="DI101" s="25"/>
      <c r="DJ101" s="25"/>
      <c r="DK101" s="26"/>
      <c r="DL101" s="25"/>
      <c r="DM101" s="25"/>
      <c r="DN101" s="25"/>
      <c r="DO101" s="25"/>
      <c r="DP101" s="25"/>
      <c r="DQ101" s="25"/>
      <c r="DR101" s="25"/>
      <c r="DS101" s="25"/>
      <c r="DT101" s="25"/>
      <c r="DU101" s="62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conditionalFormatting sqref="O1:O1048576">
    <cfRule type="duplicateValues" dxfId="13" priority="1"/>
  </conditionalFormatting>
  <conditionalFormatting sqref="O2:O3">
    <cfRule type="duplicateValues" dxfId="12" priority="30"/>
  </conditionalFormatting>
  <conditionalFormatting sqref="O13:O14">
    <cfRule type="duplicateValues" dxfId="11" priority="21"/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602BFFED-DC02-4E7E-AD86-73E1813F44A5}">
            <xm:f>申編單提送狀態!$B$6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8EA3BE6A-FDC1-42AE-8DA5-FBE4711A13D1}">
            <xm:f>申編單提送狀態!$B$5</xm:f>
            <x14:dxf>
              <fill>
                <patternFill>
                  <bgColor theme="8" tint="0.59996337778862885"/>
                </patternFill>
              </fill>
            </x14:dxf>
          </x14:cfRule>
          <x14:cfRule type="cellIs" priority="4" operator="equal" id="{3755D6DD-0714-4EC7-8E0C-D129F3E4A78C}">
            <xm:f>申編單提送狀態!$B$4</xm:f>
            <x14:dxf>
              <fill>
                <patternFill>
                  <bgColor theme="8" tint="0.79998168889431442"/>
                </patternFill>
              </fill>
            </x14:dxf>
          </x14:cfRule>
          <x14:cfRule type="cellIs" priority="5" operator="equal" id="{5C5EF1B4-4BAF-4637-89C0-97FAF870D7CD}">
            <xm:f>申編單提送狀態!$B$3</xm:f>
            <x14:dxf>
              <fill>
                <patternFill>
                  <bgColor theme="9" tint="0.59996337778862885"/>
                </patternFill>
              </fill>
            </x14:dxf>
          </x14:cfRule>
          <xm:sqref>K2:K100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AF061894-4B3D-429B-B179-E4F6B0535C54}">
          <x14:formula1>
            <xm:f>清單及說明!$B$2</xm:f>
          </x14:formula1>
          <xm:sqref>T2:T1048576</xm:sqref>
        </x14:dataValidation>
        <x14:dataValidation type="list" allowBlank="1" showInputMessage="1" showErrorMessage="1" xr:uid="{E20CAF05-95BC-40F2-9DB0-1976BFC51949}">
          <x14:formula1>
            <xm:f>清單及說明!$D$2</xm:f>
          </x14:formula1>
          <xm:sqref>BX2:BX1048576</xm:sqref>
        </x14:dataValidation>
        <x14:dataValidation type="list" allowBlank="1" showInputMessage="1" showErrorMessage="1" xr:uid="{2581AE05-56BB-4D6C-86DA-B854807CC57F}">
          <x14:formula1>
            <xm:f>清單及說明!$C$2</xm:f>
          </x14:formula1>
          <xm:sqref>BW2:BW1048576</xm:sqref>
        </x14:dataValidation>
        <x14:dataValidation type="list" allowBlank="1" showInputMessage="1" showErrorMessage="1" xr:uid="{438C9121-1EE4-4FEF-8704-9F9B9D5A5964}">
          <x14:formula1>
            <xm:f>清單及說明!$A$2:$A$3</xm:f>
          </x14:formula1>
          <xm:sqref>B2:B1048576</xm:sqref>
        </x14:dataValidation>
        <x14:dataValidation type="list" showInputMessage="1" showErrorMessage="1" xr:uid="{F8A66D94-9ED6-40DF-AE61-E69731A45145}">
          <x14:formula1>
            <xm:f>清單及說明!$E$2</xm:f>
          </x14:formula1>
          <xm:sqref>CN2:CN1048576</xm:sqref>
        </x14:dataValidation>
        <x14:dataValidation type="list" allowBlank="1" showInputMessage="1" showErrorMessage="1" xr:uid="{556273BE-ECEA-40C1-995F-2327D1AC4B20}">
          <x14:formula1>
            <xm:f>清單及說明!$F$2</xm:f>
          </x14:formula1>
          <xm:sqref>CO2:CO1048576</xm:sqref>
        </x14:dataValidation>
        <x14:dataValidation type="list" allowBlank="1" showInputMessage="1" showErrorMessage="1" xr:uid="{78854D21-73BD-4389-83BD-DFE486F6CEFB}">
          <x14:formula1>
            <xm:f>清單及說明!$G$2</xm:f>
          </x14:formula1>
          <xm:sqref>CQ2:CQ1048576</xm:sqref>
        </x14:dataValidation>
        <x14:dataValidation type="list" allowBlank="1" showInputMessage="1" showErrorMessage="1" xr:uid="{9BFB317F-C94C-4274-9506-F9E90F79A40B}">
          <x14:formula1>
            <xm:f>清單及說明!$A$14:$A$17</xm:f>
          </x14:formula1>
          <xm:sqref>DP2:DP1048576</xm:sqref>
        </x14:dataValidation>
        <x14:dataValidation type="list" allowBlank="1" showInputMessage="1" showErrorMessage="1" xr:uid="{DBE0341E-4EE5-4C7A-AE0C-A888E0D688D0}">
          <x14:formula1>
            <xm:f>清單及說明!$C$14:$C$32</xm:f>
          </x14:formula1>
          <xm:sqref>DQ2:DQ1048576</xm:sqref>
        </x14:dataValidation>
        <x14:dataValidation type="list" allowBlank="1" showInputMessage="1" showErrorMessage="1" xr:uid="{F1F92C84-F57C-48FA-8E05-1357E1465723}">
          <x14:formula1>
            <xm:f>清單及說明!$E$14:$E$41</xm:f>
          </x14:formula1>
          <xm:sqref>DR2:DR1048576</xm:sqref>
        </x14:dataValidation>
        <x14:dataValidation type="list" allowBlank="1" showInputMessage="1" showErrorMessage="1" xr:uid="{6F987463-5D94-4E46-9BAA-FC368A45E0E9}">
          <x14:formula1>
            <xm:f>清單及說明!$G$14:$G$18</xm:f>
          </x14:formula1>
          <xm:sqref>DS2:DS1048576</xm:sqref>
        </x14:dataValidation>
        <x14:dataValidation type="list" allowBlank="1" showInputMessage="1" showErrorMessage="1" xr:uid="{24487A07-757E-498E-A9FF-A41443995596}">
          <x14:formula1>
            <xm:f>申編單提送狀態!$B$3:$B$7</xm:f>
          </x14:formula1>
          <xm:sqref>K2:K1048576</xm:sqref>
        </x14:dataValidation>
        <x14:dataValidation type="list" allowBlank="1" showInputMessage="1" showErrorMessage="1" xr:uid="{DBFAEF0E-4F5C-4DE7-BF4A-4115779B7166}">
          <x14:formula1>
            <xm:f>清單及說明!$H$2</xm:f>
          </x14:formula1>
          <xm:sqref>AJ2:AJ1048576</xm:sqref>
        </x14:dataValidation>
        <x14:dataValidation type="list" allowBlank="1" showInputMessage="1" showErrorMessage="1" xr:uid="{8D05F6B4-45CC-4455-9237-A026C49D230A}">
          <x14:formula1>
            <xm:f>清單及說明!$I$2</xm:f>
          </x14:formula1>
          <xm:sqref>AK2:AK1048576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3467-725A-4CC2-9AA2-C0701D7770A1}">
  <dimension ref="A1:AB101"/>
  <sheetViews>
    <sheetView zoomScale="55" zoomScaleNormal="55" workbookViewId="0">
      <pane ySplit="1" topLeftCell="A2" activePane="bottomLeft" state="frozen"/>
      <selection pane="bottomLeft" activeCell="AC13" sqref="AC13"/>
    </sheetView>
  </sheetViews>
  <sheetFormatPr defaultColWidth="8.77734375" defaultRowHeight="16.2" x14ac:dyDescent="0.3"/>
  <cols>
    <col min="1" max="1" width="4.109375" style="6" bestFit="1" customWidth="1"/>
    <col min="2" max="2" width="7.77734375" style="2" bestFit="1" customWidth="1"/>
    <col min="3" max="3" width="9.21875" style="47" customWidth="1"/>
    <col min="4" max="4" width="13" style="47" bestFit="1" customWidth="1"/>
    <col min="5" max="5" width="9.88671875" style="47" customWidth="1"/>
    <col min="6" max="6" width="37.33203125" style="47" bestFit="1" customWidth="1"/>
    <col min="7" max="7" width="26.21875" style="47" customWidth="1"/>
    <col min="8" max="22" width="8.77734375" style="47"/>
    <col min="23" max="23" width="19.88671875" style="47" customWidth="1"/>
    <col min="24" max="27" width="8.77734375" style="47"/>
    <col min="28" max="28" width="11.21875" style="47" customWidth="1"/>
    <col min="29" max="16384" width="8.77734375" style="6"/>
  </cols>
  <sheetData>
    <row r="1" spans="1:28" s="5" customFormat="1" ht="48.6" x14ac:dyDescent="0.3">
      <c r="A1" s="4" t="s">
        <v>99</v>
      </c>
      <c r="B1" s="7" t="s">
        <v>57</v>
      </c>
      <c r="C1" s="228" t="s">
        <v>107</v>
      </c>
      <c r="D1" s="229" t="s">
        <v>70</v>
      </c>
      <c r="E1" s="229" t="s">
        <v>61</v>
      </c>
      <c r="F1" s="229" t="s">
        <v>108</v>
      </c>
      <c r="G1" s="229" t="s">
        <v>14</v>
      </c>
      <c r="H1" s="229" t="s">
        <v>62</v>
      </c>
      <c r="I1" s="229" t="s">
        <v>2</v>
      </c>
      <c r="J1" s="229" t="s">
        <v>3</v>
      </c>
      <c r="K1" s="229" t="s">
        <v>17</v>
      </c>
      <c r="L1" s="229" t="s">
        <v>65</v>
      </c>
      <c r="M1" s="229" t="s">
        <v>22</v>
      </c>
      <c r="N1" s="229" t="s">
        <v>66</v>
      </c>
      <c r="O1" s="229" t="s">
        <v>19</v>
      </c>
      <c r="P1" s="229" t="s">
        <v>12</v>
      </c>
      <c r="Q1" s="229" t="s">
        <v>16</v>
      </c>
      <c r="R1" s="229" t="s">
        <v>67</v>
      </c>
      <c r="S1" s="229" t="s">
        <v>18</v>
      </c>
      <c r="T1" s="229" t="s">
        <v>68</v>
      </c>
      <c r="U1" s="229" t="s">
        <v>21</v>
      </c>
      <c r="V1" s="229" t="s">
        <v>20</v>
      </c>
      <c r="W1" s="229" t="s">
        <v>69</v>
      </c>
      <c r="X1" s="229" t="s">
        <v>63</v>
      </c>
      <c r="Y1" s="229" t="s">
        <v>64</v>
      </c>
      <c r="Z1" s="229" t="s">
        <v>109</v>
      </c>
      <c r="AA1" s="229" t="s">
        <v>110</v>
      </c>
      <c r="AB1" s="229" t="s">
        <v>111</v>
      </c>
    </row>
    <row r="2" spans="1:28" x14ac:dyDescent="0.3">
      <c r="B2" s="2" t="str">
        <f>IF(C2="","",COUNTA($C$2:C2))</f>
        <v/>
      </c>
      <c r="C2" s="47" t="str">
        <f>IFERROR(VLOOKUP($A$1&amp;"-"&amp;ROW(C1),基本資料填寫!$A:$DN,COLUMN(基本資料填寫!S2),0),"")</f>
        <v/>
      </c>
      <c r="D2" s="47" t="str">
        <f>IFERROR(VLOOKUP($A$1&amp;"-"&amp;ROW(D1),基本資料填寫!$A:$DN,COLUMN(基本資料填寫!V2),0),"")</f>
        <v/>
      </c>
      <c r="E2" s="47" t="str">
        <f>IFERROR(VLOOKUP($A$1&amp;"-"&amp;ROW(E1),基本資料填寫!$A:$DN,COLUMN(基本資料填寫!BW2),0),"")</f>
        <v/>
      </c>
      <c r="F2" s="47" t="str">
        <f>IFERROR(VLOOKUP($A$1&amp;"-"&amp;ROW(F1),基本資料填寫!$A:$DN,COLUMN(基本資料填寫!AN2),0),"")</f>
        <v/>
      </c>
      <c r="G2" s="47" t="str">
        <f>IFERROR(VLOOKUP($A$1&amp;"-"&amp;ROW(H1),基本資料填寫!$A:$DN,COLUMN(基本資料填寫!R2),0),"")</f>
        <v/>
      </c>
      <c r="H2" s="47" t="str">
        <f>IFERROR(VLOOKUP($A$1&amp;"-"&amp;ROW(X1),基本資料填寫!$A:$DN,COLUMN(基本資料填寫!BX2),0),"")</f>
        <v/>
      </c>
      <c r="I2" s="47" t="str">
        <f>IFERROR(VLOOKUP($A$1&amp;"-"&amp;ROW(P1),基本資料填寫!$A:$DN,COLUMN(基本資料填寫!Z2),0),"")</f>
        <v/>
      </c>
      <c r="J2" s="47" t="str">
        <f>IFERROR(VLOOKUP($A$1&amp;"-"&amp;ROW(Q1),基本資料填寫!$A:$DN,COLUMN(基本資料填寫!AA2),0),"")</f>
        <v/>
      </c>
      <c r="K2" s="47" t="str">
        <f>IFERROR(VLOOKUP($A$1&amp;"-"&amp;ROW(Y1),基本資料填寫!$A:$DN,COLUMN(基本資料填寫!BY2),0),"")</f>
        <v/>
      </c>
      <c r="L2" s="47" t="str">
        <f>IFERROR(VLOOKUP($A$1&amp;"-"&amp;ROW(Z1),基本資料填寫!$A:$DN,COLUMN(基本資料填寫!BZ2),0),"")</f>
        <v/>
      </c>
      <c r="M2" s="47" t="str">
        <f>IFERROR(VLOOKUP($A$1&amp;"-"&amp;ROW(AA1),基本資料填寫!$A:$DN,COLUMN(基本資料填寫!CA2),0),"")</f>
        <v/>
      </c>
      <c r="N2" s="47" t="str">
        <f>IFERROR(VLOOKUP($A$1&amp;"-"&amp;ROW(G1),基本資料填寫!$A:$DN,COLUMN(基本資料填寫!AO2),0),"")</f>
        <v/>
      </c>
      <c r="O2" s="47" t="str">
        <f>IFERROR(VLOOKUP($A$1&amp;"-"&amp;ROW(AB1),基本資料填寫!$A:$DN,COLUMN(基本資料填寫!CB2),0),"")</f>
        <v/>
      </c>
      <c r="P2" s="47" t="str">
        <f>IFERROR(VLOOKUP($A$1&amp;"-"&amp;ROW(AC1),基本資料填寫!$A:$DN,COLUMN(基本資料填寫!CC2),0),"")</f>
        <v/>
      </c>
      <c r="Q2" s="47" t="str">
        <f>IFERROR(VLOOKUP($A$1&amp;"-"&amp;ROW(AD1),基本資料填寫!$A:$DN,COLUMN(基本資料填寫!CD2),0),"")</f>
        <v/>
      </c>
      <c r="R2" s="47" t="str">
        <f>IFERROR(VLOOKUP($A$1&amp;"-"&amp;ROW(AE1),基本資料填寫!$A:$DN,COLUMN(基本資料填寫!CE2),0),"")</f>
        <v/>
      </c>
      <c r="S2" s="47" t="str">
        <f>IFERROR(VLOOKUP($A$1&amp;"-"&amp;ROW(AF1),基本資料填寫!$A:$DN,COLUMN(基本資料填寫!CF2),0),"")</f>
        <v/>
      </c>
      <c r="T2" s="47" t="str">
        <f>IFERROR(VLOOKUP($A$1&amp;"-"&amp;ROW(AG1),基本資料填寫!$A:$DN,COLUMN(基本資料填寫!CG2),0),"")</f>
        <v/>
      </c>
      <c r="U2" s="47" t="str">
        <f>IFERROR(VLOOKUP($A$1&amp;"-"&amp;ROW(AH1),基本資料填寫!$A:$DN,COLUMN(基本資料填寫!CH2),0),"")</f>
        <v/>
      </c>
      <c r="V2" s="47" t="str">
        <f>IFERROR(VLOOKUP($A$1&amp;"-"&amp;ROW(AI1),基本資料填寫!$A:$DN,COLUMN(基本資料填寫!CI2),0),"")</f>
        <v/>
      </c>
      <c r="W2" s="47" t="str">
        <f>IFERROR(VLOOKUP($A$1&amp;"-"&amp;ROW(E1),基本資料填寫!$A:$DN,COLUMN(基本資料填寫!O2),0),"")</f>
        <v/>
      </c>
      <c r="X2" s="47" t="str">
        <f>IFERROR(VLOOKUP($A$1&amp;"-"&amp;ROW(AJ1),基本資料填寫!$A:$DN,COLUMN(基本資料填寫!CJ2),0),"")</f>
        <v/>
      </c>
      <c r="Y2" s="47" t="str">
        <f>IFERROR(VLOOKUP($A$1&amp;"-"&amp;ROW(AK1),基本資料填寫!$A:$DN,COLUMN(基本資料填寫!CK2),0),"")</f>
        <v/>
      </c>
      <c r="Z2" s="47" t="str">
        <f>IFERROR(VLOOKUP($A$1&amp;"-"&amp;ROW(AM1),基本資料填寫!$A:$DN,COLUMN(基本資料填寫!CN2),0),"")</f>
        <v/>
      </c>
      <c r="AA2" s="47" t="str">
        <f>IFERROR(VLOOKUP($A$1&amp;"-"&amp;ROW(AN1),基本資料填寫!$A:$DN,COLUMN(基本資料填寫!CO2),0),"")</f>
        <v/>
      </c>
      <c r="AB2" s="47" t="str">
        <f>IFERROR(VLOOKUP($A$1&amp;"-"&amp;ROW(AO1),基本資料填寫!$A:$DN,COLUMN(基本資料填寫!CP2),0),"")</f>
        <v/>
      </c>
    </row>
    <row r="3" spans="1:28" x14ac:dyDescent="0.3">
      <c r="B3" s="2" t="str">
        <f>IF(C3="","",COUNTA($C$2:C3))</f>
        <v/>
      </c>
      <c r="C3" s="47" t="str">
        <f>IFERROR(VLOOKUP($A$1&amp;"-"&amp;ROW(C2),基本資料填寫!$A:$DN,COLUMN(基本資料填寫!S3),0),"")</f>
        <v/>
      </c>
      <c r="D3" s="47" t="str">
        <f>IFERROR(VLOOKUP($A$1&amp;"-"&amp;ROW(D2),基本資料填寫!$A:$DN,COLUMN(基本資料填寫!V3),0),"")</f>
        <v/>
      </c>
      <c r="E3" s="47" t="str">
        <f>IFERROR(VLOOKUP($A$1&amp;"-"&amp;ROW(E2),基本資料填寫!$A:$DN,COLUMN(基本資料填寫!BW3),0),"")</f>
        <v/>
      </c>
      <c r="F3" s="47" t="str">
        <f>IFERROR(VLOOKUP($A$1&amp;"-"&amp;ROW(F2),基本資料填寫!$A:$DN,COLUMN(基本資料填寫!AN3),0),"")</f>
        <v/>
      </c>
      <c r="G3" s="47" t="str">
        <f>IFERROR(VLOOKUP($A$1&amp;"-"&amp;ROW(H2),基本資料填寫!$A:$DN,COLUMN(基本資料填寫!R3),0),"")</f>
        <v/>
      </c>
      <c r="H3" s="47" t="str">
        <f>IFERROR(VLOOKUP($A$1&amp;"-"&amp;ROW(X2),基本資料填寫!$A:$DN,COLUMN(基本資料填寫!BX3),0),"")</f>
        <v/>
      </c>
      <c r="I3" s="47" t="str">
        <f>IFERROR(VLOOKUP($A$1&amp;"-"&amp;ROW(P2),基本資料填寫!$A:$DN,COLUMN(基本資料填寫!Z3),0),"")</f>
        <v/>
      </c>
      <c r="J3" s="47" t="str">
        <f>IFERROR(VLOOKUP($A$1&amp;"-"&amp;ROW(Q2),基本資料填寫!$A:$DN,COLUMN(基本資料填寫!AA3),0),"")</f>
        <v/>
      </c>
      <c r="K3" s="47" t="str">
        <f>IFERROR(VLOOKUP($A$1&amp;"-"&amp;ROW(Y2),基本資料填寫!$A:$DN,COLUMN(基本資料填寫!BY3),0),"")</f>
        <v/>
      </c>
      <c r="L3" s="47" t="str">
        <f>IFERROR(VLOOKUP($A$1&amp;"-"&amp;ROW(Z2),基本資料填寫!$A:$DN,COLUMN(基本資料填寫!BZ3),0),"")</f>
        <v/>
      </c>
      <c r="M3" s="47" t="str">
        <f>IFERROR(VLOOKUP($A$1&amp;"-"&amp;ROW(AA2),基本資料填寫!$A:$DN,COLUMN(基本資料填寫!CA3),0),"")</f>
        <v/>
      </c>
      <c r="N3" s="47" t="str">
        <f>IFERROR(VLOOKUP($A$1&amp;"-"&amp;ROW(G2),基本資料填寫!$A:$DN,COLUMN(基本資料填寫!AO3),0),"")</f>
        <v/>
      </c>
      <c r="O3" s="47" t="str">
        <f>IFERROR(VLOOKUP($A$1&amp;"-"&amp;ROW(AB2),基本資料填寫!$A:$DN,COLUMN(基本資料填寫!CB3),0),"")</f>
        <v/>
      </c>
      <c r="P3" s="47" t="str">
        <f>IFERROR(VLOOKUP($A$1&amp;"-"&amp;ROW(AC2),基本資料填寫!$A:$DN,COLUMN(基本資料填寫!CC3),0),"")</f>
        <v/>
      </c>
      <c r="Q3" s="47" t="str">
        <f>IFERROR(VLOOKUP($A$1&amp;"-"&amp;ROW(AD2),基本資料填寫!$A:$DN,COLUMN(基本資料填寫!CD3),0),"")</f>
        <v/>
      </c>
      <c r="R3" s="47" t="str">
        <f>IFERROR(VLOOKUP($A$1&amp;"-"&amp;ROW(AE2),基本資料填寫!$A:$DN,COLUMN(基本資料填寫!CE3),0),"")</f>
        <v/>
      </c>
      <c r="S3" s="47" t="str">
        <f>IFERROR(VLOOKUP($A$1&amp;"-"&amp;ROW(AF2),基本資料填寫!$A:$DN,COLUMN(基本資料填寫!CF3),0),"")</f>
        <v/>
      </c>
      <c r="T3" s="47" t="str">
        <f>IFERROR(VLOOKUP($A$1&amp;"-"&amp;ROW(AG2),基本資料填寫!$A:$DN,COLUMN(基本資料填寫!CG3),0),"")</f>
        <v/>
      </c>
      <c r="U3" s="47" t="str">
        <f>IFERROR(VLOOKUP($A$1&amp;"-"&amp;ROW(AH2),基本資料填寫!$A:$DN,COLUMN(基本資料填寫!CH3),0),"")</f>
        <v/>
      </c>
      <c r="V3" s="47" t="str">
        <f>IFERROR(VLOOKUP($A$1&amp;"-"&amp;ROW(AI2),基本資料填寫!$A:$DN,COLUMN(基本資料填寫!CI3),0),"")</f>
        <v/>
      </c>
      <c r="W3" s="47" t="str">
        <f>IFERROR(VLOOKUP($A$1&amp;"-"&amp;ROW(E2),基本資料填寫!$A:$DN,COLUMN(基本資料填寫!O3),0),"")</f>
        <v/>
      </c>
      <c r="X3" s="47" t="str">
        <f>IFERROR(VLOOKUP($A$1&amp;"-"&amp;ROW(AJ2),基本資料填寫!$A:$DN,COLUMN(基本資料填寫!CJ3),0),"")</f>
        <v/>
      </c>
      <c r="Y3" s="47" t="str">
        <f>IFERROR(VLOOKUP($A$1&amp;"-"&amp;ROW(AK2),基本資料填寫!$A:$DN,COLUMN(基本資料填寫!CK3),0),"")</f>
        <v/>
      </c>
      <c r="Z3" s="47" t="str">
        <f>IFERROR(VLOOKUP($A$1&amp;"-"&amp;ROW(AM2),基本資料填寫!$A:$DN,COLUMN(基本資料填寫!CN3),0),"")</f>
        <v/>
      </c>
      <c r="AA3" s="47" t="str">
        <f>IFERROR(VLOOKUP($A$1&amp;"-"&amp;ROW(AN2),基本資料填寫!$A:$DN,COLUMN(基本資料填寫!CO3),0),"")</f>
        <v/>
      </c>
      <c r="AB3" s="47" t="str">
        <f>IFERROR(VLOOKUP($A$1&amp;"-"&amp;ROW(AO2),基本資料填寫!$A:$DN,COLUMN(基本資料填寫!CP3),0),"")</f>
        <v/>
      </c>
    </row>
    <row r="4" spans="1:28" x14ac:dyDescent="0.3">
      <c r="B4" s="2" t="str">
        <f>IF(C4="","",COUNTA($C$2:C4))</f>
        <v/>
      </c>
      <c r="C4" s="47" t="str">
        <f>IFERROR(VLOOKUP($A$1&amp;"-"&amp;ROW(C3),基本資料填寫!$A:$DN,COLUMN(基本資料填寫!S4),0),"")</f>
        <v/>
      </c>
      <c r="D4" s="47" t="str">
        <f>IFERROR(VLOOKUP($A$1&amp;"-"&amp;ROW(D3),基本資料填寫!$A:$DN,COLUMN(基本資料填寫!V4),0),"")</f>
        <v/>
      </c>
      <c r="E4" s="47" t="str">
        <f>IFERROR(VLOOKUP($A$1&amp;"-"&amp;ROW(E3),基本資料填寫!$A:$DN,COLUMN(基本資料填寫!BW4),0),"")</f>
        <v/>
      </c>
      <c r="F4" s="47" t="str">
        <f>IFERROR(VLOOKUP($A$1&amp;"-"&amp;ROW(F3),基本資料填寫!$A:$DN,COLUMN(基本資料填寫!AN4),0),"")</f>
        <v/>
      </c>
      <c r="G4" s="47" t="str">
        <f>IFERROR(VLOOKUP($A$1&amp;"-"&amp;ROW(H3),基本資料填寫!$A:$DN,COLUMN(基本資料填寫!R4),0),"")</f>
        <v/>
      </c>
      <c r="H4" s="47" t="str">
        <f>IFERROR(VLOOKUP($A$1&amp;"-"&amp;ROW(X3),基本資料填寫!$A:$DN,COLUMN(基本資料填寫!BX4),0),"")</f>
        <v/>
      </c>
      <c r="I4" s="47" t="str">
        <f>IFERROR(VLOOKUP($A$1&amp;"-"&amp;ROW(P3),基本資料填寫!$A:$DN,COLUMN(基本資料填寫!Z4),0),"")</f>
        <v/>
      </c>
      <c r="J4" s="47" t="str">
        <f>IFERROR(VLOOKUP($A$1&amp;"-"&amp;ROW(Q3),基本資料填寫!$A:$DN,COLUMN(基本資料填寫!AA4),0),"")</f>
        <v/>
      </c>
      <c r="K4" s="47" t="str">
        <f>IFERROR(VLOOKUP($A$1&amp;"-"&amp;ROW(Y3),基本資料填寫!$A:$DN,COLUMN(基本資料填寫!BY4),0),"")</f>
        <v/>
      </c>
      <c r="L4" s="47" t="str">
        <f>IFERROR(VLOOKUP($A$1&amp;"-"&amp;ROW(Z3),基本資料填寫!$A:$DN,COLUMN(基本資料填寫!BZ4),0),"")</f>
        <v/>
      </c>
      <c r="M4" s="47" t="str">
        <f>IFERROR(VLOOKUP($A$1&amp;"-"&amp;ROW(AA3),基本資料填寫!$A:$DN,COLUMN(基本資料填寫!CA4),0),"")</f>
        <v/>
      </c>
      <c r="N4" s="47" t="str">
        <f>IFERROR(VLOOKUP($A$1&amp;"-"&amp;ROW(G3),基本資料填寫!$A:$DN,COLUMN(基本資料填寫!AO4),0),"")</f>
        <v/>
      </c>
      <c r="O4" s="47" t="str">
        <f>IFERROR(VLOOKUP($A$1&amp;"-"&amp;ROW(AB3),基本資料填寫!$A:$DN,COLUMN(基本資料填寫!CB4),0),"")</f>
        <v/>
      </c>
      <c r="P4" s="47" t="str">
        <f>IFERROR(VLOOKUP($A$1&amp;"-"&amp;ROW(AC3),基本資料填寫!$A:$DN,COLUMN(基本資料填寫!CC4),0),"")</f>
        <v/>
      </c>
      <c r="Q4" s="47" t="str">
        <f>IFERROR(VLOOKUP($A$1&amp;"-"&amp;ROW(AD3),基本資料填寫!$A:$DN,COLUMN(基本資料填寫!CD4),0),"")</f>
        <v/>
      </c>
      <c r="R4" s="47" t="str">
        <f>IFERROR(VLOOKUP($A$1&amp;"-"&amp;ROW(AE3),基本資料填寫!$A:$DN,COLUMN(基本資料填寫!CE4),0),"")</f>
        <v/>
      </c>
      <c r="S4" s="47" t="str">
        <f>IFERROR(VLOOKUP($A$1&amp;"-"&amp;ROW(AF3),基本資料填寫!$A:$DN,COLUMN(基本資料填寫!CF4),0),"")</f>
        <v/>
      </c>
      <c r="T4" s="47" t="str">
        <f>IFERROR(VLOOKUP($A$1&amp;"-"&amp;ROW(AG3),基本資料填寫!$A:$DN,COLUMN(基本資料填寫!CG4),0),"")</f>
        <v/>
      </c>
      <c r="U4" s="47" t="str">
        <f>IFERROR(VLOOKUP($A$1&amp;"-"&amp;ROW(AH3),基本資料填寫!$A:$DN,COLUMN(基本資料填寫!CH4),0),"")</f>
        <v/>
      </c>
      <c r="V4" s="47" t="str">
        <f>IFERROR(VLOOKUP($A$1&amp;"-"&amp;ROW(AI3),基本資料填寫!$A:$DN,COLUMN(基本資料填寫!CI4),0),"")</f>
        <v/>
      </c>
      <c r="W4" s="47" t="str">
        <f>IFERROR(VLOOKUP($A$1&amp;"-"&amp;ROW(E3),基本資料填寫!$A:$DN,COLUMN(基本資料填寫!O4),0),"")</f>
        <v/>
      </c>
      <c r="X4" s="47" t="str">
        <f>IFERROR(VLOOKUP($A$1&amp;"-"&amp;ROW(AJ3),基本資料填寫!$A:$DN,COLUMN(基本資料填寫!CJ4),0),"")</f>
        <v/>
      </c>
      <c r="Y4" s="47" t="str">
        <f>IFERROR(VLOOKUP($A$1&amp;"-"&amp;ROW(AK3),基本資料填寫!$A:$DN,COLUMN(基本資料填寫!CK4),0),"")</f>
        <v/>
      </c>
      <c r="Z4" s="47" t="str">
        <f>IFERROR(VLOOKUP($A$1&amp;"-"&amp;ROW(AM3),基本資料填寫!$A:$DN,COLUMN(基本資料填寫!CN4),0),"")</f>
        <v/>
      </c>
      <c r="AA4" s="47" t="str">
        <f>IFERROR(VLOOKUP($A$1&amp;"-"&amp;ROW(AN3),基本資料填寫!$A:$DN,COLUMN(基本資料填寫!CO4),0),"")</f>
        <v/>
      </c>
      <c r="AB4" s="47" t="str">
        <f>IFERROR(VLOOKUP($A$1&amp;"-"&amp;ROW(AO3),基本資料填寫!$A:$DN,COLUMN(基本資料填寫!CP4),0),"")</f>
        <v/>
      </c>
    </row>
    <row r="5" spans="1:28" x14ac:dyDescent="0.3">
      <c r="B5" s="2" t="str">
        <f>IF(C5="","",COUNTA($C$2:C5))</f>
        <v/>
      </c>
      <c r="C5" s="47" t="str">
        <f>IFERROR(VLOOKUP($A$1&amp;"-"&amp;ROW(C4),基本資料填寫!$A:$DN,COLUMN(基本資料填寫!S5),0),"")</f>
        <v/>
      </c>
      <c r="D5" s="47" t="str">
        <f>IFERROR(VLOOKUP($A$1&amp;"-"&amp;ROW(D4),基本資料填寫!$A:$DN,COLUMN(基本資料填寫!V5),0),"")</f>
        <v/>
      </c>
      <c r="E5" s="47" t="str">
        <f>IFERROR(VLOOKUP($A$1&amp;"-"&amp;ROW(E4),基本資料填寫!$A:$DN,COLUMN(基本資料填寫!BW5),0),"")</f>
        <v/>
      </c>
      <c r="F5" s="47" t="str">
        <f>IFERROR(VLOOKUP($A$1&amp;"-"&amp;ROW(F4),基本資料填寫!$A:$DN,COLUMN(基本資料填寫!AN5),0),"")</f>
        <v/>
      </c>
      <c r="G5" s="47" t="str">
        <f>IFERROR(VLOOKUP($A$1&amp;"-"&amp;ROW(H4),基本資料填寫!$A:$DN,COLUMN(基本資料填寫!R5),0),"")</f>
        <v/>
      </c>
      <c r="H5" s="47" t="str">
        <f>IFERROR(VLOOKUP($A$1&amp;"-"&amp;ROW(X4),基本資料填寫!$A:$DN,COLUMN(基本資料填寫!BX5),0),"")</f>
        <v/>
      </c>
      <c r="I5" s="47" t="str">
        <f>IFERROR(VLOOKUP($A$1&amp;"-"&amp;ROW(P4),基本資料填寫!$A:$DN,COLUMN(基本資料填寫!Z5),0),"")</f>
        <v/>
      </c>
      <c r="J5" s="47" t="str">
        <f>IFERROR(VLOOKUP($A$1&amp;"-"&amp;ROW(Q4),基本資料填寫!$A:$DN,COLUMN(基本資料填寫!AA5),0),"")</f>
        <v/>
      </c>
      <c r="K5" s="47" t="str">
        <f>IFERROR(VLOOKUP($A$1&amp;"-"&amp;ROW(Y4),基本資料填寫!$A:$DN,COLUMN(基本資料填寫!BY5),0),"")</f>
        <v/>
      </c>
      <c r="L5" s="47" t="str">
        <f>IFERROR(VLOOKUP($A$1&amp;"-"&amp;ROW(Z4),基本資料填寫!$A:$DN,COLUMN(基本資料填寫!BZ5),0),"")</f>
        <v/>
      </c>
      <c r="M5" s="47" t="str">
        <f>IFERROR(VLOOKUP($A$1&amp;"-"&amp;ROW(AA4),基本資料填寫!$A:$DN,COLUMN(基本資料填寫!CA5),0),"")</f>
        <v/>
      </c>
      <c r="N5" s="47" t="str">
        <f>IFERROR(VLOOKUP($A$1&amp;"-"&amp;ROW(G4),基本資料填寫!$A:$DN,COLUMN(基本資料填寫!AO5),0),"")</f>
        <v/>
      </c>
      <c r="O5" s="47" t="str">
        <f>IFERROR(VLOOKUP($A$1&amp;"-"&amp;ROW(AB4),基本資料填寫!$A:$DN,COLUMN(基本資料填寫!CB5),0),"")</f>
        <v/>
      </c>
      <c r="P5" s="47" t="str">
        <f>IFERROR(VLOOKUP($A$1&amp;"-"&amp;ROW(AC4),基本資料填寫!$A:$DN,COLUMN(基本資料填寫!CC5),0),"")</f>
        <v/>
      </c>
      <c r="Q5" s="47" t="str">
        <f>IFERROR(VLOOKUP($A$1&amp;"-"&amp;ROW(AD4),基本資料填寫!$A:$DN,COLUMN(基本資料填寫!CD5),0),"")</f>
        <v/>
      </c>
      <c r="R5" s="47" t="str">
        <f>IFERROR(VLOOKUP($A$1&amp;"-"&amp;ROW(AE4),基本資料填寫!$A:$DN,COLUMN(基本資料填寫!CE5),0),"")</f>
        <v/>
      </c>
      <c r="S5" s="47" t="str">
        <f>IFERROR(VLOOKUP($A$1&amp;"-"&amp;ROW(AF4),基本資料填寫!$A:$DN,COLUMN(基本資料填寫!CF5),0),"")</f>
        <v/>
      </c>
      <c r="T5" s="47" t="str">
        <f>IFERROR(VLOOKUP($A$1&amp;"-"&amp;ROW(AG4),基本資料填寫!$A:$DN,COLUMN(基本資料填寫!CG5),0),"")</f>
        <v/>
      </c>
      <c r="U5" s="47" t="str">
        <f>IFERROR(VLOOKUP($A$1&amp;"-"&amp;ROW(AH4),基本資料填寫!$A:$DN,COLUMN(基本資料填寫!CH5),0),"")</f>
        <v/>
      </c>
      <c r="V5" s="47" t="str">
        <f>IFERROR(VLOOKUP($A$1&amp;"-"&amp;ROW(AI4),基本資料填寫!$A:$DN,COLUMN(基本資料填寫!CI5),0),"")</f>
        <v/>
      </c>
      <c r="W5" s="47" t="str">
        <f>IFERROR(VLOOKUP($A$1&amp;"-"&amp;ROW(E4),基本資料填寫!$A:$DN,COLUMN(基本資料填寫!O5),0),"")</f>
        <v/>
      </c>
      <c r="X5" s="47" t="str">
        <f>IFERROR(VLOOKUP($A$1&amp;"-"&amp;ROW(AJ4),基本資料填寫!$A:$DN,COLUMN(基本資料填寫!CJ5),0),"")</f>
        <v/>
      </c>
      <c r="Y5" s="47" t="str">
        <f>IFERROR(VLOOKUP($A$1&amp;"-"&amp;ROW(AK4),基本資料填寫!$A:$DN,COLUMN(基本資料填寫!CK5),0),"")</f>
        <v/>
      </c>
      <c r="Z5" s="47" t="str">
        <f>IFERROR(VLOOKUP($A$1&amp;"-"&amp;ROW(AM4),基本資料填寫!$A:$DN,COLUMN(基本資料填寫!CN5),0),"")</f>
        <v/>
      </c>
      <c r="AA5" s="47" t="str">
        <f>IFERROR(VLOOKUP($A$1&amp;"-"&amp;ROW(AN4),基本資料填寫!$A:$DN,COLUMN(基本資料填寫!CO5),0),"")</f>
        <v/>
      </c>
      <c r="AB5" s="47" t="str">
        <f>IFERROR(VLOOKUP($A$1&amp;"-"&amp;ROW(AO4),基本資料填寫!$A:$DN,COLUMN(基本資料填寫!CP5),0),"")</f>
        <v/>
      </c>
    </row>
    <row r="6" spans="1:28" x14ac:dyDescent="0.3">
      <c r="B6" s="2" t="str">
        <f>IF(C6="","",COUNTA($C$2:C6))</f>
        <v/>
      </c>
      <c r="C6" s="47" t="str">
        <f>IFERROR(VLOOKUP($A$1&amp;"-"&amp;ROW(C5),基本資料填寫!$A:$DN,COLUMN(基本資料填寫!S6),0),"")</f>
        <v/>
      </c>
      <c r="D6" s="47" t="str">
        <f>IFERROR(VLOOKUP($A$1&amp;"-"&amp;ROW(D5),基本資料填寫!$A:$DN,COLUMN(基本資料填寫!V6),0),"")</f>
        <v/>
      </c>
      <c r="E6" s="47" t="str">
        <f>IFERROR(VLOOKUP($A$1&amp;"-"&amp;ROW(E5),基本資料填寫!$A:$DN,COLUMN(基本資料填寫!BW6),0),"")</f>
        <v/>
      </c>
      <c r="F6" s="47" t="str">
        <f>IFERROR(VLOOKUP($A$1&amp;"-"&amp;ROW(F5),基本資料填寫!$A:$DN,COLUMN(基本資料填寫!AN6),0),"")</f>
        <v/>
      </c>
      <c r="G6" s="47" t="str">
        <f>IFERROR(VLOOKUP($A$1&amp;"-"&amp;ROW(H5),基本資料填寫!$A:$DN,COLUMN(基本資料填寫!R6),0),"")</f>
        <v/>
      </c>
      <c r="H6" s="47" t="str">
        <f>IFERROR(VLOOKUP($A$1&amp;"-"&amp;ROW(X5),基本資料填寫!$A:$DN,COLUMN(基本資料填寫!BX6),0),"")</f>
        <v/>
      </c>
      <c r="I6" s="47" t="str">
        <f>IFERROR(VLOOKUP($A$1&amp;"-"&amp;ROW(P5),基本資料填寫!$A:$DN,COLUMN(基本資料填寫!Z6),0),"")</f>
        <v/>
      </c>
      <c r="J6" s="47" t="str">
        <f>IFERROR(VLOOKUP($A$1&amp;"-"&amp;ROW(Q5),基本資料填寫!$A:$DN,COLUMN(基本資料填寫!AA6),0),"")</f>
        <v/>
      </c>
      <c r="K6" s="47" t="str">
        <f>IFERROR(VLOOKUP($A$1&amp;"-"&amp;ROW(Y5),基本資料填寫!$A:$DN,COLUMN(基本資料填寫!BY6),0),"")</f>
        <v/>
      </c>
      <c r="L6" s="47" t="str">
        <f>IFERROR(VLOOKUP($A$1&amp;"-"&amp;ROW(Z5),基本資料填寫!$A:$DN,COLUMN(基本資料填寫!BZ6),0),"")</f>
        <v/>
      </c>
      <c r="M6" s="47" t="str">
        <f>IFERROR(VLOOKUP($A$1&amp;"-"&amp;ROW(AA5),基本資料填寫!$A:$DN,COLUMN(基本資料填寫!CA6),0),"")</f>
        <v/>
      </c>
      <c r="N6" s="47" t="str">
        <f>IFERROR(VLOOKUP($A$1&amp;"-"&amp;ROW(G5),基本資料填寫!$A:$DN,COLUMN(基本資料填寫!AO6),0),"")</f>
        <v/>
      </c>
      <c r="O6" s="47" t="str">
        <f>IFERROR(VLOOKUP($A$1&amp;"-"&amp;ROW(AB5),基本資料填寫!$A:$DN,COLUMN(基本資料填寫!CB6),0),"")</f>
        <v/>
      </c>
      <c r="P6" s="47" t="str">
        <f>IFERROR(VLOOKUP($A$1&amp;"-"&amp;ROW(AC5),基本資料填寫!$A:$DN,COLUMN(基本資料填寫!CC6),0),"")</f>
        <v/>
      </c>
      <c r="Q6" s="47" t="str">
        <f>IFERROR(VLOOKUP($A$1&amp;"-"&amp;ROW(AD5),基本資料填寫!$A:$DN,COLUMN(基本資料填寫!CD6),0),"")</f>
        <v/>
      </c>
      <c r="R6" s="47" t="str">
        <f>IFERROR(VLOOKUP($A$1&amp;"-"&amp;ROW(AE5),基本資料填寫!$A:$DN,COLUMN(基本資料填寫!CE6),0),"")</f>
        <v/>
      </c>
      <c r="S6" s="47" t="str">
        <f>IFERROR(VLOOKUP($A$1&amp;"-"&amp;ROW(AF5),基本資料填寫!$A:$DN,COLUMN(基本資料填寫!CF6),0),"")</f>
        <v/>
      </c>
      <c r="T6" s="47" t="str">
        <f>IFERROR(VLOOKUP($A$1&amp;"-"&amp;ROW(AG5),基本資料填寫!$A:$DN,COLUMN(基本資料填寫!CG6),0),"")</f>
        <v/>
      </c>
      <c r="U6" s="47" t="str">
        <f>IFERROR(VLOOKUP($A$1&amp;"-"&amp;ROW(AH5),基本資料填寫!$A:$DN,COLUMN(基本資料填寫!CH6),0),"")</f>
        <v/>
      </c>
      <c r="V6" s="47" t="str">
        <f>IFERROR(VLOOKUP($A$1&amp;"-"&amp;ROW(AI5),基本資料填寫!$A:$DN,COLUMN(基本資料填寫!CI6),0),"")</f>
        <v/>
      </c>
      <c r="W6" s="47" t="str">
        <f>IFERROR(VLOOKUP($A$1&amp;"-"&amp;ROW(E5),基本資料填寫!$A:$DN,COLUMN(基本資料填寫!O6),0),"")</f>
        <v/>
      </c>
      <c r="X6" s="47" t="str">
        <f>IFERROR(VLOOKUP($A$1&amp;"-"&amp;ROW(AJ5),基本資料填寫!$A:$DN,COLUMN(基本資料填寫!CJ6),0),"")</f>
        <v/>
      </c>
      <c r="Y6" s="47" t="str">
        <f>IFERROR(VLOOKUP($A$1&amp;"-"&amp;ROW(AK5),基本資料填寫!$A:$DN,COLUMN(基本資料填寫!CK6),0),"")</f>
        <v/>
      </c>
      <c r="Z6" s="47" t="str">
        <f>IFERROR(VLOOKUP($A$1&amp;"-"&amp;ROW(AM5),基本資料填寫!$A:$DN,COLUMN(基本資料填寫!CN6),0),"")</f>
        <v/>
      </c>
      <c r="AA6" s="47" t="str">
        <f>IFERROR(VLOOKUP($A$1&amp;"-"&amp;ROW(AN5),基本資料填寫!$A:$DN,COLUMN(基本資料填寫!CO6),0),"")</f>
        <v/>
      </c>
      <c r="AB6" s="47" t="str">
        <f>IFERROR(VLOOKUP($A$1&amp;"-"&amp;ROW(AO5),基本資料填寫!$A:$DN,COLUMN(基本資料填寫!CP6),0),"")</f>
        <v/>
      </c>
    </row>
    <row r="7" spans="1:28" x14ac:dyDescent="0.3">
      <c r="B7" s="2" t="str">
        <f>IF(C7="","",COUNTA($C$2:C7))</f>
        <v/>
      </c>
      <c r="C7" s="47" t="str">
        <f>IFERROR(VLOOKUP($A$1&amp;"-"&amp;ROW(C6),基本資料填寫!$A:$DN,COLUMN(基本資料填寫!S7),0),"")</f>
        <v/>
      </c>
      <c r="D7" s="47" t="str">
        <f>IFERROR(VLOOKUP($A$1&amp;"-"&amp;ROW(D6),基本資料填寫!$A:$DN,COLUMN(基本資料填寫!V7),0),"")</f>
        <v/>
      </c>
      <c r="E7" s="47" t="str">
        <f>IFERROR(VLOOKUP($A$1&amp;"-"&amp;ROW(E6),基本資料填寫!$A:$DN,COLUMN(基本資料填寫!BW7),0),"")</f>
        <v/>
      </c>
      <c r="F7" s="47" t="str">
        <f>IFERROR(VLOOKUP($A$1&amp;"-"&amp;ROW(F6),基本資料填寫!$A:$DN,COLUMN(基本資料填寫!AN7),0),"")</f>
        <v/>
      </c>
      <c r="G7" s="47" t="str">
        <f>IFERROR(VLOOKUP($A$1&amp;"-"&amp;ROW(H6),基本資料填寫!$A:$DN,COLUMN(基本資料填寫!R7),0),"")</f>
        <v/>
      </c>
      <c r="H7" s="47" t="str">
        <f>IFERROR(VLOOKUP($A$1&amp;"-"&amp;ROW(X6),基本資料填寫!$A:$DN,COLUMN(基本資料填寫!BX7),0),"")</f>
        <v/>
      </c>
      <c r="I7" s="47" t="str">
        <f>IFERROR(VLOOKUP($A$1&amp;"-"&amp;ROW(P6),基本資料填寫!$A:$DN,COLUMN(基本資料填寫!Z7),0),"")</f>
        <v/>
      </c>
      <c r="J7" s="47" t="str">
        <f>IFERROR(VLOOKUP($A$1&amp;"-"&amp;ROW(Q6),基本資料填寫!$A:$DN,COLUMN(基本資料填寫!AA7),0),"")</f>
        <v/>
      </c>
      <c r="K7" s="47" t="str">
        <f>IFERROR(VLOOKUP($A$1&amp;"-"&amp;ROW(Y6),基本資料填寫!$A:$DN,COLUMN(基本資料填寫!BY7),0),"")</f>
        <v/>
      </c>
      <c r="L7" s="47" t="str">
        <f>IFERROR(VLOOKUP($A$1&amp;"-"&amp;ROW(Z6),基本資料填寫!$A:$DN,COLUMN(基本資料填寫!BZ7),0),"")</f>
        <v/>
      </c>
      <c r="M7" s="47" t="str">
        <f>IFERROR(VLOOKUP($A$1&amp;"-"&amp;ROW(AA6),基本資料填寫!$A:$DN,COLUMN(基本資料填寫!CA7),0),"")</f>
        <v/>
      </c>
      <c r="N7" s="47" t="str">
        <f>IFERROR(VLOOKUP($A$1&amp;"-"&amp;ROW(G6),基本資料填寫!$A:$DN,COLUMN(基本資料填寫!AO7),0),"")</f>
        <v/>
      </c>
      <c r="O7" s="47" t="str">
        <f>IFERROR(VLOOKUP($A$1&amp;"-"&amp;ROW(AB6),基本資料填寫!$A:$DN,COLUMN(基本資料填寫!CB7),0),"")</f>
        <v/>
      </c>
      <c r="P7" s="47" t="str">
        <f>IFERROR(VLOOKUP($A$1&amp;"-"&amp;ROW(AC6),基本資料填寫!$A:$DN,COLUMN(基本資料填寫!CC7),0),"")</f>
        <v/>
      </c>
      <c r="Q7" s="47" t="str">
        <f>IFERROR(VLOOKUP($A$1&amp;"-"&amp;ROW(AD6),基本資料填寫!$A:$DN,COLUMN(基本資料填寫!CD7),0),"")</f>
        <v/>
      </c>
      <c r="R7" s="47" t="str">
        <f>IFERROR(VLOOKUP($A$1&amp;"-"&amp;ROW(AE6),基本資料填寫!$A:$DN,COLUMN(基本資料填寫!CE7),0),"")</f>
        <v/>
      </c>
      <c r="S7" s="47" t="str">
        <f>IFERROR(VLOOKUP($A$1&amp;"-"&amp;ROW(AF6),基本資料填寫!$A:$DN,COLUMN(基本資料填寫!CF7),0),"")</f>
        <v/>
      </c>
      <c r="T7" s="47" t="str">
        <f>IFERROR(VLOOKUP($A$1&amp;"-"&amp;ROW(AG6),基本資料填寫!$A:$DN,COLUMN(基本資料填寫!CG7),0),"")</f>
        <v/>
      </c>
      <c r="U7" s="47" t="str">
        <f>IFERROR(VLOOKUP($A$1&amp;"-"&amp;ROW(AH6),基本資料填寫!$A:$DN,COLUMN(基本資料填寫!CH7),0),"")</f>
        <v/>
      </c>
      <c r="V7" s="47" t="str">
        <f>IFERROR(VLOOKUP($A$1&amp;"-"&amp;ROW(AI6),基本資料填寫!$A:$DN,COLUMN(基本資料填寫!CI7),0),"")</f>
        <v/>
      </c>
      <c r="W7" s="47" t="str">
        <f>IFERROR(VLOOKUP($A$1&amp;"-"&amp;ROW(E6),基本資料填寫!$A:$DN,COLUMN(基本資料填寫!O7),0),"")</f>
        <v/>
      </c>
      <c r="X7" s="47" t="str">
        <f>IFERROR(VLOOKUP($A$1&amp;"-"&amp;ROW(AJ6),基本資料填寫!$A:$DN,COLUMN(基本資料填寫!CJ7),0),"")</f>
        <v/>
      </c>
      <c r="Y7" s="47" t="str">
        <f>IFERROR(VLOOKUP($A$1&amp;"-"&amp;ROW(AK6),基本資料填寫!$A:$DN,COLUMN(基本資料填寫!CK7),0),"")</f>
        <v/>
      </c>
      <c r="Z7" s="47" t="str">
        <f>IFERROR(VLOOKUP($A$1&amp;"-"&amp;ROW(AM6),基本資料填寫!$A:$DN,COLUMN(基本資料填寫!CN7),0),"")</f>
        <v/>
      </c>
      <c r="AA7" s="47" t="str">
        <f>IFERROR(VLOOKUP($A$1&amp;"-"&amp;ROW(AN6),基本資料填寫!$A:$DN,COLUMN(基本資料填寫!CO7),0),"")</f>
        <v/>
      </c>
      <c r="AB7" s="47" t="str">
        <f>IFERROR(VLOOKUP($A$1&amp;"-"&amp;ROW(AO6),基本資料填寫!$A:$DN,COLUMN(基本資料填寫!CP7),0),"")</f>
        <v/>
      </c>
    </row>
    <row r="8" spans="1:28" x14ac:dyDescent="0.3">
      <c r="B8" s="2" t="str">
        <f>IF(C8="","",COUNTA($C$2:C8))</f>
        <v/>
      </c>
      <c r="C8" s="47" t="str">
        <f>IFERROR(VLOOKUP($A$1&amp;"-"&amp;ROW(C7),基本資料填寫!$A:$DN,COLUMN(基本資料填寫!S8),0),"")</f>
        <v/>
      </c>
      <c r="D8" s="47" t="str">
        <f>IFERROR(VLOOKUP($A$1&amp;"-"&amp;ROW(D7),基本資料填寫!$A:$DN,COLUMN(基本資料填寫!V8),0),"")</f>
        <v/>
      </c>
      <c r="E8" s="47" t="str">
        <f>IFERROR(VLOOKUP($A$1&amp;"-"&amp;ROW(E7),基本資料填寫!$A:$DN,COLUMN(基本資料填寫!BW8),0),"")</f>
        <v/>
      </c>
      <c r="F8" s="47" t="str">
        <f>IFERROR(VLOOKUP($A$1&amp;"-"&amp;ROW(F7),基本資料填寫!$A:$DN,COLUMN(基本資料填寫!AN8),0),"")</f>
        <v/>
      </c>
      <c r="G8" s="47" t="str">
        <f>IFERROR(VLOOKUP($A$1&amp;"-"&amp;ROW(H7),基本資料填寫!$A:$DN,COLUMN(基本資料填寫!R8),0),"")</f>
        <v/>
      </c>
      <c r="H8" s="47" t="str">
        <f>IFERROR(VLOOKUP($A$1&amp;"-"&amp;ROW(X7),基本資料填寫!$A:$DN,COLUMN(基本資料填寫!BX8),0),"")</f>
        <v/>
      </c>
      <c r="I8" s="47" t="str">
        <f>IFERROR(VLOOKUP($A$1&amp;"-"&amp;ROW(P7),基本資料填寫!$A:$DN,COLUMN(基本資料填寫!Z8),0),"")</f>
        <v/>
      </c>
      <c r="J8" s="47" t="str">
        <f>IFERROR(VLOOKUP($A$1&amp;"-"&amp;ROW(Q7),基本資料填寫!$A:$DN,COLUMN(基本資料填寫!AA8),0),"")</f>
        <v/>
      </c>
      <c r="K8" s="47" t="str">
        <f>IFERROR(VLOOKUP($A$1&amp;"-"&amp;ROW(Y7),基本資料填寫!$A:$DN,COLUMN(基本資料填寫!BY8),0),"")</f>
        <v/>
      </c>
      <c r="L8" s="47" t="str">
        <f>IFERROR(VLOOKUP($A$1&amp;"-"&amp;ROW(Z7),基本資料填寫!$A:$DN,COLUMN(基本資料填寫!BZ8),0),"")</f>
        <v/>
      </c>
      <c r="M8" s="47" t="str">
        <f>IFERROR(VLOOKUP($A$1&amp;"-"&amp;ROW(AA7),基本資料填寫!$A:$DN,COLUMN(基本資料填寫!CA8),0),"")</f>
        <v/>
      </c>
      <c r="N8" s="47" t="str">
        <f>IFERROR(VLOOKUP($A$1&amp;"-"&amp;ROW(G7),基本資料填寫!$A:$DN,COLUMN(基本資料填寫!AO8),0),"")</f>
        <v/>
      </c>
      <c r="O8" s="47" t="str">
        <f>IFERROR(VLOOKUP($A$1&amp;"-"&amp;ROW(AB7),基本資料填寫!$A:$DN,COLUMN(基本資料填寫!CB8),0),"")</f>
        <v/>
      </c>
      <c r="P8" s="47" t="str">
        <f>IFERROR(VLOOKUP($A$1&amp;"-"&amp;ROW(AC7),基本資料填寫!$A:$DN,COLUMN(基本資料填寫!CC8),0),"")</f>
        <v/>
      </c>
      <c r="Q8" s="47" t="str">
        <f>IFERROR(VLOOKUP($A$1&amp;"-"&amp;ROW(AD7),基本資料填寫!$A:$DN,COLUMN(基本資料填寫!CD8),0),"")</f>
        <v/>
      </c>
      <c r="R8" s="47" t="str">
        <f>IFERROR(VLOOKUP($A$1&amp;"-"&amp;ROW(AE7),基本資料填寫!$A:$DN,COLUMN(基本資料填寫!CE8),0),"")</f>
        <v/>
      </c>
      <c r="S8" s="47" t="str">
        <f>IFERROR(VLOOKUP($A$1&amp;"-"&amp;ROW(AF7),基本資料填寫!$A:$DN,COLUMN(基本資料填寫!CF8),0),"")</f>
        <v/>
      </c>
      <c r="T8" s="47" t="str">
        <f>IFERROR(VLOOKUP($A$1&amp;"-"&amp;ROW(AG7),基本資料填寫!$A:$DN,COLUMN(基本資料填寫!CG8),0),"")</f>
        <v/>
      </c>
      <c r="U8" s="47" t="str">
        <f>IFERROR(VLOOKUP($A$1&amp;"-"&amp;ROW(AH7),基本資料填寫!$A:$DN,COLUMN(基本資料填寫!CH8),0),"")</f>
        <v/>
      </c>
      <c r="V8" s="47" t="str">
        <f>IFERROR(VLOOKUP($A$1&amp;"-"&amp;ROW(AI7),基本資料填寫!$A:$DN,COLUMN(基本資料填寫!CI8),0),"")</f>
        <v/>
      </c>
      <c r="W8" s="47" t="str">
        <f>IFERROR(VLOOKUP($A$1&amp;"-"&amp;ROW(E7),基本資料填寫!$A:$DN,COLUMN(基本資料填寫!O8),0),"")</f>
        <v/>
      </c>
      <c r="X8" s="47" t="str">
        <f>IFERROR(VLOOKUP($A$1&amp;"-"&amp;ROW(AJ7),基本資料填寫!$A:$DN,COLUMN(基本資料填寫!CJ8),0),"")</f>
        <v/>
      </c>
      <c r="Y8" s="47" t="str">
        <f>IFERROR(VLOOKUP($A$1&amp;"-"&amp;ROW(AK7),基本資料填寫!$A:$DN,COLUMN(基本資料填寫!CK8),0),"")</f>
        <v/>
      </c>
      <c r="Z8" s="47" t="str">
        <f>IFERROR(VLOOKUP($A$1&amp;"-"&amp;ROW(AM7),基本資料填寫!$A:$DN,COLUMN(基本資料填寫!CN8),0),"")</f>
        <v/>
      </c>
      <c r="AA8" s="47" t="str">
        <f>IFERROR(VLOOKUP($A$1&amp;"-"&amp;ROW(AN7),基本資料填寫!$A:$DN,COLUMN(基本資料填寫!CO8),0),"")</f>
        <v/>
      </c>
      <c r="AB8" s="47" t="str">
        <f>IFERROR(VLOOKUP($A$1&amp;"-"&amp;ROW(AO7),基本資料填寫!$A:$DN,COLUMN(基本資料填寫!CP8),0),"")</f>
        <v/>
      </c>
    </row>
    <row r="9" spans="1:28" x14ac:dyDescent="0.3">
      <c r="B9" s="2" t="str">
        <f>IF(C9="","",COUNTA($C$2:C9))</f>
        <v/>
      </c>
      <c r="C9" s="47" t="str">
        <f>IFERROR(VLOOKUP($A$1&amp;"-"&amp;ROW(C8),基本資料填寫!$A:$DN,COLUMN(基本資料填寫!S9),0),"")</f>
        <v/>
      </c>
      <c r="D9" s="47" t="str">
        <f>IFERROR(VLOOKUP($A$1&amp;"-"&amp;ROW(D8),基本資料填寫!$A:$DN,COLUMN(基本資料填寫!V9),0),"")</f>
        <v/>
      </c>
      <c r="E9" s="47" t="str">
        <f>IFERROR(VLOOKUP($A$1&amp;"-"&amp;ROW(E8),基本資料填寫!$A:$DN,COLUMN(基本資料填寫!BW9),0),"")</f>
        <v/>
      </c>
      <c r="F9" s="47" t="str">
        <f>IFERROR(VLOOKUP($A$1&amp;"-"&amp;ROW(F8),基本資料填寫!$A:$DN,COLUMN(基本資料填寫!AN9),0),"")</f>
        <v/>
      </c>
      <c r="G9" s="47" t="str">
        <f>IFERROR(VLOOKUP($A$1&amp;"-"&amp;ROW(H8),基本資料填寫!$A:$DN,COLUMN(基本資料填寫!R9),0),"")</f>
        <v/>
      </c>
      <c r="H9" s="47" t="str">
        <f>IFERROR(VLOOKUP($A$1&amp;"-"&amp;ROW(X8),基本資料填寫!$A:$DN,COLUMN(基本資料填寫!BX9),0),"")</f>
        <v/>
      </c>
      <c r="I9" s="47" t="str">
        <f>IFERROR(VLOOKUP($A$1&amp;"-"&amp;ROW(P8),基本資料填寫!$A:$DN,COLUMN(基本資料填寫!Z9),0),"")</f>
        <v/>
      </c>
      <c r="J9" s="47" t="str">
        <f>IFERROR(VLOOKUP($A$1&amp;"-"&amp;ROW(Q8),基本資料填寫!$A:$DN,COLUMN(基本資料填寫!AA9),0),"")</f>
        <v/>
      </c>
      <c r="K9" s="47" t="str">
        <f>IFERROR(VLOOKUP($A$1&amp;"-"&amp;ROW(Y8),基本資料填寫!$A:$DN,COLUMN(基本資料填寫!BY9),0),"")</f>
        <v/>
      </c>
      <c r="L9" s="47" t="str">
        <f>IFERROR(VLOOKUP($A$1&amp;"-"&amp;ROW(Z8),基本資料填寫!$A:$DN,COLUMN(基本資料填寫!BZ9),0),"")</f>
        <v/>
      </c>
      <c r="M9" s="47" t="str">
        <f>IFERROR(VLOOKUP($A$1&amp;"-"&amp;ROW(AA8),基本資料填寫!$A:$DN,COLUMN(基本資料填寫!CA9),0),"")</f>
        <v/>
      </c>
      <c r="N9" s="47" t="str">
        <f>IFERROR(VLOOKUP($A$1&amp;"-"&amp;ROW(G8),基本資料填寫!$A:$DN,COLUMN(基本資料填寫!AO9),0),"")</f>
        <v/>
      </c>
      <c r="O9" s="47" t="str">
        <f>IFERROR(VLOOKUP($A$1&amp;"-"&amp;ROW(AB8),基本資料填寫!$A:$DN,COLUMN(基本資料填寫!CB9),0),"")</f>
        <v/>
      </c>
      <c r="P9" s="47" t="str">
        <f>IFERROR(VLOOKUP($A$1&amp;"-"&amp;ROW(AC8),基本資料填寫!$A:$DN,COLUMN(基本資料填寫!CC9),0),"")</f>
        <v/>
      </c>
      <c r="Q9" s="47" t="str">
        <f>IFERROR(VLOOKUP($A$1&amp;"-"&amp;ROW(AD8),基本資料填寫!$A:$DN,COLUMN(基本資料填寫!CD9),0),"")</f>
        <v/>
      </c>
      <c r="R9" s="47" t="str">
        <f>IFERROR(VLOOKUP($A$1&amp;"-"&amp;ROW(AE8),基本資料填寫!$A:$DN,COLUMN(基本資料填寫!CE9),0),"")</f>
        <v/>
      </c>
      <c r="S9" s="47" t="str">
        <f>IFERROR(VLOOKUP($A$1&amp;"-"&amp;ROW(AF8),基本資料填寫!$A:$DN,COLUMN(基本資料填寫!CF9),0),"")</f>
        <v/>
      </c>
      <c r="T9" s="47" t="str">
        <f>IFERROR(VLOOKUP($A$1&amp;"-"&amp;ROW(AG8),基本資料填寫!$A:$DN,COLUMN(基本資料填寫!CG9),0),"")</f>
        <v/>
      </c>
      <c r="U9" s="47" t="str">
        <f>IFERROR(VLOOKUP($A$1&amp;"-"&amp;ROW(AH8),基本資料填寫!$A:$DN,COLUMN(基本資料填寫!CH9),0),"")</f>
        <v/>
      </c>
      <c r="V9" s="47" t="str">
        <f>IFERROR(VLOOKUP($A$1&amp;"-"&amp;ROW(AI8),基本資料填寫!$A:$DN,COLUMN(基本資料填寫!CI9),0),"")</f>
        <v/>
      </c>
      <c r="W9" s="47" t="str">
        <f>IFERROR(VLOOKUP($A$1&amp;"-"&amp;ROW(E8),基本資料填寫!$A:$DN,COLUMN(基本資料填寫!O9),0),"")</f>
        <v/>
      </c>
      <c r="X9" s="47" t="str">
        <f>IFERROR(VLOOKUP($A$1&amp;"-"&amp;ROW(AJ8),基本資料填寫!$A:$DN,COLUMN(基本資料填寫!CJ9),0),"")</f>
        <v/>
      </c>
      <c r="Y9" s="47" t="str">
        <f>IFERROR(VLOOKUP($A$1&amp;"-"&amp;ROW(AK8),基本資料填寫!$A:$DN,COLUMN(基本資料填寫!CK9),0),"")</f>
        <v/>
      </c>
      <c r="Z9" s="47" t="str">
        <f>IFERROR(VLOOKUP($A$1&amp;"-"&amp;ROW(AM8),基本資料填寫!$A:$DN,COLUMN(基本資料填寫!CN9),0),"")</f>
        <v/>
      </c>
      <c r="AA9" s="47" t="str">
        <f>IFERROR(VLOOKUP($A$1&amp;"-"&amp;ROW(AN8),基本資料填寫!$A:$DN,COLUMN(基本資料填寫!CO9),0),"")</f>
        <v/>
      </c>
      <c r="AB9" s="47" t="str">
        <f>IFERROR(VLOOKUP($A$1&amp;"-"&amp;ROW(AO8),基本資料填寫!$A:$DN,COLUMN(基本資料填寫!CP9),0),"")</f>
        <v/>
      </c>
    </row>
    <row r="10" spans="1:28" x14ac:dyDescent="0.3">
      <c r="B10" s="2" t="str">
        <f>IF(C10="","",COUNTA($C$2:C10))</f>
        <v/>
      </c>
      <c r="C10" s="47" t="str">
        <f>IFERROR(VLOOKUP($A$1&amp;"-"&amp;ROW(C9),基本資料填寫!$A:$DN,COLUMN(基本資料填寫!S10),0),"")</f>
        <v/>
      </c>
      <c r="D10" s="47" t="str">
        <f>IFERROR(VLOOKUP($A$1&amp;"-"&amp;ROW(D9),基本資料填寫!$A:$DN,COLUMN(基本資料填寫!V10),0),"")</f>
        <v/>
      </c>
      <c r="E10" s="47" t="str">
        <f>IFERROR(VLOOKUP($A$1&amp;"-"&amp;ROW(E9),基本資料填寫!$A:$DN,COLUMN(基本資料填寫!BW10),0),"")</f>
        <v/>
      </c>
      <c r="F10" s="47" t="str">
        <f>IFERROR(VLOOKUP($A$1&amp;"-"&amp;ROW(F9),基本資料填寫!$A:$DN,COLUMN(基本資料填寫!AN10),0),"")</f>
        <v/>
      </c>
      <c r="G10" s="47" t="str">
        <f>IFERROR(VLOOKUP($A$1&amp;"-"&amp;ROW(H9),基本資料填寫!$A:$DN,COLUMN(基本資料填寫!R10),0),"")</f>
        <v/>
      </c>
      <c r="H10" s="47" t="str">
        <f>IFERROR(VLOOKUP($A$1&amp;"-"&amp;ROW(X9),基本資料填寫!$A:$DN,COLUMN(基本資料填寫!BX10),0),"")</f>
        <v/>
      </c>
      <c r="I10" s="47" t="str">
        <f>IFERROR(VLOOKUP($A$1&amp;"-"&amp;ROW(P9),基本資料填寫!$A:$DN,COLUMN(基本資料填寫!Z10),0),"")</f>
        <v/>
      </c>
      <c r="J10" s="47" t="str">
        <f>IFERROR(VLOOKUP($A$1&amp;"-"&amp;ROW(Q9),基本資料填寫!$A:$DN,COLUMN(基本資料填寫!AA10),0),"")</f>
        <v/>
      </c>
      <c r="K10" s="47" t="str">
        <f>IFERROR(VLOOKUP($A$1&amp;"-"&amp;ROW(Y9),基本資料填寫!$A:$DN,COLUMN(基本資料填寫!BY10),0),"")</f>
        <v/>
      </c>
      <c r="L10" s="47" t="str">
        <f>IFERROR(VLOOKUP($A$1&amp;"-"&amp;ROW(Z9),基本資料填寫!$A:$DN,COLUMN(基本資料填寫!BZ10),0),"")</f>
        <v/>
      </c>
      <c r="M10" s="47" t="str">
        <f>IFERROR(VLOOKUP($A$1&amp;"-"&amp;ROW(AA9),基本資料填寫!$A:$DN,COLUMN(基本資料填寫!CA10),0),"")</f>
        <v/>
      </c>
      <c r="N10" s="47" t="str">
        <f>IFERROR(VLOOKUP($A$1&amp;"-"&amp;ROW(G9),基本資料填寫!$A:$DN,COLUMN(基本資料填寫!AO10),0),"")</f>
        <v/>
      </c>
      <c r="O10" s="47" t="str">
        <f>IFERROR(VLOOKUP($A$1&amp;"-"&amp;ROW(AB9),基本資料填寫!$A:$DN,COLUMN(基本資料填寫!CB10),0),"")</f>
        <v/>
      </c>
      <c r="P10" s="47" t="str">
        <f>IFERROR(VLOOKUP($A$1&amp;"-"&amp;ROW(AC9),基本資料填寫!$A:$DN,COLUMN(基本資料填寫!CC10),0),"")</f>
        <v/>
      </c>
      <c r="Q10" s="47" t="str">
        <f>IFERROR(VLOOKUP($A$1&amp;"-"&amp;ROW(AD9),基本資料填寫!$A:$DN,COLUMN(基本資料填寫!CD10),0),"")</f>
        <v/>
      </c>
      <c r="R10" s="47" t="str">
        <f>IFERROR(VLOOKUP($A$1&amp;"-"&amp;ROW(AE9),基本資料填寫!$A:$DN,COLUMN(基本資料填寫!CE10),0),"")</f>
        <v/>
      </c>
      <c r="S10" s="47" t="str">
        <f>IFERROR(VLOOKUP($A$1&amp;"-"&amp;ROW(AF9),基本資料填寫!$A:$DN,COLUMN(基本資料填寫!CF10),0),"")</f>
        <v/>
      </c>
      <c r="T10" s="47" t="str">
        <f>IFERROR(VLOOKUP($A$1&amp;"-"&amp;ROW(AG9),基本資料填寫!$A:$DN,COLUMN(基本資料填寫!CG10),0),"")</f>
        <v/>
      </c>
      <c r="U10" s="47" t="str">
        <f>IFERROR(VLOOKUP($A$1&amp;"-"&amp;ROW(AH9),基本資料填寫!$A:$DN,COLUMN(基本資料填寫!CH10),0),"")</f>
        <v/>
      </c>
      <c r="V10" s="47" t="str">
        <f>IFERROR(VLOOKUP($A$1&amp;"-"&amp;ROW(AI9),基本資料填寫!$A:$DN,COLUMN(基本資料填寫!CI10),0),"")</f>
        <v/>
      </c>
      <c r="W10" s="47" t="str">
        <f>IFERROR(VLOOKUP($A$1&amp;"-"&amp;ROW(E9),基本資料填寫!$A:$DN,COLUMN(基本資料填寫!O10),0),"")</f>
        <v/>
      </c>
      <c r="X10" s="47" t="str">
        <f>IFERROR(VLOOKUP($A$1&amp;"-"&amp;ROW(AJ9),基本資料填寫!$A:$DN,COLUMN(基本資料填寫!CJ10),0),"")</f>
        <v/>
      </c>
      <c r="Y10" s="47" t="str">
        <f>IFERROR(VLOOKUP($A$1&amp;"-"&amp;ROW(AK9),基本資料填寫!$A:$DN,COLUMN(基本資料填寫!CK10),0),"")</f>
        <v/>
      </c>
      <c r="Z10" s="47" t="str">
        <f>IFERROR(VLOOKUP($A$1&amp;"-"&amp;ROW(AM9),基本資料填寫!$A:$DN,COLUMN(基本資料填寫!CN10),0),"")</f>
        <v/>
      </c>
      <c r="AA10" s="47" t="str">
        <f>IFERROR(VLOOKUP($A$1&amp;"-"&amp;ROW(AN9),基本資料填寫!$A:$DN,COLUMN(基本資料填寫!CO10),0),"")</f>
        <v/>
      </c>
      <c r="AB10" s="47" t="str">
        <f>IFERROR(VLOOKUP($A$1&amp;"-"&amp;ROW(AO9),基本資料填寫!$A:$DN,COLUMN(基本資料填寫!CP10),0),"")</f>
        <v/>
      </c>
    </row>
    <row r="11" spans="1:28" x14ac:dyDescent="0.3">
      <c r="B11" s="2" t="str">
        <f>IF(C11="","",COUNTA($C$2:C11))</f>
        <v/>
      </c>
      <c r="C11" s="47" t="str">
        <f>IFERROR(VLOOKUP($A$1&amp;"-"&amp;ROW(C10),基本資料填寫!$A:$DN,COLUMN(基本資料填寫!S11),0),"")</f>
        <v/>
      </c>
      <c r="D11" s="47" t="str">
        <f>IFERROR(VLOOKUP($A$1&amp;"-"&amp;ROW(D10),基本資料填寫!$A:$DN,COLUMN(基本資料填寫!V11),0),"")</f>
        <v/>
      </c>
      <c r="E11" s="47" t="str">
        <f>IFERROR(VLOOKUP($A$1&amp;"-"&amp;ROW(E10),基本資料填寫!$A:$DN,COLUMN(基本資料填寫!BW11),0),"")</f>
        <v/>
      </c>
      <c r="F11" s="47" t="str">
        <f>IFERROR(VLOOKUP($A$1&amp;"-"&amp;ROW(F10),基本資料填寫!$A:$DN,COLUMN(基本資料填寫!AN11),0),"")</f>
        <v/>
      </c>
      <c r="G11" s="47" t="str">
        <f>IFERROR(VLOOKUP($A$1&amp;"-"&amp;ROW(H10),基本資料填寫!$A:$DN,COLUMN(基本資料填寫!R11),0),"")</f>
        <v/>
      </c>
      <c r="H11" s="47" t="str">
        <f>IFERROR(VLOOKUP($A$1&amp;"-"&amp;ROW(X10),基本資料填寫!$A:$DN,COLUMN(基本資料填寫!BX11),0),"")</f>
        <v/>
      </c>
      <c r="I11" s="47" t="str">
        <f>IFERROR(VLOOKUP($A$1&amp;"-"&amp;ROW(P10),基本資料填寫!$A:$DN,COLUMN(基本資料填寫!Z11),0),"")</f>
        <v/>
      </c>
      <c r="J11" s="47" t="str">
        <f>IFERROR(VLOOKUP($A$1&amp;"-"&amp;ROW(Q10),基本資料填寫!$A:$DN,COLUMN(基本資料填寫!AA11),0),"")</f>
        <v/>
      </c>
      <c r="K11" s="47" t="str">
        <f>IFERROR(VLOOKUP($A$1&amp;"-"&amp;ROW(Y10),基本資料填寫!$A:$DN,COLUMN(基本資料填寫!BY11),0),"")</f>
        <v/>
      </c>
      <c r="L11" s="47" t="str">
        <f>IFERROR(VLOOKUP($A$1&amp;"-"&amp;ROW(Z10),基本資料填寫!$A:$DN,COLUMN(基本資料填寫!BZ11),0),"")</f>
        <v/>
      </c>
      <c r="M11" s="47" t="str">
        <f>IFERROR(VLOOKUP($A$1&amp;"-"&amp;ROW(AA10),基本資料填寫!$A:$DN,COLUMN(基本資料填寫!CA11),0),"")</f>
        <v/>
      </c>
      <c r="N11" s="47" t="str">
        <f>IFERROR(VLOOKUP($A$1&amp;"-"&amp;ROW(G10),基本資料填寫!$A:$DN,COLUMN(基本資料填寫!AO11),0),"")</f>
        <v/>
      </c>
      <c r="O11" s="47" t="str">
        <f>IFERROR(VLOOKUP($A$1&amp;"-"&amp;ROW(AB10),基本資料填寫!$A:$DN,COLUMN(基本資料填寫!CB11),0),"")</f>
        <v/>
      </c>
      <c r="P11" s="47" t="str">
        <f>IFERROR(VLOOKUP($A$1&amp;"-"&amp;ROW(AC10),基本資料填寫!$A:$DN,COLUMN(基本資料填寫!CC11),0),"")</f>
        <v/>
      </c>
      <c r="Q11" s="47" t="str">
        <f>IFERROR(VLOOKUP($A$1&amp;"-"&amp;ROW(AD10),基本資料填寫!$A:$DN,COLUMN(基本資料填寫!CD11),0),"")</f>
        <v/>
      </c>
      <c r="R11" s="47" t="str">
        <f>IFERROR(VLOOKUP($A$1&amp;"-"&amp;ROW(AE10),基本資料填寫!$A:$DN,COLUMN(基本資料填寫!CE11),0),"")</f>
        <v/>
      </c>
      <c r="S11" s="47" t="str">
        <f>IFERROR(VLOOKUP($A$1&amp;"-"&amp;ROW(AF10),基本資料填寫!$A:$DN,COLUMN(基本資料填寫!CF11),0),"")</f>
        <v/>
      </c>
      <c r="T11" s="47" t="str">
        <f>IFERROR(VLOOKUP($A$1&amp;"-"&amp;ROW(AG10),基本資料填寫!$A:$DN,COLUMN(基本資料填寫!CG11),0),"")</f>
        <v/>
      </c>
      <c r="U11" s="47" t="str">
        <f>IFERROR(VLOOKUP($A$1&amp;"-"&amp;ROW(AH10),基本資料填寫!$A:$DN,COLUMN(基本資料填寫!CH11),0),"")</f>
        <v/>
      </c>
      <c r="V11" s="47" t="str">
        <f>IFERROR(VLOOKUP($A$1&amp;"-"&amp;ROW(AI10),基本資料填寫!$A:$DN,COLUMN(基本資料填寫!CI11),0),"")</f>
        <v/>
      </c>
      <c r="W11" s="47" t="str">
        <f>IFERROR(VLOOKUP($A$1&amp;"-"&amp;ROW(E10),基本資料填寫!$A:$DN,COLUMN(基本資料填寫!O11),0),"")</f>
        <v/>
      </c>
      <c r="X11" s="47" t="str">
        <f>IFERROR(VLOOKUP($A$1&amp;"-"&amp;ROW(AJ10),基本資料填寫!$A:$DN,COLUMN(基本資料填寫!CJ11),0),"")</f>
        <v/>
      </c>
      <c r="Y11" s="47" t="str">
        <f>IFERROR(VLOOKUP($A$1&amp;"-"&amp;ROW(AK10),基本資料填寫!$A:$DN,COLUMN(基本資料填寫!CK11),0),"")</f>
        <v/>
      </c>
      <c r="Z11" s="47" t="str">
        <f>IFERROR(VLOOKUP($A$1&amp;"-"&amp;ROW(AM10),基本資料填寫!$A:$DN,COLUMN(基本資料填寫!CN11),0),"")</f>
        <v/>
      </c>
      <c r="AA11" s="47" t="str">
        <f>IFERROR(VLOOKUP($A$1&amp;"-"&amp;ROW(AN10),基本資料填寫!$A:$DN,COLUMN(基本資料填寫!CO11),0),"")</f>
        <v/>
      </c>
      <c r="AB11" s="47" t="str">
        <f>IFERROR(VLOOKUP($A$1&amp;"-"&amp;ROW(AO10),基本資料填寫!$A:$DN,COLUMN(基本資料填寫!CP11),0),"")</f>
        <v/>
      </c>
    </row>
    <row r="12" spans="1:28" x14ac:dyDescent="0.3">
      <c r="B12" s="2" t="str">
        <f>IF(C12="","",COUNTA($C$2:C12))</f>
        <v/>
      </c>
      <c r="C12" s="47" t="str">
        <f>IFERROR(VLOOKUP($A$1&amp;"-"&amp;ROW(C11),基本資料填寫!$A:$DN,COLUMN(基本資料填寫!S12),0),"")</f>
        <v/>
      </c>
      <c r="D12" s="47" t="str">
        <f>IFERROR(VLOOKUP($A$1&amp;"-"&amp;ROW(D11),基本資料填寫!$A:$DN,COLUMN(基本資料填寫!V12),0),"")</f>
        <v/>
      </c>
      <c r="E12" s="47" t="str">
        <f>IFERROR(VLOOKUP($A$1&amp;"-"&amp;ROW(E11),基本資料填寫!$A:$DN,COLUMN(基本資料填寫!BW12),0),"")</f>
        <v/>
      </c>
      <c r="F12" s="47" t="str">
        <f>IFERROR(VLOOKUP($A$1&amp;"-"&amp;ROW(F11),基本資料填寫!$A:$DN,COLUMN(基本資料填寫!AN12),0),"")</f>
        <v/>
      </c>
      <c r="G12" s="47" t="str">
        <f>IFERROR(VLOOKUP($A$1&amp;"-"&amp;ROW(H11),基本資料填寫!$A:$DN,COLUMN(基本資料填寫!R12),0),"")</f>
        <v/>
      </c>
      <c r="H12" s="47" t="str">
        <f>IFERROR(VLOOKUP($A$1&amp;"-"&amp;ROW(X11),基本資料填寫!$A:$DN,COLUMN(基本資料填寫!BX12),0),"")</f>
        <v/>
      </c>
      <c r="I12" s="47" t="str">
        <f>IFERROR(VLOOKUP($A$1&amp;"-"&amp;ROW(P11),基本資料填寫!$A:$DN,COLUMN(基本資料填寫!Z12),0),"")</f>
        <v/>
      </c>
      <c r="J12" s="47" t="str">
        <f>IFERROR(VLOOKUP($A$1&amp;"-"&amp;ROW(Q11),基本資料填寫!$A:$DN,COLUMN(基本資料填寫!AA12),0),"")</f>
        <v/>
      </c>
      <c r="K12" s="47" t="str">
        <f>IFERROR(VLOOKUP($A$1&amp;"-"&amp;ROW(Y11),基本資料填寫!$A:$DN,COLUMN(基本資料填寫!BY12),0),"")</f>
        <v/>
      </c>
      <c r="L12" s="47" t="str">
        <f>IFERROR(VLOOKUP($A$1&amp;"-"&amp;ROW(Z11),基本資料填寫!$A:$DN,COLUMN(基本資料填寫!BZ12),0),"")</f>
        <v/>
      </c>
      <c r="M12" s="47" t="str">
        <f>IFERROR(VLOOKUP($A$1&amp;"-"&amp;ROW(AA11),基本資料填寫!$A:$DN,COLUMN(基本資料填寫!CA12),0),"")</f>
        <v/>
      </c>
      <c r="N12" s="47" t="str">
        <f>IFERROR(VLOOKUP($A$1&amp;"-"&amp;ROW(G11),基本資料填寫!$A:$DN,COLUMN(基本資料填寫!AO12),0),"")</f>
        <v/>
      </c>
      <c r="O12" s="47" t="str">
        <f>IFERROR(VLOOKUP($A$1&amp;"-"&amp;ROW(AB11),基本資料填寫!$A:$DN,COLUMN(基本資料填寫!CB12),0),"")</f>
        <v/>
      </c>
      <c r="P12" s="47" t="str">
        <f>IFERROR(VLOOKUP($A$1&amp;"-"&amp;ROW(AC11),基本資料填寫!$A:$DN,COLUMN(基本資料填寫!CC12),0),"")</f>
        <v/>
      </c>
      <c r="Q12" s="47" t="str">
        <f>IFERROR(VLOOKUP($A$1&amp;"-"&amp;ROW(AD11),基本資料填寫!$A:$DN,COLUMN(基本資料填寫!CD12),0),"")</f>
        <v/>
      </c>
      <c r="R12" s="47" t="str">
        <f>IFERROR(VLOOKUP($A$1&amp;"-"&amp;ROW(AE11),基本資料填寫!$A:$DN,COLUMN(基本資料填寫!CE12),0),"")</f>
        <v/>
      </c>
      <c r="S12" s="47" t="str">
        <f>IFERROR(VLOOKUP($A$1&amp;"-"&amp;ROW(AF11),基本資料填寫!$A:$DN,COLUMN(基本資料填寫!CF12),0),"")</f>
        <v/>
      </c>
      <c r="T12" s="47" t="str">
        <f>IFERROR(VLOOKUP($A$1&amp;"-"&amp;ROW(AG11),基本資料填寫!$A:$DN,COLUMN(基本資料填寫!CG12),0),"")</f>
        <v/>
      </c>
      <c r="U12" s="47" t="str">
        <f>IFERROR(VLOOKUP($A$1&amp;"-"&amp;ROW(AH11),基本資料填寫!$A:$DN,COLUMN(基本資料填寫!CH12),0),"")</f>
        <v/>
      </c>
      <c r="V12" s="47" t="str">
        <f>IFERROR(VLOOKUP($A$1&amp;"-"&amp;ROW(AI11),基本資料填寫!$A:$DN,COLUMN(基本資料填寫!CI12),0),"")</f>
        <v/>
      </c>
      <c r="W12" s="47" t="str">
        <f>IFERROR(VLOOKUP($A$1&amp;"-"&amp;ROW(E11),基本資料填寫!$A:$DN,COLUMN(基本資料填寫!O12),0),"")</f>
        <v/>
      </c>
      <c r="X12" s="47" t="str">
        <f>IFERROR(VLOOKUP($A$1&amp;"-"&amp;ROW(AJ11),基本資料填寫!$A:$DN,COLUMN(基本資料填寫!CJ12),0),"")</f>
        <v/>
      </c>
      <c r="Y12" s="47" t="str">
        <f>IFERROR(VLOOKUP($A$1&amp;"-"&amp;ROW(AK11),基本資料填寫!$A:$DN,COLUMN(基本資料填寫!CK12),0),"")</f>
        <v/>
      </c>
      <c r="Z12" s="47" t="str">
        <f>IFERROR(VLOOKUP($A$1&amp;"-"&amp;ROW(AM11),基本資料填寫!$A:$DN,COLUMN(基本資料填寫!CN12),0),"")</f>
        <v/>
      </c>
      <c r="AA12" s="47" t="str">
        <f>IFERROR(VLOOKUP($A$1&amp;"-"&amp;ROW(AN11),基本資料填寫!$A:$DN,COLUMN(基本資料填寫!CO12),0),"")</f>
        <v/>
      </c>
      <c r="AB12" s="47" t="str">
        <f>IFERROR(VLOOKUP($A$1&amp;"-"&amp;ROW(AO11),基本資料填寫!$A:$DN,COLUMN(基本資料填寫!CP12),0),"")</f>
        <v/>
      </c>
    </row>
    <row r="13" spans="1:28" x14ac:dyDescent="0.3">
      <c r="B13" s="2" t="str">
        <f>IF(C13="","",COUNTA($C$2:C13))</f>
        <v/>
      </c>
      <c r="C13" s="47" t="str">
        <f>IFERROR(VLOOKUP($A$1&amp;"-"&amp;ROW(C12),基本資料填寫!$A:$DN,COLUMN(基本資料填寫!S13),0),"")</f>
        <v/>
      </c>
      <c r="D13" s="47" t="str">
        <f>IFERROR(VLOOKUP($A$1&amp;"-"&amp;ROW(D12),基本資料填寫!$A:$DN,COLUMN(基本資料填寫!V13),0),"")</f>
        <v/>
      </c>
      <c r="E13" s="47" t="str">
        <f>IFERROR(VLOOKUP($A$1&amp;"-"&amp;ROW(E12),基本資料填寫!$A:$DN,COLUMN(基本資料填寫!BW13),0),"")</f>
        <v/>
      </c>
      <c r="F13" s="47" t="str">
        <f>IFERROR(VLOOKUP($A$1&amp;"-"&amp;ROW(F12),基本資料填寫!$A:$DN,COLUMN(基本資料填寫!AN13),0),"")</f>
        <v/>
      </c>
      <c r="G13" s="47" t="str">
        <f>IFERROR(VLOOKUP($A$1&amp;"-"&amp;ROW(H12),基本資料填寫!$A:$DN,COLUMN(基本資料填寫!R13),0),"")</f>
        <v/>
      </c>
      <c r="H13" s="47" t="str">
        <f>IFERROR(VLOOKUP($A$1&amp;"-"&amp;ROW(X12),基本資料填寫!$A:$DN,COLUMN(基本資料填寫!BX13),0),"")</f>
        <v/>
      </c>
      <c r="I13" s="47" t="str">
        <f>IFERROR(VLOOKUP($A$1&amp;"-"&amp;ROW(P12),基本資料填寫!$A:$DN,COLUMN(基本資料填寫!Z13),0),"")</f>
        <v/>
      </c>
      <c r="J13" s="47" t="str">
        <f>IFERROR(VLOOKUP($A$1&amp;"-"&amp;ROW(Q12),基本資料填寫!$A:$DN,COLUMN(基本資料填寫!AA13),0),"")</f>
        <v/>
      </c>
      <c r="K13" s="47" t="str">
        <f>IFERROR(VLOOKUP($A$1&amp;"-"&amp;ROW(Y12),基本資料填寫!$A:$DN,COLUMN(基本資料填寫!BY13),0),"")</f>
        <v/>
      </c>
      <c r="L13" s="47" t="str">
        <f>IFERROR(VLOOKUP($A$1&amp;"-"&amp;ROW(Z12),基本資料填寫!$A:$DN,COLUMN(基本資料填寫!BZ13),0),"")</f>
        <v/>
      </c>
      <c r="M13" s="47" t="str">
        <f>IFERROR(VLOOKUP($A$1&amp;"-"&amp;ROW(AA12),基本資料填寫!$A:$DN,COLUMN(基本資料填寫!CA13),0),"")</f>
        <v/>
      </c>
      <c r="N13" s="47" t="str">
        <f>IFERROR(VLOOKUP($A$1&amp;"-"&amp;ROW(G12),基本資料填寫!$A:$DN,COLUMN(基本資料填寫!AO13),0),"")</f>
        <v/>
      </c>
      <c r="O13" s="47" t="str">
        <f>IFERROR(VLOOKUP($A$1&amp;"-"&amp;ROW(AB12),基本資料填寫!$A:$DN,COLUMN(基本資料填寫!CB13),0),"")</f>
        <v/>
      </c>
      <c r="P13" s="47" t="str">
        <f>IFERROR(VLOOKUP($A$1&amp;"-"&amp;ROW(AC12),基本資料填寫!$A:$DN,COLUMN(基本資料填寫!CC13),0),"")</f>
        <v/>
      </c>
      <c r="Q13" s="47" t="str">
        <f>IFERROR(VLOOKUP($A$1&amp;"-"&amp;ROW(AD12),基本資料填寫!$A:$DN,COLUMN(基本資料填寫!CD13),0),"")</f>
        <v/>
      </c>
      <c r="R13" s="47" t="str">
        <f>IFERROR(VLOOKUP($A$1&amp;"-"&amp;ROW(AE12),基本資料填寫!$A:$DN,COLUMN(基本資料填寫!CE13),0),"")</f>
        <v/>
      </c>
      <c r="S13" s="47" t="str">
        <f>IFERROR(VLOOKUP($A$1&amp;"-"&amp;ROW(AF12),基本資料填寫!$A:$DN,COLUMN(基本資料填寫!CF13),0),"")</f>
        <v/>
      </c>
      <c r="T13" s="47" t="str">
        <f>IFERROR(VLOOKUP($A$1&amp;"-"&amp;ROW(AG12),基本資料填寫!$A:$DN,COLUMN(基本資料填寫!CG13),0),"")</f>
        <v/>
      </c>
      <c r="U13" s="47" t="str">
        <f>IFERROR(VLOOKUP($A$1&amp;"-"&amp;ROW(AH12),基本資料填寫!$A:$DN,COLUMN(基本資料填寫!CH13),0),"")</f>
        <v/>
      </c>
      <c r="V13" s="47" t="str">
        <f>IFERROR(VLOOKUP($A$1&amp;"-"&amp;ROW(AI12),基本資料填寫!$A:$DN,COLUMN(基本資料填寫!CI13),0),"")</f>
        <v/>
      </c>
      <c r="W13" s="47" t="str">
        <f>IFERROR(VLOOKUP($A$1&amp;"-"&amp;ROW(E12),基本資料填寫!$A:$DN,COLUMN(基本資料填寫!O13),0),"")</f>
        <v/>
      </c>
      <c r="X13" s="47" t="str">
        <f>IFERROR(VLOOKUP($A$1&amp;"-"&amp;ROW(AJ12),基本資料填寫!$A:$DN,COLUMN(基本資料填寫!CJ13),0),"")</f>
        <v/>
      </c>
      <c r="Y13" s="47" t="str">
        <f>IFERROR(VLOOKUP($A$1&amp;"-"&amp;ROW(AK12),基本資料填寫!$A:$DN,COLUMN(基本資料填寫!CK13),0),"")</f>
        <v/>
      </c>
      <c r="Z13" s="47" t="str">
        <f>IFERROR(VLOOKUP($A$1&amp;"-"&amp;ROW(AM12),基本資料填寫!$A:$DN,COLUMN(基本資料填寫!CN13),0),"")</f>
        <v/>
      </c>
      <c r="AA13" s="47" t="str">
        <f>IFERROR(VLOOKUP($A$1&amp;"-"&amp;ROW(AN12),基本資料填寫!$A:$DN,COLUMN(基本資料填寫!CO13),0),"")</f>
        <v/>
      </c>
      <c r="AB13" s="47" t="str">
        <f>IFERROR(VLOOKUP($A$1&amp;"-"&amp;ROW(AO12),基本資料填寫!$A:$DN,COLUMN(基本資料填寫!CP13),0),"")</f>
        <v/>
      </c>
    </row>
    <row r="14" spans="1:28" x14ac:dyDescent="0.3">
      <c r="B14" s="2" t="str">
        <f>IF(C14="","",COUNTA($C$2:C14))</f>
        <v/>
      </c>
      <c r="C14" s="47" t="str">
        <f>IFERROR(VLOOKUP($A$1&amp;"-"&amp;ROW(C13),基本資料填寫!$A:$DN,COLUMN(基本資料填寫!S14),0),"")</f>
        <v/>
      </c>
      <c r="D14" s="47" t="str">
        <f>IFERROR(VLOOKUP($A$1&amp;"-"&amp;ROW(D13),基本資料填寫!$A:$DN,COLUMN(基本資料填寫!V14),0),"")</f>
        <v/>
      </c>
      <c r="E14" s="47" t="str">
        <f>IFERROR(VLOOKUP($A$1&amp;"-"&amp;ROW(E13),基本資料填寫!$A:$DN,COLUMN(基本資料填寫!BW14),0),"")</f>
        <v/>
      </c>
      <c r="F14" s="47" t="str">
        <f>IFERROR(VLOOKUP($A$1&amp;"-"&amp;ROW(F13),基本資料填寫!$A:$DN,COLUMN(基本資料填寫!AN14),0),"")</f>
        <v/>
      </c>
      <c r="G14" s="47" t="str">
        <f>IFERROR(VLOOKUP($A$1&amp;"-"&amp;ROW(H13),基本資料填寫!$A:$DN,COLUMN(基本資料填寫!R14),0),"")</f>
        <v/>
      </c>
      <c r="H14" s="47" t="str">
        <f>IFERROR(VLOOKUP($A$1&amp;"-"&amp;ROW(X13),基本資料填寫!$A:$DN,COLUMN(基本資料填寫!BX14),0),"")</f>
        <v/>
      </c>
      <c r="I14" s="47" t="str">
        <f>IFERROR(VLOOKUP($A$1&amp;"-"&amp;ROW(P13),基本資料填寫!$A:$DN,COLUMN(基本資料填寫!Z14),0),"")</f>
        <v/>
      </c>
      <c r="J14" s="47" t="str">
        <f>IFERROR(VLOOKUP($A$1&amp;"-"&amp;ROW(Q13),基本資料填寫!$A:$DN,COLUMN(基本資料填寫!AA14),0),"")</f>
        <v/>
      </c>
      <c r="K14" s="47" t="str">
        <f>IFERROR(VLOOKUP($A$1&amp;"-"&amp;ROW(Y13),基本資料填寫!$A:$DN,COLUMN(基本資料填寫!BY14),0),"")</f>
        <v/>
      </c>
      <c r="L14" s="47" t="str">
        <f>IFERROR(VLOOKUP($A$1&amp;"-"&amp;ROW(Z13),基本資料填寫!$A:$DN,COLUMN(基本資料填寫!BZ14),0),"")</f>
        <v/>
      </c>
      <c r="M14" s="47" t="str">
        <f>IFERROR(VLOOKUP($A$1&amp;"-"&amp;ROW(AA13),基本資料填寫!$A:$DN,COLUMN(基本資料填寫!CA14),0),"")</f>
        <v/>
      </c>
      <c r="N14" s="47" t="str">
        <f>IFERROR(VLOOKUP($A$1&amp;"-"&amp;ROW(G13),基本資料填寫!$A:$DN,COLUMN(基本資料填寫!AO14),0),"")</f>
        <v/>
      </c>
      <c r="O14" s="47" t="str">
        <f>IFERROR(VLOOKUP($A$1&amp;"-"&amp;ROW(AB13),基本資料填寫!$A:$DN,COLUMN(基本資料填寫!CB14),0),"")</f>
        <v/>
      </c>
      <c r="P14" s="47" t="str">
        <f>IFERROR(VLOOKUP($A$1&amp;"-"&amp;ROW(AC13),基本資料填寫!$A:$DN,COLUMN(基本資料填寫!CC14),0),"")</f>
        <v/>
      </c>
      <c r="Q14" s="47" t="str">
        <f>IFERROR(VLOOKUP($A$1&amp;"-"&amp;ROW(AD13),基本資料填寫!$A:$DN,COLUMN(基本資料填寫!CD14),0),"")</f>
        <v/>
      </c>
      <c r="R14" s="47" t="str">
        <f>IFERROR(VLOOKUP($A$1&amp;"-"&amp;ROW(AE13),基本資料填寫!$A:$DN,COLUMN(基本資料填寫!CE14),0),"")</f>
        <v/>
      </c>
      <c r="S14" s="47" t="str">
        <f>IFERROR(VLOOKUP($A$1&amp;"-"&amp;ROW(AF13),基本資料填寫!$A:$DN,COLUMN(基本資料填寫!CF14),0),"")</f>
        <v/>
      </c>
      <c r="T14" s="47" t="str">
        <f>IFERROR(VLOOKUP($A$1&amp;"-"&amp;ROW(AG13),基本資料填寫!$A:$DN,COLUMN(基本資料填寫!CG14),0),"")</f>
        <v/>
      </c>
      <c r="U14" s="47" t="str">
        <f>IFERROR(VLOOKUP($A$1&amp;"-"&amp;ROW(AH13),基本資料填寫!$A:$DN,COLUMN(基本資料填寫!CH14),0),"")</f>
        <v/>
      </c>
      <c r="V14" s="47" t="str">
        <f>IFERROR(VLOOKUP($A$1&amp;"-"&amp;ROW(AI13),基本資料填寫!$A:$DN,COLUMN(基本資料填寫!CI14),0),"")</f>
        <v/>
      </c>
      <c r="W14" s="47" t="str">
        <f>IFERROR(VLOOKUP($A$1&amp;"-"&amp;ROW(E13),基本資料填寫!$A:$DN,COLUMN(基本資料填寫!O14),0),"")</f>
        <v/>
      </c>
      <c r="X14" s="47" t="str">
        <f>IFERROR(VLOOKUP($A$1&amp;"-"&amp;ROW(AJ13),基本資料填寫!$A:$DN,COLUMN(基本資料填寫!CJ14),0),"")</f>
        <v/>
      </c>
      <c r="Y14" s="47" t="str">
        <f>IFERROR(VLOOKUP($A$1&amp;"-"&amp;ROW(AK13),基本資料填寫!$A:$DN,COLUMN(基本資料填寫!CK14),0),"")</f>
        <v/>
      </c>
      <c r="Z14" s="47" t="str">
        <f>IFERROR(VLOOKUP($A$1&amp;"-"&amp;ROW(AM13),基本資料填寫!$A:$DN,COLUMN(基本資料填寫!CN14),0),"")</f>
        <v/>
      </c>
      <c r="AA14" s="47" t="str">
        <f>IFERROR(VLOOKUP($A$1&amp;"-"&amp;ROW(AN13),基本資料填寫!$A:$DN,COLUMN(基本資料填寫!CO14),0),"")</f>
        <v/>
      </c>
      <c r="AB14" s="47" t="str">
        <f>IFERROR(VLOOKUP($A$1&amp;"-"&amp;ROW(AO13),基本資料填寫!$A:$DN,COLUMN(基本資料填寫!CP14),0),"")</f>
        <v/>
      </c>
    </row>
    <row r="15" spans="1:28" x14ac:dyDescent="0.3">
      <c r="B15" s="2" t="str">
        <f>IF(C15="","",COUNTA($C$2:C15))</f>
        <v/>
      </c>
      <c r="C15" s="47" t="str">
        <f>IFERROR(VLOOKUP($A$1&amp;"-"&amp;ROW(C14),基本資料填寫!$A:$DN,COLUMN(基本資料填寫!S15),0),"")</f>
        <v/>
      </c>
      <c r="D15" s="47" t="str">
        <f>IFERROR(VLOOKUP($A$1&amp;"-"&amp;ROW(D14),基本資料填寫!$A:$DN,COLUMN(基本資料填寫!V15),0),"")</f>
        <v/>
      </c>
      <c r="E15" s="47" t="str">
        <f>IFERROR(VLOOKUP($A$1&amp;"-"&amp;ROW(E14),基本資料填寫!$A:$DN,COLUMN(基本資料填寫!BW15),0),"")</f>
        <v/>
      </c>
      <c r="F15" s="47" t="str">
        <f>IFERROR(VLOOKUP($A$1&amp;"-"&amp;ROW(F14),基本資料填寫!$A:$DN,COLUMN(基本資料填寫!AN15),0),"")</f>
        <v/>
      </c>
      <c r="G15" s="47" t="str">
        <f>IFERROR(VLOOKUP($A$1&amp;"-"&amp;ROW(H14),基本資料填寫!$A:$DN,COLUMN(基本資料填寫!R15),0),"")</f>
        <v/>
      </c>
      <c r="H15" s="47" t="str">
        <f>IFERROR(VLOOKUP($A$1&amp;"-"&amp;ROW(X14),基本資料填寫!$A:$DN,COLUMN(基本資料填寫!BX15),0),"")</f>
        <v/>
      </c>
      <c r="I15" s="47" t="str">
        <f>IFERROR(VLOOKUP($A$1&amp;"-"&amp;ROW(P14),基本資料填寫!$A:$DN,COLUMN(基本資料填寫!Z15),0),"")</f>
        <v/>
      </c>
      <c r="J15" s="47" t="str">
        <f>IFERROR(VLOOKUP($A$1&amp;"-"&amp;ROW(Q14),基本資料填寫!$A:$DN,COLUMN(基本資料填寫!AA15),0),"")</f>
        <v/>
      </c>
      <c r="K15" s="47" t="str">
        <f>IFERROR(VLOOKUP($A$1&amp;"-"&amp;ROW(Y14),基本資料填寫!$A:$DN,COLUMN(基本資料填寫!BY15),0),"")</f>
        <v/>
      </c>
      <c r="L15" s="47" t="str">
        <f>IFERROR(VLOOKUP($A$1&amp;"-"&amp;ROW(Z14),基本資料填寫!$A:$DN,COLUMN(基本資料填寫!BZ15),0),"")</f>
        <v/>
      </c>
      <c r="M15" s="47" t="str">
        <f>IFERROR(VLOOKUP($A$1&amp;"-"&amp;ROW(AA14),基本資料填寫!$A:$DN,COLUMN(基本資料填寫!CA15),0),"")</f>
        <v/>
      </c>
      <c r="N15" s="47" t="str">
        <f>IFERROR(VLOOKUP($A$1&amp;"-"&amp;ROW(G14),基本資料填寫!$A:$DN,COLUMN(基本資料填寫!AO15),0),"")</f>
        <v/>
      </c>
      <c r="O15" s="47" t="str">
        <f>IFERROR(VLOOKUP($A$1&amp;"-"&amp;ROW(AB14),基本資料填寫!$A:$DN,COLUMN(基本資料填寫!CB15),0),"")</f>
        <v/>
      </c>
      <c r="P15" s="47" t="str">
        <f>IFERROR(VLOOKUP($A$1&amp;"-"&amp;ROW(AC14),基本資料填寫!$A:$DN,COLUMN(基本資料填寫!CC15),0),"")</f>
        <v/>
      </c>
      <c r="Q15" s="47" t="str">
        <f>IFERROR(VLOOKUP($A$1&amp;"-"&amp;ROW(AD14),基本資料填寫!$A:$DN,COLUMN(基本資料填寫!CD15),0),"")</f>
        <v/>
      </c>
      <c r="R15" s="47" t="str">
        <f>IFERROR(VLOOKUP($A$1&amp;"-"&amp;ROW(AE14),基本資料填寫!$A:$DN,COLUMN(基本資料填寫!CE15),0),"")</f>
        <v/>
      </c>
      <c r="S15" s="47" t="str">
        <f>IFERROR(VLOOKUP($A$1&amp;"-"&amp;ROW(AF14),基本資料填寫!$A:$DN,COLUMN(基本資料填寫!CF15),0),"")</f>
        <v/>
      </c>
      <c r="T15" s="47" t="str">
        <f>IFERROR(VLOOKUP($A$1&amp;"-"&amp;ROW(AG14),基本資料填寫!$A:$DN,COLUMN(基本資料填寫!CG15),0),"")</f>
        <v/>
      </c>
      <c r="U15" s="47" t="str">
        <f>IFERROR(VLOOKUP($A$1&amp;"-"&amp;ROW(AH14),基本資料填寫!$A:$DN,COLUMN(基本資料填寫!CH15),0),"")</f>
        <v/>
      </c>
      <c r="V15" s="47" t="str">
        <f>IFERROR(VLOOKUP($A$1&amp;"-"&amp;ROW(AI14),基本資料填寫!$A:$DN,COLUMN(基本資料填寫!CI15),0),"")</f>
        <v/>
      </c>
      <c r="W15" s="47" t="str">
        <f>IFERROR(VLOOKUP($A$1&amp;"-"&amp;ROW(E14),基本資料填寫!$A:$DN,COLUMN(基本資料填寫!O15),0),"")</f>
        <v/>
      </c>
      <c r="X15" s="47" t="str">
        <f>IFERROR(VLOOKUP($A$1&amp;"-"&amp;ROW(AJ14),基本資料填寫!$A:$DN,COLUMN(基本資料填寫!CJ15),0),"")</f>
        <v/>
      </c>
      <c r="Y15" s="47" t="str">
        <f>IFERROR(VLOOKUP($A$1&amp;"-"&amp;ROW(AK14),基本資料填寫!$A:$DN,COLUMN(基本資料填寫!CK15),0),"")</f>
        <v/>
      </c>
      <c r="Z15" s="47" t="str">
        <f>IFERROR(VLOOKUP($A$1&amp;"-"&amp;ROW(AM14),基本資料填寫!$A:$DN,COLUMN(基本資料填寫!CN15),0),"")</f>
        <v/>
      </c>
      <c r="AA15" s="47" t="str">
        <f>IFERROR(VLOOKUP($A$1&amp;"-"&amp;ROW(AN14),基本資料填寫!$A:$DN,COLUMN(基本資料填寫!CO15),0),"")</f>
        <v/>
      </c>
      <c r="AB15" s="47" t="str">
        <f>IFERROR(VLOOKUP($A$1&amp;"-"&amp;ROW(AO14),基本資料填寫!$A:$DN,COLUMN(基本資料填寫!CP15),0),"")</f>
        <v/>
      </c>
    </row>
    <row r="16" spans="1:28" x14ac:dyDescent="0.3">
      <c r="B16" s="2" t="str">
        <f>IF(C16="","",COUNTA($C$2:C16))</f>
        <v/>
      </c>
      <c r="C16" s="47" t="str">
        <f>IFERROR(VLOOKUP($A$1&amp;"-"&amp;ROW(C15),基本資料填寫!$A:$DN,COLUMN(基本資料填寫!S16),0),"")</f>
        <v/>
      </c>
      <c r="D16" s="47" t="str">
        <f>IFERROR(VLOOKUP($A$1&amp;"-"&amp;ROW(D15),基本資料填寫!$A:$DN,COLUMN(基本資料填寫!V16),0),"")</f>
        <v/>
      </c>
      <c r="E16" s="47" t="str">
        <f>IFERROR(VLOOKUP($A$1&amp;"-"&amp;ROW(E15),基本資料填寫!$A:$DN,COLUMN(基本資料填寫!BW16),0),"")</f>
        <v/>
      </c>
      <c r="F16" s="47" t="str">
        <f>IFERROR(VLOOKUP($A$1&amp;"-"&amp;ROW(F15),基本資料填寫!$A:$DN,COLUMN(基本資料填寫!AN16),0),"")</f>
        <v/>
      </c>
      <c r="G16" s="47" t="str">
        <f>IFERROR(VLOOKUP($A$1&amp;"-"&amp;ROW(H15),基本資料填寫!$A:$DN,COLUMN(基本資料填寫!R16),0),"")</f>
        <v/>
      </c>
      <c r="H16" s="47" t="str">
        <f>IFERROR(VLOOKUP($A$1&amp;"-"&amp;ROW(X15),基本資料填寫!$A:$DN,COLUMN(基本資料填寫!BX16),0),"")</f>
        <v/>
      </c>
      <c r="I16" s="47" t="str">
        <f>IFERROR(VLOOKUP($A$1&amp;"-"&amp;ROW(P15),基本資料填寫!$A:$DN,COLUMN(基本資料填寫!Z16),0),"")</f>
        <v/>
      </c>
      <c r="J16" s="47" t="str">
        <f>IFERROR(VLOOKUP($A$1&amp;"-"&amp;ROW(Q15),基本資料填寫!$A:$DN,COLUMN(基本資料填寫!AA16),0),"")</f>
        <v/>
      </c>
      <c r="K16" s="47" t="str">
        <f>IFERROR(VLOOKUP($A$1&amp;"-"&amp;ROW(Y15),基本資料填寫!$A:$DN,COLUMN(基本資料填寫!BY16),0),"")</f>
        <v/>
      </c>
      <c r="L16" s="47" t="str">
        <f>IFERROR(VLOOKUP($A$1&amp;"-"&amp;ROW(Z15),基本資料填寫!$A:$DN,COLUMN(基本資料填寫!BZ16),0),"")</f>
        <v/>
      </c>
      <c r="M16" s="47" t="str">
        <f>IFERROR(VLOOKUP($A$1&amp;"-"&amp;ROW(AA15),基本資料填寫!$A:$DN,COLUMN(基本資料填寫!CA16),0),"")</f>
        <v/>
      </c>
      <c r="N16" s="47" t="str">
        <f>IFERROR(VLOOKUP($A$1&amp;"-"&amp;ROW(G15),基本資料填寫!$A:$DN,COLUMN(基本資料填寫!AO16),0),"")</f>
        <v/>
      </c>
      <c r="O16" s="47" t="str">
        <f>IFERROR(VLOOKUP($A$1&amp;"-"&amp;ROW(AB15),基本資料填寫!$A:$DN,COLUMN(基本資料填寫!CB16),0),"")</f>
        <v/>
      </c>
      <c r="P16" s="47" t="str">
        <f>IFERROR(VLOOKUP($A$1&amp;"-"&amp;ROW(AC15),基本資料填寫!$A:$DN,COLUMN(基本資料填寫!CC16),0),"")</f>
        <v/>
      </c>
      <c r="Q16" s="47" t="str">
        <f>IFERROR(VLOOKUP($A$1&amp;"-"&amp;ROW(AD15),基本資料填寫!$A:$DN,COLUMN(基本資料填寫!CD16),0),"")</f>
        <v/>
      </c>
      <c r="R16" s="47" t="str">
        <f>IFERROR(VLOOKUP($A$1&amp;"-"&amp;ROW(AE15),基本資料填寫!$A:$DN,COLUMN(基本資料填寫!CE16),0),"")</f>
        <v/>
      </c>
      <c r="S16" s="47" t="str">
        <f>IFERROR(VLOOKUP($A$1&amp;"-"&amp;ROW(AF15),基本資料填寫!$A:$DN,COLUMN(基本資料填寫!CF16),0),"")</f>
        <v/>
      </c>
      <c r="T16" s="47" t="str">
        <f>IFERROR(VLOOKUP($A$1&amp;"-"&amp;ROW(AG15),基本資料填寫!$A:$DN,COLUMN(基本資料填寫!CG16),0),"")</f>
        <v/>
      </c>
      <c r="U16" s="47" t="str">
        <f>IFERROR(VLOOKUP($A$1&amp;"-"&amp;ROW(AH15),基本資料填寫!$A:$DN,COLUMN(基本資料填寫!CH16),0),"")</f>
        <v/>
      </c>
      <c r="V16" s="47" t="str">
        <f>IFERROR(VLOOKUP($A$1&amp;"-"&amp;ROW(AI15),基本資料填寫!$A:$DN,COLUMN(基本資料填寫!CI16),0),"")</f>
        <v/>
      </c>
      <c r="W16" s="47" t="str">
        <f>IFERROR(VLOOKUP($A$1&amp;"-"&amp;ROW(E15),基本資料填寫!$A:$DN,COLUMN(基本資料填寫!O16),0),"")</f>
        <v/>
      </c>
      <c r="X16" s="47" t="str">
        <f>IFERROR(VLOOKUP($A$1&amp;"-"&amp;ROW(AJ15),基本資料填寫!$A:$DN,COLUMN(基本資料填寫!CJ16),0),"")</f>
        <v/>
      </c>
      <c r="Y16" s="47" t="str">
        <f>IFERROR(VLOOKUP($A$1&amp;"-"&amp;ROW(AK15),基本資料填寫!$A:$DN,COLUMN(基本資料填寫!CK16),0),"")</f>
        <v/>
      </c>
      <c r="Z16" s="47" t="str">
        <f>IFERROR(VLOOKUP($A$1&amp;"-"&amp;ROW(AM15),基本資料填寫!$A:$DN,COLUMN(基本資料填寫!CN16),0),"")</f>
        <v/>
      </c>
      <c r="AA16" s="47" t="str">
        <f>IFERROR(VLOOKUP($A$1&amp;"-"&amp;ROW(AN15),基本資料填寫!$A:$DN,COLUMN(基本資料填寫!CO16),0),"")</f>
        <v/>
      </c>
      <c r="AB16" s="47" t="str">
        <f>IFERROR(VLOOKUP($A$1&amp;"-"&amp;ROW(AO15),基本資料填寫!$A:$DN,COLUMN(基本資料填寫!CP16),0),"")</f>
        <v/>
      </c>
    </row>
    <row r="17" spans="2:28" x14ac:dyDescent="0.3">
      <c r="B17" s="2" t="str">
        <f>IF(C17="","",COUNTA($C$2:C17))</f>
        <v/>
      </c>
      <c r="C17" s="47" t="str">
        <f>IFERROR(VLOOKUP($A$1&amp;"-"&amp;ROW(C16),基本資料填寫!$A:$DN,COLUMN(基本資料填寫!S17),0),"")</f>
        <v/>
      </c>
      <c r="D17" s="47" t="str">
        <f>IFERROR(VLOOKUP($A$1&amp;"-"&amp;ROW(D16),基本資料填寫!$A:$DN,COLUMN(基本資料填寫!V17),0),"")</f>
        <v/>
      </c>
      <c r="E17" s="47" t="str">
        <f>IFERROR(VLOOKUP($A$1&amp;"-"&amp;ROW(E16),基本資料填寫!$A:$DN,COLUMN(基本資料填寫!BW17),0),"")</f>
        <v/>
      </c>
      <c r="F17" s="47" t="str">
        <f>IFERROR(VLOOKUP($A$1&amp;"-"&amp;ROW(F16),基本資料填寫!$A:$DN,COLUMN(基本資料填寫!AN17),0),"")</f>
        <v/>
      </c>
      <c r="G17" s="47" t="str">
        <f>IFERROR(VLOOKUP($A$1&amp;"-"&amp;ROW(H16),基本資料填寫!$A:$DN,COLUMN(基本資料填寫!R17),0),"")</f>
        <v/>
      </c>
      <c r="H17" s="47" t="str">
        <f>IFERROR(VLOOKUP($A$1&amp;"-"&amp;ROW(X16),基本資料填寫!$A:$DN,COLUMN(基本資料填寫!BX17),0),"")</f>
        <v/>
      </c>
      <c r="I17" s="47" t="str">
        <f>IFERROR(VLOOKUP($A$1&amp;"-"&amp;ROW(P16),基本資料填寫!$A:$DN,COLUMN(基本資料填寫!Z17),0),"")</f>
        <v/>
      </c>
      <c r="J17" s="47" t="str">
        <f>IFERROR(VLOOKUP($A$1&amp;"-"&amp;ROW(Q16),基本資料填寫!$A:$DN,COLUMN(基本資料填寫!AA17),0),"")</f>
        <v/>
      </c>
      <c r="K17" s="47" t="str">
        <f>IFERROR(VLOOKUP($A$1&amp;"-"&amp;ROW(Y16),基本資料填寫!$A:$DN,COLUMN(基本資料填寫!BY17),0),"")</f>
        <v/>
      </c>
      <c r="L17" s="47" t="str">
        <f>IFERROR(VLOOKUP($A$1&amp;"-"&amp;ROW(Z16),基本資料填寫!$A:$DN,COLUMN(基本資料填寫!BZ17),0),"")</f>
        <v/>
      </c>
      <c r="M17" s="47" t="str">
        <f>IFERROR(VLOOKUP($A$1&amp;"-"&amp;ROW(AA16),基本資料填寫!$A:$DN,COLUMN(基本資料填寫!CA17),0),"")</f>
        <v/>
      </c>
      <c r="N17" s="47" t="str">
        <f>IFERROR(VLOOKUP($A$1&amp;"-"&amp;ROW(G16),基本資料填寫!$A:$DN,COLUMN(基本資料填寫!AO17),0),"")</f>
        <v/>
      </c>
      <c r="O17" s="47" t="str">
        <f>IFERROR(VLOOKUP($A$1&amp;"-"&amp;ROW(AB16),基本資料填寫!$A:$DN,COLUMN(基本資料填寫!CB17),0),"")</f>
        <v/>
      </c>
      <c r="P17" s="47" t="str">
        <f>IFERROR(VLOOKUP($A$1&amp;"-"&amp;ROW(AC16),基本資料填寫!$A:$DN,COLUMN(基本資料填寫!CC17),0),"")</f>
        <v/>
      </c>
      <c r="Q17" s="47" t="str">
        <f>IFERROR(VLOOKUP($A$1&amp;"-"&amp;ROW(AD16),基本資料填寫!$A:$DN,COLUMN(基本資料填寫!CD17),0),"")</f>
        <v/>
      </c>
      <c r="R17" s="47" t="str">
        <f>IFERROR(VLOOKUP($A$1&amp;"-"&amp;ROW(AE16),基本資料填寫!$A:$DN,COLUMN(基本資料填寫!CE17),0),"")</f>
        <v/>
      </c>
      <c r="S17" s="47" t="str">
        <f>IFERROR(VLOOKUP($A$1&amp;"-"&amp;ROW(AF16),基本資料填寫!$A:$DN,COLUMN(基本資料填寫!CF17),0),"")</f>
        <v/>
      </c>
      <c r="T17" s="47" t="str">
        <f>IFERROR(VLOOKUP($A$1&amp;"-"&amp;ROW(AG16),基本資料填寫!$A:$DN,COLUMN(基本資料填寫!CG17),0),"")</f>
        <v/>
      </c>
      <c r="U17" s="47" t="str">
        <f>IFERROR(VLOOKUP($A$1&amp;"-"&amp;ROW(AH16),基本資料填寫!$A:$DN,COLUMN(基本資料填寫!CH17),0),"")</f>
        <v/>
      </c>
      <c r="V17" s="47" t="str">
        <f>IFERROR(VLOOKUP($A$1&amp;"-"&amp;ROW(AI16),基本資料填寫!$A:$DN,COLUMN(基本資料填寫!CI17),0),"")</f>
        <v/>
      </c>
      <c r="W17" s="47" t="str">
        <f>IFERROR(VLOOKUP($A$1&amp;"-"&amp;ROW(E16),基本資料填寫!$A:$DN,COLUMN(基本資料填寫!O17),0),"")</f>
        <v/>
      </c>
      <c r="X17" s="47" t="str">
        <f>IFERROR(VLOOKUP($A$1&amp;"-"&amp;ROW(AJ16),基本資料填寫!$A:$DN,COLUMN(基本資料填寫!CJ17),0),"")</f>
        <v/>
      </c>
      <c r="Y17" s="47" t="str">
        <f>IFERROR(VLOOKUP($A$1&amp;"-"&amp;ROW(AK16),基本資料填寫!$A:$DN,COLUMN(基本資料填寫!CK17),0),"")</f>
        <v/>
      </c>
      <c r="Z17" s="47" t="str">
        <f>IFERROR(VLOOKUP($A$1&amp;"-"&amp;ROW(AM16),基本資料填寫!$A:$DN,COLUMN(基本資料填寫!CN17),0),"")</f>
        <v/>
      </c>
      <c r="AA17" s="47" t="str">
        <f>IFERROR(VLOOKUP($A$1&amp;"-"&amp;ROW(AN16),基本資料填寫!$A:$DN,COLUMN(基本資料填寫!CO17),0),"")</f>
        <v/>
      </c>
      <c r="AB17" s="47" t="str">
        <f>IFERROR(VLOOKUP($A$1&amp;"-"&amp;ROW(AO16),基本資料填寫!$A:$DN,COLUMN(基本資料填寫!CP17),0),"")</f>
        <v/>
      </c>
    </row>
    <row r="18" spans="2:28" x14ac:dyDescent="0.3">
      <c r="B18" s="2" t="str">
        <f>IF(C18="","",COUNTA($C$2:C18))</f>
        <v/>
      </c>
      <c r="C18" s="47" t="str">
        <f>IFERROR(VLOOKUP($A$1&amp;"-"&amp;ROW(C17),基本資料填寫!$A:$DN,COLUMN(基本資料填寫!S18),0),"")</f>
        <v/>
      </c>
      <c r="D18" s="47" t="str">
        <f>IFERROR(VLOOKUP($A$1&amp;"-"&amp;ROW(D17),基本資料填寫!$A:$DN,COLUMN(基本資料填寫!V18),0),"")</f>
        <v/>
      </c>
      <c r="E18" s="47" t="str">
        <f>IFERROR(VLOOKUP($A$1&amp;"-"&amp;ROW(E17),基本資料填寫!$A:$DN,COLUMN(基本資料填寫!BW18),0),"")</f>
        <v/>
      </c>
      <c r="F18" s="47" t="str">
        <f>IFERROR(VLOOKUP($A$1&amp;"-"&amp;ROW(F17),基本資料填寫!$A:$DN,COLUMN(基本資料填寫!AN18),0),"")</f>
        <v/>
      </c>
      <c r="G18" s="47" t="str">
        <f>IFERROR(VLOOKUP($A$1&amp;"-"&amp;ROW(H17),基本資料填寫!$A:$DN,COLUMN(基本資料填寫!R18),0),"")</f>
        <v/>
      </c>
      <c r="H18" s="47" t="str">
        <f>IFERROR(VLOOKUP($A$1&amp;"-"&amp;ROW(X17),基本資料填寫!$A:$DN,COLUMN(基本資料填寫!BX18),0),"")</f>
        <v/>
      </c>
      <c r="I18" s="47" t="str">
        <f>IFERROR(VLOOKUP($A$1&amp;"-"&amp;ROW(P17),基本資料填寫!$A:$DN,COLUMN(基本資料填寫!Z18),0),"")</f>
        <v/>
      </c>
      <c r="J18" s="47" t="str">
        <f>IFERROR(VLOOKUP($A$1&amp;"-"&amp;ROW(Q17),基本資料填寫!$A:$DN,COLUMN(基本資料填寫!AA18),0),"")</f>
        <v/>
      </c>
      <c r="K18" s="47" t="str">
        <f>IFERROR(VLOOKUP($A$1&amp;"-"&amp;ROW(Y17),基本資料填寫!$A:$DN,COLUMN(基本資料填寫!BY18),0),"")</f>
        <v/>
      </c>
      <c r="L18" s="47" t="str">
        <f>IFERROR(VLOOKUP($A$1&amp;"-"&amp;ROW(Z17),基本資料填寫!$A:$DN,COLUMN(基本資料填寫!BZ18),0),"")</f>
        <v/>
      </c>
      <c r="M18" s="47" t="str">
        <f>IFERROR(VLOOKUP($A$1&amp;"-"&amp;ROW(AA17),基本資料填寫!$A:$DN,COLUMN(基本資料填寫!CA18),0),"")</f>
        <v/>
      </c>
      <c r="N18" s="47" t="str">
        <f>IFERROR(VLOOKUP($A$1&amp;"-"&amp;ROW(G17),基本資料填寫!$A:$DN,COLUMN(基本資料填寫!AO18),0),"")</f>
        <v/>
      </c>
      <c r="O18" s="47" t="str">
        <f>IFERROR(VLOOKUP($A$1&amp;"-"&amp;ROW(AB17),基本資料填寫!$A:$DN,COLUMN(基本資料填寫!CB18),0),"")</f>
        <v/>
      </c>
      <c r="P18" s="47" t="str">
        <f>IFERROR(VLOOKUP($A$1&amp;"-"&amp;ROW(AC17),基本資料填寫!$A:$DN,COLUMN(基本資料填寫!CC18),0),"")</f>
        <v/>
      </c>
      <c r="Q18" s="47" t="str">
        <f>IFERROR(VLOOKUP($A$1&amp;"-"&amp;ROW(AD17),基本資料填寫!$A:$DN,COLUMN(基本資料填寫!CD18),0),"")</f>
        <v/>
      </c>
      <c r="R18" s="47" t="str">
        <f>IFERROR(VLOOKUP($A$1&amp;"-"&amp;ROW(AE17),基本資料填寫!$A:$DN,COLUMN(基本資料填寫!CE18),0),"")</f>
        <v/>
      </c>
      <c r="S18" s="47" t="str">
        <f>IFERROR(VLOOKUP($A$1&amp;"-"&amp;ROW(AF17),基本資料填寫!$A:$DN,COLUMN(基本資料填寫!CF18),0),"")</f>
        <v/>
      </c>
      <c r="T18" s="47" t="str">
        <f>IFERROR(VLOOKUP($A$1&amp;"-"&amp;ROW(AG17),基本資料填寫!$A:$DN,COLUMN(基本資料填寫!CG18),0),"")</f>
        <v/>
      </c>
      <c r="U18" s="47" t="str">
        <f>IFERROR(VLOOKUP($A$1&amp;"-"&amp;ROW(AH17),基本資料填寫!$A:$DN,COLUMN(基本資料填寫!CH18),0),"")</f>
        <v/>
      </c>
      <c r="V18" s="47" t="str">
        <f>IFERROR(VLOOKUP($A$1&amp;"-"&amp;ROW(AI17),基本資料填寫!$A:$DN,COLUMN(基本資料填寫!CI18),0),"")</f>
        <v/>
      </c>
      <c r="W18" s="47" t="str">
        <f>IFERROR(VLOOKUP($A$1&amp;"-"&amp;ROW(E17),基本資料填寫!$A:$DN,COLUMN(基本資料填寫!O18),0),"")</f>
        <v/>
      </c>
      <c r="X18" s="47" t="str">
        <f>IFERROR(VLOOKUP($A$1&amp;"-"&amp;ROW(AJ17),基本資料填寫!$A:$DN,COLUMN(基本資料填寫!CJ18),0),"")</f>
        <v/>
      </c>
      <c r="Y18" s="47" t="str">
        <f>IFERROR(VLOOKUP($A$1&amp;"-"&amp;ROW(AK17),基本資料填寫!$A:$DN,COLUMN(基本資料填寫!CK18),0),"")</f>
        <v/>
      </c>
      <c r="Z18" s="47" t="str">
        <f>IFERROR(VLOOKUP($A$1&amp;"-"&amp;ROW(AM17),基本資料填寫!$A:$DN,COLUMN(基本資料填寫!CN18),0),"")</f>
        <v/>
      </c>
      <c r="AA18" s="47" t="str">
        <f>IFERROR(VLOOKUP($A$1&amp;"-"&amp;ROW(AN17),基本資料填寫!$A:$DN,COLUMN(基本資料填寫!CO18),0),"")</f>
        <v/>
      </c>
      <c r="AB18" s="47" t="str">
        <f>IFERROR(VLOOKUP($A$1&amp;"-"&amp;ROW(AO17),基本資料填寫!$A:$DN,COLUMN(基本資料填寫!CP18),0),"")</f>
        <v/>
      </c>
    </row>
    <row r="19" spans="2:28" x14ac:dyDescent="0.3">
      <c r="B19" s="2" t="str">
        <f>IF(C19="","",COUNTA($C$2:C19))</f>
        <v/>
      </c>
      <c r="C19" s="47" t="str">
        <f>IFERROR(VLOOKUP($A$1&amp;"-"&amp;ROW(C18),基本資料填寫!$A:$DN,COLUMN(基本資料填寫!S19),0),"")</f>
        <v/>
      </c>
      <c r="D19" s="47" t="str">
        <f>IFERROR(VLOOKUP($A$1&amp;"-"&amp;ROW(D18),基本資料填寫!$A:$DN,COLUMN(基本資料填寫!V19),0),"")</f>
        <v/>
      </c>
      <c r="E19" s="47" t="str">
        <f>IFERROR(VLOOKUP($A$1&amp;"-"&amp;ROW(E18),基本資料填寫!$A:$DN,COLUMN(基本資料填寫!BW19),0),"")</f>
        <v/>
      </c>
      <c r="F19" s="47" t="str">
        <f>IFERROR(VLOOKUP($A$1&amp;"-"&amp;ROW(F18),基本資料填寫!$A:$DN,COLUMN(基本資料填寫!AN19),0),"")</f>
        <v/>
      </c>
      <c r="G19" s="47" t="str">
        <f>IFERROR(VLOOKUP($A$1&amp;"-"&amp;ROW(H18),基本資料填寫!$A:$DN,COLUMN(基本資料填寫!R19),0),"")</f>
        <v/>
      </c>
      <c r="H19" s="47" t="str">
        <f>IFERROR(VLOOKUP($A$1&amp;"-"&amp;ROW(X18),基本資料填寫!$A:$DN,COLUMN(基本資料填寫!BX19),0),"")</f>
        <v/>
      </c>
      <c r="I19" s="47" t="str">
        <f>IFERROR(VLOOKUP($A$1&amp;"-"&amp;ROW(P18),基本資料填寫!$A:$DN,COLUMN(基本資料填寫!Z19),0),"")</f>
        <v/>
      </c>
      <c r="J19" s="47" t="str">
        <f>IFERROR(VLOOKUP($A$1&amp;"-"&amp;ROW(Q18),基本資料填寫!$A:$DN,COLUMN(基本資料填寫!AA19),0),"")</f>
        <v/>
      </c>
      <c r="K19" s="47" t="str">
        <f>IFERROR(VLOOKUP($A$1&amp;"-"&amp;ROW(Y18),基本資料填寫!$A:$DN,COLUMN(基本資料填寫!BY19),0),"")</f>
        <v/>
      </c>
      <c r="L19" s="47" t="str">
        <f>IFERROR(VLOOKUP($A$1&amp;"-"&amp;ROW(Z18),基本資料填寫!$A:$DN,COLUMN(基本資料填寫!BZ19),0),"")</f>
        <v/>
      </c>
      <c r="M19" s="47" t="str">
        <f>IFERROR(VLOOKUP($A$1&amp;"-"&amp;ROW(AA18),基本資料填寫!$A:$DN,COLUMN(基本資料填寫!CA19),0),"")</f>
        <v/>
      </c>
      <c r="N19" s="47" t="str">
        <f>IFERROR(VLOOKUP($A$1&amp;"-"&amp;ROW(G18),基本資料填寫!$A:$DN,COLUMN(基本資料填寫!AO19),0),"")</f>
        <v/>
      </c>
      <c r="O19" s="47" t="str">
        <f>IFERROR(VLOOKUP($A$1&amp;"-"&amp;ROW(AB18),基本資料填寫!$A:$DN,COLUMN(基本資料填寫!CB19),0),"")</f>
        <v/>
      </c>
      <c r="P19" s="47" t="str">
        <f>IFERROR(VLOOKUP($A$1&amp;"-"&amp;ROW(AC18),基本資料填寫!$A:$DN,COLUMN(基本資料填寫!CC19),0),"")</f>
        <v/>
      </c>
      <c r="Q19" s="47" t="str">
        <f>IFERROR(VLOOKUP($A$1&amp;"-"&amp;ROW(AD18),基本資料填寫!$A:$DN,COLUMN(基本資料填寫!CD19),0),"")</f>
        <v/>
      </c>
      <c r="R19" s="47" t="str">
        <f>IFERROR(VLOOKUP($A$1&amp;"-"&amp;ROW(AE18),基本資料填寫!$A:$DN,COLUMN(基本資料填寫!CE19),0),"")</f>
        <v/>
      </c>
      <c r="S19" s="47" t="str">
        <f>IFERROR(VLOOKUP($A$1&amp;"-"&amp;ROW(AF18),基本資料填寫!$A:$DN,COLUMN(基本資料填寫!CF19),0),"")</f>
        <v/>
      </c>
      <c r="T19" s="47" t="str">
        <f>IFERROR(VLOOKUP($A$1&amp;"-"&amp;ROW(AG18),基本資料填寫!$A:$DN,COLUMN(基本資料填寫!CG19),0),"")</f>
        <v/>
      </c>
      <c r="U19" s="47" t="str">
        <f>IFERROR(VLOOKUP($A$1&amp;"-"&amp;ROW(AH18),基本資料填寫!$A:$DN,COLUMN(基本資料填寫!CH19),0),"")</f>
        <v/>
      </c>
      <c r="V19" s="47" t="str">
        <f>IFERROR(VLOOKUP($A$1&amp;"-"&amp;ROW(AI18),基本資料填寫!$A:$DN,COLUMN(基本資料填寫!CI19),0),"")</f>
        <v/>
      </c>
      <c r="W19" s="47" t="str">
        <f>IFERROR(VLOOKUP($A$1&amp;"-"&amp;ROW(E18),基本資料填寫!$A:$DN,COLUMN(基本資料填寫!O19),0),"")</f>
        <v/>
      </c>
      <c r="X19" s="47" t="str">
        <f>IFERROR(VLOOKUP($A$1&amp;"-"&amp;ROW(AJ18),基本資料填寫!$A:$DN,COLUMN(基本資料填寫!CJ19),0),"")</f>
        <v/>
      </c>
      <c r="Y19" s="47" t="str">
        <f>IFERROR(VLOOKUP($A$1&amp;"-"&amp;ROW(AK18),基本資料填寫!$A:$DN,COLUMN(基本資料填寫!CK19),0),"")</f>
        <v/>
      </c>
      <c r="Z19" s="47" t="str">
        <f>IFERROR(VLOOKUP($A$1&amp;"-"&amp;ROW(AM18),基本資料填寫!$A:$DN,COLUMN(基本資料填寫!CN19),0),"")</f>
        <v/>
      </c>
      <c r="AA19" s="47" t="str">
        <f>IFERROR(VLOOKUP($A$1&amp;"-"&amp;ROW(AN18),基本資料填寫!$A:$DN,COLUMN(基本資料填寫!CO19),0),"")</f>
        <v/>
      </c>
      <c r="AB19" s="47" t="str">
        <f>IFERROR(VLOOKUP($A$1&amp;"-"&amp;ROW(AO18),基本資料填寫!$A:$DN,COLUMN(基本資料填寫!CP19),0),"")</f>
        <v/>
      </c>
    </row>
    <row r="20" spans="2:28" x14ac:dyDescent="0.3">
      <c r="B20" s="2" t="str">
        <f>IF(C20="","",COUNTA($C$2:C20))</f>
        <v/>
      </c>
      <c r="C20" s="47" t="str">
        <f>IFERROR(VLOOKUP($A$1&amp;"-"&amp;ROW(C19),基本資料填寫!$A:$DN,COLUMN(基本資料填寫!S20),0),"")</f>
        <v/>
      </c>
      <c r="D20" s="47" t="str">
        <f>IFERROR(VLOOKUP($A$1&amp;"-"&amp;ROW(D19),基本資料填寫!$A:$DN,COLUMN(基本資料填寫!V20),0),"")</f>
        <v/>
      </c>
      <c r="E20" s="47" t="str">
        <f>IFERROR(VLOOKUP($A$1&amp;"-"&amp;ROW(E19),基本資料填寫!$A:$DN,COLUMN(基本資料填寫!BW20),0),"")</f>
        <v/>
      </c>
      <c r="F20" s="47" t="str">
        <f>IFERROR(VLOOKUP($A$1&amp;"-"&amp;ROW(F19),基本資料填寫!$A:$DN,COLUMN(基本資料填寫!AN20),0),"")</f>
        <v/>
      </c>
      <c r="G20" s="47" t="str">
        <f>IFERROR(VLOOKUP($A$1&amp;"-"&amp;ROW(H19),基本資料填寫!$A:$DN,COLUMN(基本資料填寫!R20),0),"")</f>
        <v/>
      </c>
      <c r="H20" s="47" t="str">
        <f>IFERROR(VLOOKUP($A$1&amp;"-"&amp;ROW(X19),基本資料填寫!$A:$DN,COLUMN(基本資料填寫!BX20),0),"")</f>
        <v/>
      </c>
      <c r="I20" s="47" t="str">
        <f>IFERROR(VLOOKUP($A$1&amp;"-"&amp;ROW(P19),基本資料填寫!$A:$DN,COLUMN(基本資料填寫!Z20),0),"")</f>
        <v/>
      </c>
      <c r="J20" s="47" t="str">
        <f>IFERROR(VLOOKUP($A$1&amp;"-"&amp;ROW(Q19),基本資料填寫!$A:$DN,COLUMN(基本資料填寫!AA20),0),"")</f>
        <v/>
      </c>
      <c r="K20" s="47" t="str">
        <f>IFERROR(VLOOKUP($A$1&amp;"-"&amp;ROW(Y19),基本資料填寫!$A:$DN,COLUMN(基本資料填寫!BY20),0),"")</f>
        <v/>
      </c>
      <c r="L20" s="47" t="str">
        <f>IFERROR(VLOOKUP($A$1&amp;"-"&amp;ROW(Z19),基本資料填寫!$A:$DN,COLUMN(基本資料填寫!BZ20),0),"")</f>
        <v/>
      </c>
      <c r="M20" s="47" t="str">
        <f>IFERROR(VLOOKUP($A$1&amp;"-"&amp;ROW(AA19),基本資料填寫!$A:$DN,COLUMN(基本資料填寫!CA20),0),"")</f>
        <v/>
      </c>
      <c r="N20" s="47" t="str">
        <f>IFERROR(VLOOKUP($A$1&amp;"-"&amp;ROW(G19),基本資料填寫!$A:$DN,COLUMN(基本資料填寫!AO20),0),"")</f>
        <v/>
      </c>
      <c r="O20" s="47" t="str">
        <f>IFERROR(VLOOKUP($A$1&amp;"-"&amp;ROW(AB19),基本資料填寫!$A:$DN,COLUMN(基本資料填寫!CB20),0),"")</f>
        <v/>
      </c>
      <c r="P20" s="47" t="str">
        <f>IFERROR(VLOOKUP($A$1&amp;"-"&amp;ROW(AC19),基本資料填寫!$A:$DN,COLUMN(基本資料填寫!CC20),0),"")</f>
        <v/>
      </c>
      <c r="Q20" s="47" t="str">
        <f>IFERROR(VLOOKUP($A$1&amp;"-"&amp;ROW(AD19),基本資料填寫!$A:$DN,COLUMN(基本資料填寫!CD20),0),"")</f>
        <v/>
      </c>
      <c r="R20" s="47" t="str">
        <f>IFERROR(VLOOKUP($A$1&amp;"-"&amp;ROW(AE19),基本資料填寫!$A:$DN,COLUMN(基本資料填寫!CE20),0),"")</f>
        <v/>
      </c>
      <c r="S20" s="47" t="str">
        <f>IFERROR(VLOOKUP($A$1&amp;"-"&amp;ROW(AF19),基本資料填寫!$A:$DN,COLUMN(基本資料填寫!CF20),0),"")</f>
        <v/>
      </c>
      <c r="T20" s="47" t="str">
        <f>IFERROR(VLOOKUP($A$1&amp;"-"&amp;ROW(AG19),基本資料填寫!$A:$DN,COLUMN(基本資料填寫!CG20),0),"")</f>
        <v/>
      </c>
      <c r="U20" s="47" t="str">
        <f>IFERROR(VLOOKUP($A$1&amp;"-"&amp;ROW(AH19),基本資料填寫!$A:$DN,COLUMN(基本資料填寫!CH20),0),"")</f>
        <v/>
      </c>
      <c r="V20" s="47" t="str">
        <f>IFERROR(VLOOKUP($A$1&amp;"-"&amp;ROW(AI19),基本資料填寫!$A:$DN,COLUMN(基本資料填寫!CI20),0),"")</f>
        <v/>
      </c>
      <c r="W20" s="47" t="str">
        <f>IFERROR(VLOOKUP($A$1&amp;"-"&amp;ROW(E19),基本資料填寫!$A:$DN,COLUMN(基本資料填寫!O20),0),"")</f>
        <v/>
      </c>
      <c r="X20" s="47" t="str">
        <f>IFERROR(VLOOKUP($A$1&amp;"-"&amp;ROW(AJ19),基本資料填寫!$A:$DN,COLUMN(基本資料填寫!CJ20),0),"")</f>
        <v/>
      </c>
      <c r="Y20" s="47" t="str">
        <f>IFERROR(VLOOKUP($A$1&amp;"-"&amp;ROW(AK19),基本資料填寫!$A:$DN,COLUMN(基本資料填寫!CK20),0),"")</f>
        <v/>
      </c>
      <c r="Z20" s="47" t="str">
        <f>IFERROR(VLOOKUP($A$1&amp;"-"&amp;ROW(AM19),基本資料填寫!$A:$DN,COLUMN(基本資料填寫!CN20),0),"")</f>
        <v/>
      </c>
      <c r="AA20" s="47" t="str">
        <f>IFERROR(VLOOKUP($A$1&amp;"-"&amp;ROW(AN19),基本資料填寫!$A:$DN,COLUMN(基本資料填寫!CO20),0),"")</f>
        <v/>
      </c>
      <c r="AB20" s="47" t="str">
        <f>IFERROR(VLOOKUP($A$1&amp;"-"&amp;ROW(AO19),基本資料填寫!$A:$DN,COLUMN(基本資料填寫!CP20),0),"")</f>
        <v/>
      </c>
    </row>
    <row r="21" spans="2:28" x14ac:dyDescent="0.3">
      <c r="B21" s="2" t="str">
        <f>IF(C21="","",COUNTA($C$2:C21))</f>
        <v/>
      </c>
      <c r="C21" s="47" t="str">
        <f>IFERROR(VLOOKUP($A$1&amp;"-"&amp;ROW(C20),基本資料填寫!$A:$DN,COLUMN(基本資料填寫!S21),0),"")</f>
        <v/>
      </c>
      <c r="D21" s="47" t="str">
        <f>IFERROR(VLOOKUP($A$1&amp;"-"&amp;ROW(D20),基本資料填寫!$A:$DN,COLUMN(基本資料填寫!V21),0),"")</f>
        <v/>
      </c>
      <c r="E21" s="47" t="str">
        <f>IFERROR(VLOOKUP($A$1&amp;"-"&amp;ROW(E20),基本資料填寫!$A:$DN,COLUMN(基本資料填寫!BW21),0),"")</f>
        <v/>
      </c>
      <c r="F21" s="47" t="str">
        <f>IFERROR(VLOOKUP($A$1&amp;"-"&amp;ROW(F20),基本資料填寫!$A:$DN,COLUMN(基本資料填寫!AN21),0),"")</f>
        <v/>
      </c>
      <c r="G21" s="47" t="str">
        <f>IFERROR(VLOOKUP($A$1&amp;"-"&amp;ROW(H20),基本資料填寫!$A:$DN,COLUMN(基本資料填寫!R21),0),"")</f>
        <v/>
      </c>
      <c r="H21" s="47" t="str">
        <f>IFERROR(VLOOKUP($A$1&amp;"-"&amp;ROW(X20),基本資料填寫!$A:$DN,COLUMN(基本資料填寫!BX21),0),"")</f>
        <v/>
      </c>
      <c r="I21" s="47" t="str">
        <f>IFERROR(VLOOKUP($A$1&amp;"-"&amp;ROW(P20),基本資料填寫!$A:$DN,COLUMN(基本資料填寫!Z21),0),"")</f>
        <v/>
      </c>
      <c r="J21" s="47" t="str">
        <f>IFERROR(VLOOKUP($A$1&amp;"-"&amp;ROW(Q20),基本資料填寫!$A:$DN,COLUMN(基本資料填寫!AA21),0),"")</f>
        <v/>
      </c>
      <c r="K21" s="47" t="str">
        <f>IFERROR(VLOOKUP($A$1&amp;"-"&amp;ROW(Y20),基本資料填寫!$A:$DN,COLUMN(基本資料填寫!BY21),0),"")</f>
        <v/>
      </c>
      <c r="L21" s="47" t="str">
        <f>IFERROR(VLOOKUP($A$1&amp;"-"&amp;ROW(Z20),基本資料填寫!$A:$DN,COLUMN(基本資料填寫!BZ21),0),"")</f>
        <v/>
      </c>
      <c r="M21" s="47" t="str">
        <f>IFERROR(VLOOKUP($A$1&amp;"-"&amp;ROW(AA20),基本資料填寫!$A:$DN,COLUMN(基本資料填寫!CA21),0),"")</f>
        <v/>
      </c>
      <c r="N21" s="47" t="str">
        <f>IFERROR(VLOOKUP($A$1&amp;"-"&amp;ROW(G20),基本資料填寫!$A:$DN,COLUMN(基本資料填寫!AO21),0),"")</f>
        <v/>
      </c>
      <c r="O21" s="47" t="str">
        <f>IFERROR(VLOOKUP($A$1&amp;"-"&amp;ROW(AB20),基本資料填寫!$A:$DN,COLUMN(基本資料填寫!CB21),0),"")</f>
        <v/>
      </c>
      <c r="P21" s="47" t="str">
        <f>IFERROR(VLOOKUP($A$1&amp;"-"&amp;ROW(AC20),基本資料填寫!$A:$DN,COLUMN(基本資料填寫!CC21),0),"")</f>
        <v/>
      </c>
      <c r="Q21" s="47" t="str">
        <f>IFERROR(VLOOKUP($A$1&amp;"-"&amp;ROW(AD20),基本資料填寫!$A:$DN,COLUMN(基本資料填寫!CD21),0),"")</f>
        <v/>
      </c>
      <c r="R21" s="47" t="str">
        <f>IFERROR(VLOOKUP($A$1&amp;"-"&amp;ROW(AE20),基本資料填寫!$A:$DN,COLUMN(基本資料填寫!CE21),0),"")</f>
        <v/>
      </c>
      <c r="S21" s="47" t="str">
        <f>IFERROR(VLOOKUP($A$1&amp;"-"&amp;ROW(AF20),基本資料填寫!$A:$DN,COLUMN(基本資料填寫!CF21),0),"")</f>
        <v/>
      </c>
      <c r="T21" s="47" t="str">
        <f>IFERROR(VLOOKUP($A$1&amp;"-"&amp;ROW(AG20),基本資料填寫!$A:$DN,COLUMN(基本資料填寫!CG21),0),"")</f>
        <v/>
      </c>
      <c r="U21" s="47" t="str">
        <f>IFERROR(VLOOKUP($A$1&amp;"-"&amp;ROW(AH20),基本資料填寫!$A:$DN,COLUMN(基本資料填寫!CH21),0),"")</f>
        <v/>
      </c>
      <c r="V21" s="47" t="str">
        <f>IFERROR(VLOOKUP($A$1&amp;"-"&amp;ROW(AI20),基本資料填寫!$A:$DN,COLUMN(基本資料填寫!CI21),0),"")</f>
        <v/>
      </c>
      <c r="W21" s="47" t="str">
        <f>IFERROR(VLOOKUP($A$1&amp;"-"&amp;ROW(E20),基本資料填寫!$A:$DN,COLUMN(基本資料填寫!O21),0),"")</f>
        <v/>
      </c>
      <c r="X21" s="47" t="str">
        <f>IFERROR(VLOOKUP($A$1&amp;"-"&amp;ROW(AJ20),基本資料填寫!$A:$DN,COLUMN(基本資料填寫!CJ21),0),"")</f>
        <v/>
      </c>
      <c r="Y21" s="47" t="str">
        <f>IFERROR(VLOOKUP($A$1&amp;"-"&amp;ROW(AK20),基本資料填寫!$A:$DN,COLUMN(基本資料填寫!CK21),0),"")</f>
        <v/>
      </c>
      <c r="Z21" s="47" t="str">
        <f>IFERROR(VLOOKUP($A$1&amp;"-"&amp;ROW(AM20),基本資料填寫!$A:$DN,COLUMN(基本資料填寫!CN21),0),"")</f>
        <v/>
      </c>
      <c r="AA21" s="47" t="str">
        <f>IFERROR(VLOOKUP($A$1&amp;"-"&amp;ROW(AN20),基本資料填寫!$A:$DN,COLUMN(基本資料填寫!CO21),0),"")</f>
        <v/>
      </c>
      <c r="AB21" s="47" t="str">
        <f>IFERROR(VLOOKUP($A$1&amp;"-"&amp;ROW(AO20),基本資料填寫!$A:$DN,COLUMN(基本資料填寫!CP21),0),"")</f>
        <v/>
      </c>
    </row>
    <row r="22" spans="2:28" x14ac:dyDescent="0.3">
      <c r="B22" s="2" t="str">
        <f>IF(C22="","",COUNTA($C$2:C22))</f>
        <v/>
      </c>
      <c r="C22" s="47" t="str">
        <f>IFERROR(VLOOKUP($A$1&amp;"-"&amp;ROW(C21),基本資料填寫!$A:$DN,COLUMN(基本資料填寫!S22),0),"")</f>
        <v/>
      </c>
      <c r="D22" s="47" t="str">
        <f>IFERROR(VLOOKUP($A$1&amp;"-"&amp;ROW(D21),基本資料填寫!$A:$DN,COLUMN(基本資料填寫!V22),0),"")</f>
        <v/>
      </c>
      <c r="E22" s="47" t="str">
        <f>IFERROR(VLOOKUP($A$1&amp;"-"&amp;ROW(E21),基本資料填寫!$A:$DN,COLUMN(基本資料填寫!BW22),0),"")</f>
        <v/>
      </c>
      <c r="F22" s="47" t="str">
        <f>IFERROR(VLOOKUP($A$1&amp;"-"&amp;ROW(F21),基本資料填寫!$A:$DN,COLUMN(基本資料填寫!AN22),0),"")</f>
        <v/>
      </c>
      <c r="G22" s="47" t="str">
        <f>IFERROR(VLOOKUP($A$1&amp;"-"&amp;ROW(H21),基本資料填寫!$A:$DN,COLUMN(基本資料填寫!R22),0),"")</f>
        <v/>
      </c>
      <c r="H22" s="47" t="str">
        <f>IFERROR(VLOOKUP($A$1&amp;"-"&amp;ROW(X21),基本資料填寫!$A:$DN,COLUMN(基本資料填寫!BX22),0),"")</f>
        <v/>
      </c>
      <c r="I22" s="47" t="str">
        <f>IFERROR(VLOOKUP($A$1&amp;"-"&amp;ROW(P21),基本資料填寫!$A:$DN,COLUMN(基本資料填寫!Z22),0),"")</f>
        <v/>
      </c>
      <c r="J22" s="47" t="str">
        <f>IFERROR(VLOOKUP($A$1&amp;"-"&amp;ROW(Q21),基本資料填寫!$A:$DN,COLUMN(基本資料填寫!AA22),0),"")</f>
        <v/>
      </c>
      <c r="K22" s="47" t="str">
        <f>IFERROR(VLOOKUP($A$1&amp;"-"&amp;ROW(Y21),基本資料填寫!$A:$DN,COLUMN(基本資料填寫!BY22),0),"")</f>
        <v/>
      </c>
      <c r="L22" s="47" t="str">
        <f>IFERROR(VLOOKUP($A$1&amp;"-"&amp;ROW(Z21),基本資料填寫!$A:$DN,COLUMN(基本資料填寫!BZ22),0),"")</f>
        <v/>
      </c>
      <c r="M22" s="47" t="str">
        <f>IFERROR(VLOOKUP($A$1&amp;"-"&amp;ROW(AA21),基本資料填寫!$A:$DN,COLUMN(基本資料填寫!CA22),0),"")</f>
        <v/>
      </c>
      <c r="N22" s="47" t="str">
        <f>IFERROR(VLOOKUP($A$1&amp;"-"&amp;ROW(G21),基本資料填寫!$A:$DN,COLUMN(基本資料填寫!AO22),0),"")</f>
        <v/>
      </c>
      <c r="O22" s="47" t="str">
        <f>IFERROR(VLOOKUP($A$1&amp;"-"&amp;ROW(AB21),基本資料填寫!$A:$DN,COLUMN(基本資料填寫!CB22),0),"")</f>
        <v/>
      </c>
      <c r="P22" s="47" t="str">
        <f>IFERROR(VLOOKUP($A$1&amp;"-"&amp;ROW(AC21),基本資料填寫!$A:$DN,COLUMN(基本資料填寫!CC22),0),"")</f>
        <v/>
      </c>
      <c r="Q22" s="47" t="str">
        <f>IFERROR(VLOOKUP($A$1&amp;"-"&amp;ROW(AD21),基本資料填寫!$A:$DN,COLUMN(基本資料填寫!CD22),0),"")</f>
        <v/>
      </c>
      <c r="R22" s="47" t="str">
        <f>IFERROR(VLOOKUP($A$1&amp;"-"&amp;ROW(AE21),基本資料填寫!$A:$DN,COLUMN(基本資料填寫!CE22),0),"")</f>
        <v/>
      </c>
      <c r="S22" s="47" t="str">
        <f>IFERROR(VLOOKUP($A$1&amp;"-"&amp;ROW(AF21),基本資料填寫!$A:$DN,COLUMN(基本資料填寫!CF22),0),"")</f>
        <v/>
      </c>
      <c r="T22" s="47" t="str">
        <f>IFERROR(VLOOKUP($A$1&amp;"-"&amp;ROW(AG21),基本資料填寫!$A:$DN,COLUMN(基本資料填寫!CG22),0),"")</f>
        <v/>
      </c>
      <c r="U22" s="47" t="str">
        <f>IFERROR(VLOOKUP($A$1&amp;"-"&amp;ROW(AH21),基本資料填寫!$A:$DN,COLUMN(基本資料填寫!CH22),0),"")</f>
        <v/>
      </c>
      <c r="V22" s="47" t="str">
        <f>IFERROR(VLOOKUP($A$1&amp;"-"&amp;ROW(AI21),基本資料填寫!$A:$DN,COLUMN(基本資料填寫!CI22),0),"")</f>
        <v/>
      </c>
      <c r="W22" s="47" t="str">
        <f>IFERROR(VLOOKUP($A$1&amp;"-"&amp;ROW(E21),基本資料填寫!$A:$DN,COLUMN(基本資料填寫!O22),0),"")</f>
        <v/>
      </c>
      <c r="X22" s="47" t="str">
        <f>IFERROR(VLOOKUP($A$1&amp;"-"&amp;ROW(AJ21),基本資料填寫!$A:$DN,COLUMN(基本資料填寫!CJ22),0),"")</f>
        <v/>
      </c>
      <c r="Y22" s="47" t="str">
        <f>IFERROR(VLOOKUP($A$1&amp;"-"&amp;ROW(AK21),基本資料填寫!$A:$DN,COLUMN(基本資料填寫!CK22),0),"")</f>
        <v/>
      </c>
      <c r="Z22" s="47" t="str">
        <f>IFERROR(VLOOKUP($A$1&amp;"-"&amp;ROW(AM21),基本資料填寫!$A:$DN,COLUMN(基本資料填寫!CN22),0),"")</f>
        <v/>
      </c>
      <c r="AA22" s="47" t="str">
        <f>IFERROR(VLOOKUP($A$1&amp;"-"&amp;ROW(AN21),基本資料填寫!$A:$DN,COLUMN(基本資料填寫!CO22),0),"")</f>
        <v/>
      </c>
      <c r="AB22" s="47" t="str">
        <f>IFERROR(VLOOKUP($A$1&amp;"-"&amp;ROW(AO21),基本資料填寫!$A:$DN,COLUMN(基本資料填寫!CP22),0),"")</f>
        <v/>
      </c>
    </row>
    <row r="23" spans="2:28" x14ac:dyDescent="0.3">
      <c r="B23" s="2" t="str">
        <f>IF(C23="","",COUNTA($C$2:C23))</f>
        <v/>
      </c>
      <c r="C23" s="47" t="str">
        <f>IFERROR(VLOOKUP($A$1&amp;"-"&amp;ROW(C22),基本資料填寫!$A:$DN,COLUMN(基本資料填寫!S23),0),"")</f>
        <v/>
      </c>
      <c r="D23" s="47" t="str">
        <f>IFERROR(VLOOKUP($A$1&amp;"-"&amp;ROW(D22),基本資料填寫!$A:$DN,COLUMN(基本資料填寫!V23),0),"")</f>
        <v/>
      </c>
      <c r="E23" s="47" t="str">
        <f>IFERROR(VLOOKUP($A$1&amp;"-"&amp;ROW(E22),基本資料填寫!$A:$DN,COLUMN(基本資料填寫!BW23),0),"")</f>
        <v/>
      </c>
      <c r="F23" s="47" t="str">
        <f>IFERROR(VLOOKUP($A$1&amp;"-"&amp;ROW(F22),基本資料填寫!$A:$DN,COLUMN(基本資料填寫!AN23),0),"")</f>
        <v/>
      </c>
      <c r="G23" s="47" t="str">
        <f>IFERROR(VLOOKUP($A$1&amp;"-"&amp;ROW(H22),基本資料填寫!$A:$DN,COLUMN(基本資料填寫!R23),0),"")</f>
        <v/>
      </c>
      <c r="H23" s="47" t="str">
        <f>IFERROR(VLOOKUP($A$1&amp;"-"&amp;ROW(X22),基本資料填寫!$A:$DN,COLUMN(基本資料填寫!BX23),0),"")</f>
        <v/>
      </c>
      <c r="I23" s="47" t="str">
        <f>IFERROR(VLOOKUP($A$1&amp;"-"&amp;ROW(P22),基本資料填寫!$A:$DN,COLUMN(基本資料填寫!Z23),0),"")</f>
        <v/>
      </c>
      <c r="J23" s="47" t="str">
        <f>IFERROR(VLOOKUP($A$1&amp;"-"&amp;ROW(Q22),基本資料填寫!$A:$DN,COLUMN(基本資料填寫!AA23),0),"")</f>
        <v/>
      </c>
      <c r="K23" s="47" t="str">
        <f>IFERROR(VLOOKUP($A$1&amp;"-"&amp;ROW(Y22),基本資料填寫!$A:$DN,COLUMN(基本資料填寫!BY23),0),"")</f>
        <v/>
      </c>
      <c r="L23" s="47" t="str">
        <f>IFERROR(VLOOKUP($A$1&amp;"-"&amp;ROW(Z22),基本資料填寫!$A:$DN,COLUMN(基本資料填寫!BZ23),0),"")</f>
        <v/>
      </c>
      <c r="M23" s="47" t="str">
        <f>IFERROR(VLOOKUP($A$1&amp;"-"&amp;ROW(AA22),基本資料填寫!$A:$DN,COLUMN(基本資料填寫!CA23),0),"")</f>
        <v/>
      </c>
      <c r="N23" s="47" t="str">
        <f>IFERROR(VLOOKUP($A$1&amp;"-"&amp;ROW(G22),基本資料填寫!$A:$DN,COLUMN(基本資料填寫!AO23),0),"")</f>
        <v/>
      </c>
      <c r="O23" s="47" t="str">
        <f>IFERROR(VLOOKUP($A$1&amp;"-"&amp;ROW(AB22),基本資料填寫!$A:$DN,COLUMN(基本資料填寫!CB23),0),"")</f>
        <v/>
      </c>
      <c r="P23" s="47" t="str">
        <f>IFERROR(VLOOKUP($A$1&amp;"-"&amp;ROW(AC22),基本資料填寫!$A:$DN,COLUMN(基本資料填寫!CC23),0),"")</f>
        <v/>
      </c>
      <c r="Q23" s="47" t="str">
        <f>IFERROR(VLOOKUP($A$1&amp;"-"&amp;ROW(AD22),基本資料填寫!$A:$DN,COLUMN(基本資料填寫!CD23),0),"")</f>
        <v/>
      </c>
      <c r="R23" s="47" t="str">
        <f>IFERROR(VLOOKUP($A$1&amp;"-"&amp;ROW(AE22),基本資料填寫!$A:$DN,COLUMN(基本資料填寫!CE23),0),"")</f>
        <v/>
      </c>
      <c r="S23" s="47" t="str">
        <f>IFERROR(VLOOKUP($A$1&amp;"-"&amp;ROW(AF22),基本資料填寫!$A:$DN,COLUMN(基本資料填寫!CF23),0),"")</f>
        <v/>
      </c>
      <c r="T23" s="47" t="str">
        <f>IFERROR(VLOOKUP($A$1&amp;"-"&amp;ROW(AG22),基本資料填寫!$A:$DN,COLUMN(基本資料填寫!CG23),0),"")</f>
        <v/>
      </c>
      <c r="U23" s="47" t="str">
        <f>IFERROR(VLOOKUP($A$1&amp;"-"&amp;ROW(AH22),基本資料填寫!$A:$DN,COLUMN(基本資料填寫!CH23),0),"")</f>
        <v/>
      </c>
      <c r="V23" s="47" t="str">
        <f>IFERROR(VLOOKUP($A$1&amp;"-"&amp;ROW(AI22),基本資料填寫!$A:$DN,COLUMN(基本資料填寫!CI23),0),"")</f>
        <v/>
      </c>
      <c r="W23" s="47" t="str">
        <f>IFERROR(VLOOKUP($A$1&amp;"-"&amp;ROW(E22),基本資料填寫!$A:$DN,COLUMN(基本資料填寫!O23),0),"")</f>
        <v/>
      </c>
      <c r="X23" s="47" t="str">
        <f>IFERROR(VLOOKUP($A$1&amp;"-"&amp;ROW(AJ22),基本資料填寫!$A:$DN,COLUMN(基本資料填寫!CJ23),0),"")</f>
        <v/>
      </c>
      <c r="Y23" s="47" t="str">
        <f>IFERROR(VLOOKUP($A$1&amp;"-"&amp;ROW(AK22),基本資料填寫!$A:$DN,COLUMN(基本資料填寫!CK23),0),"")</f>
        <v/>
      </c>
      <c r="Z23" s="47" t="str">
        <f>IFERROR(VLOOKUP($A$1&amp;"-"&amp;ROW(AM22),基本資料填寫!$A:$DN,COLUMN(基本資料填寫!CN23),0),"")</f>
        <v/>
      </c>
      <c r="AA23" s="47" t="str">
        <f>IFERROR(VLOOKUP($A$1&amp;"-"&amp;ROW(AN22),基本資料填寫!$A:$DN,COLUMN(基本資料填寫!CO23),0),"")</f>
        <v/>
      </c>
      <c r="AB23" s="47" t="str">
        <f>IFERROR(VLOOKUP($A$1&amp;"-"&amp;ROW(AO22),基本資料填寫!$A:$DN,COLUMN(基本資料填寫!CP23),0),"")</f>
        <v/>
      </c>
    </row>
    <row r="24" spans="2:28" x14ac:dyDescent="0.3">
      <c r="B24" s="2" t="str">
        <f>IF(C24="","",COUNTA($C$2:C24))</f>
        <v/>
      </c>
      <c r="C24" s="47" t="str">
        <f>IFERROR(VLOOKUP($A$1&amp;"-"&amp;ROW(C23),基本資料填寫!$A:$DN,COLUMN(基本資料填寫!S24),0),"")</f>
        <v/>
      </c>
      <c r="D24" s="47" t="str">
        <f>IFERROR(VLOOKUP($A$1&amp;"-"&amp;ROW(D23),基本資料填寫!$A:$DN,COLUMN(基本資料填寫!V24),0),"")</f>
        <v/>
      </c>
      <c r="E24" s="47" t="str">
        <f>IFERROR(VLOOKUP($A$1&amp;"-"&amp;ROW(E23),基本資料填寫!$A:$DN,COLUMN(基本資料填寫!BW24),0),"")</f>
        <v/>
      </c>
      <c r="F24" s="47" t="str">
        <f>IFERROR(VLOOKUP($A$1&amp;"-"&amp;ROW(F23),基本資料填寫!$A:$DN,COLUMN(基本資料填寫!AN24),0),"")</f>
        <v/>
      </c>
      <c r="G24" s="47" t="str">
        <f>IFERROR(VLOOKUP($A$1&amp;"-"&amp;ROW(H23),基本資料填寫!$A:$DN,COLUMN(基本資料填寫!R24),0),"")</f>
        <v/>
      </c>
      <c r="H24" s="47" t="str">
        <f>IFERROR(VLOOKUP($A$1&amp;"-"&amp;ROW(X23),基本資料填寫!$A:$DN,COLUMN(基本資料填寫!BX24),0),"")</f>
        <v/>
      </c>
      <c r="I24" s="47" t="str">
        <f>IFERROR(VLOOKUP($A$1&amp;"-"&amp;ROW(P23),基本資料填寫!$A:$DN,COLUMN(基本資料填寫!Z24),0),"")</f>
        <v/>
      </c>
      <c r="J24" s="47" t="str">
        <f>IFERROR(VLOOKUP($A$1&amp;"-"&amp;ROW(Q23),基本資料填寫!$A:$DN,COLUMN(基本資料填寫!AA24),0),"")</f>
        <v/>
      </c>
      <c r="K24" s="47" t="str">
        <f>IFERROR(VLOOKUP($A$1&amp;"-"&amp;ROW(Y23),基本資料填寫!$A:$DN,COLUMN(基本資料填寫!BY24),0),"")</f>
        <v/>
      </c>
      <c r="L24" s="47" t="str">
        <f>IFERROR(VLOOKUP($A$1&amp;"-"&amp;ROW(Z23),基本資料填寫!$A:$DN,COLUMN(基本資料填寫!BZ24),0),"")</f>
        <v/>
      </c>
      <c r="M24" s="47" t="str">
        <f>IFERROR(VLOOKUP($A$1&amp;"-"&amp;ROW(AA23),基本資料填寫!$A:$DN,COLUMN(基本資料填寫!CA24),0),"")</f>
        <v/>
      </c>
      <c r="N24" s="47" t="str">
        <f>IFERROR(VLOOKUP($A$1&amp;"-"&amp;ROW(G23),基本資料填寫!$A:$DN,COLUMN(基本資料填寫!AO24),0),"")</f>
        <v/>
      </c>
      <c r="O24" s="47" t="str">
        <f>IFERROR(VLOOKUP($A$1&amp;"-"&amp;ROW(AB23),基本資料填寫!$A:$DN,COLUMN(基本資料填寫!CB24),0),"")</f>
        <v/>
      </c>
      <c r="P24" s="47" t="str">
        <f>IFERROR(VLOOKUP($A$1&amp;"-"&amp;ROW(AC23),基本資料填寫!$A:$DN,COLUMN(基本資料填寫!CC24),0),"")</f>
        <v/>
      </c>
      <c r="Q24" s="47" t="str">
        <f>IFERROR(VLOOKUP($A$1&amp;"-"&amp;ROW(AD23),基本資料填寫!$A:$DN,COLUMN(基本資料填寫!CD24),0),"")</f>
        <v/>
      </c>
      <c r="R24" s="47" t="str">
        <f>IFERROR(VLOOKUP($A$1&amp;"-"&amp;ROW(AE23),基本資料填寫!$A:$DN,COLUMN(基本資料填寫!CE24),0),"")</f>
        <v/>
      </c>
      <c r="S24" s="47" t="str">
        <f>IFERROR(VLOOKUP($A$1&amp;"-"&amp;ROW(AF23),基本資料填寫!$A:$DN,COLUMN(基本資料填寫!CF24),0),"")</f>
        <v/>
      </c>
      <c r="T24" s="47" t="str">
        <f>IFERROR(VLOOKUP($A$1&amp;"-"&amp;ROW(AG23),基本資料填寫!$A:$DN,COLUMN(基本資料填寫!CG24),0),"")</f>
        <v/>
      </c>
      <c r="U24" s="47" t="str">
        <f>IFERROR(VLOOKUP($A$1&amp;"-"&amp;ROW(AH23),基本資料填寫!$A:$DN,COLUMN(基本資料填寫!CH24),0),"")</f>
        <v/>
      </c>
      <c r="V24" s="47" t="str">
        <f>IFERROR(VLOOKUP($A$1&amp;"-"&amp;ROW(AI23),基本資料填寫!$A:$DN,COLUMN(基本資料填寫!CI24),0),"")</f>
        <v/>
      </c>
      <c r="W24" s="47" t="str">
        <f>IFERROR(VLOOKUP($A$1&amp;"-"&amp;ROW(E23),基本資料填寫!$A:$DN,COLUMN(基本資料填寫!O24),0),"")</f>
        <v/>
      </c>
      <c r="X24" s="47" t="str">
        <f>IFERROR(VLOOKUP($A$1&amp;"-"&amp;ROW(AJ23),基本資料填寫!$A:$DN,COLUMN(基本資料填寫!CJ24),0),"")</f>
        <v/>
      </c>
      <c r="Y24" s="47" t="str">
        <f>IFERROR(VLOOKUP($A$1&amp;"-"&amp;ROW(AK23),基本資料填寫!$A:$DN,COLUMN(基本資料填寫!CK24),0),"")</f>
        <v/>
      </c>
      <c r="Z24" s="47" t="str">
        <f>IFERROR(VLOOKUP($A$1&amp;"-"&amp;ROW(AM23),基本資料填寫!$A:$DN,COLUMN(基本資料填寫!CN24),0),"")</f>
        <v/>
      </c>
      <c r="AA24" s="47" t="str">
        <f>IFERROR(VLOOKUP($A$1&amp;"-"&amp;ROW(AN23),基本資料填寫!$A:$DN,COLUMN(基本資料填寫!CO24),0),"")</f>
        <v/>
      </c>
      <c r="AB24" s="47" t="str">
        <f>IFERROR(VLOOKUP($A$1&amp;"-"&amp;ROW(AO23),基本資料填寫!$A:$DN,COLUMN(基本資料填寫!CP24),0),"")</f>
        <v/>
      </c>
    </row>
    <row r="25" spans="2:28" x14ac:dyDescent="0.3">
      <c r="B25" s="2" t="str">
        <f>IF(C25="","",COUNTA($C$2:C25))</f>
        <v/>
      </c>
      <c r="C25" s="47" t="str">
        <f>IFERROR(VLOOKUP($A$1&amp;"-"&amp;ROW(C24),基本資料填寫!$A:$DN,COLUMN(基本資料填寫!S25),0),"")</f>
        <v/>
      </c>
      <c r="D25" s="47" t="str">
        <f>IFERROR(VLOOKUP($A$1&amp;"-"&amp;ROW(D24),基本資料填寫!$A:$DN,COLUMN(基本資料填寫!V25),0),"")</f>
        <v/>
      </c>
      <c r="E25" s="47" t="str">
        <f>IFERROR(VLOOKUP($A$1&amp;"-"&amp;ROW(E24),基本資料填寫!$A:$DN,COLUMN(基本資料填寫!BW25),0),"")</f>
        <v/>
      </c>
      <c r="F25" s="47" t="str">
        <f>IFERROR(VLOOKUP($A$1&amp;"-"&amp;ROW(F24),基本資料填寫!$A:$DN,COLUMN(基本資料填寫!AN25),0),"")</f>
        <v/>
      </c>
      <c r="G25" s="47" t="str">
        <f>IFERROR(VLOOKUP($A$1&amp;"-"&amp;ROW(H24),基本資料填寫!$A:$DN,COLUMN(基本資料填寫!R25),0),"")</f>
        <v/>
      </c>
      <c r="H25" s="47" t="str">
        <f>IFERROR(VLOOKUP($A$1&amp;"-"&amp;ROW(X24),基本資料填寫!$A:$DN,COLUMN(基本資料填寫!BX25),0),"")</f>
        <v/>
      </c>
      <c r="I25" s="47" t="str">
        <f>IFERROR(VLOOKUP($A$1&amp;"-"&amp;ROW(P24),基本資料填寫!$A:$DN,COLUMN(基本資料填寫!Z25),0),"")</f>
        <v/>
      </c>
      <c r="J25" s="47" t="str">
        <f>IFERROR(VLOOKUP($A$1&amp;"-"&amp;ROW(Q24),基本資料填寫!$A:$DN,COLUMN(基本資料填寫!AA25),0),"")</f>
        <v/>
      </c>
      <c r="K25" s="47" t="str">
        <f>IFERROR(VLOOKUP($A$1&amp;"-"&amp;ROW(Y24),基本資料填寫!$A:$DN,COLUMN(基本資料填寫!BY25),0),"")</f>
        <v/>
      </c>
      <c r="L25" s="47" t="str">
        <f>IFERROR(VLOOKUP($A$1&amp;"-"&amp;ROW(Z24),基本資料填寫!$A:$DN,COLUMN(基本資料填寫!BZ25),0),"")</f>
        <v/>
      </c>
      <c r="M25" s="47" t="str">
        <f>IFERROR(VLOOKUP($A$1&amp;"-"&amp;ROW(AA24),基本資料填寫!$A:$DN,COLUMN(基本資料填寫!CA25),0),"")</f>
        <v/>
      </c>
      <c r="N25" s="47" t="str">
        <f>IFERROR(VLOOKUP($A$1&amp;"-"&amp;ROW(G24),基本資料填寫!$A:$DN,COLUMN(基本資料填寫!AO25),0),"")</f>
        <v/>
      </c>
      <c r="O25" s="47" t="str">
        <f>IFERROR(VLOOKUP($A$1&amp;"-"&amp;ROW(AB24),基本資料填寫!$A:$DN,COLUMN(基本資料填寫!CB25),0),"")</f>
        <v/>
      </c>
      <c r="P25" s="47" t="str">
        <f>IFERROR(VLOOKUP($A$1&amp;"-"&amp;ROW(AC24),基本資料填寫!$A:$DN,COLUMN(基本資料填寫!CC25),0),"")</f>
        <v/>
      </c>
      <c r="Q25" s="47" t="str">
        <f>IFERROR(VLOOKUP($A$1&amp;"-"&amp;ROW(AD24),基本資料填寫!$A:$DN,COLUMN(基本資料填寫!CD25),0),"")</f>
        <v/>
      </c>
      <c r="R25" s="47" t="str">
        <f>IFERROR(VLOOKUP($A$1&amp;"-"&amp;ROW(AE24),基本資料填寫!$A:$DN,COLUMN(基本資料填寫!CE25),0),"")</f>
        <v/>
      </c>
      <c r="S25" s="47" t="str">
        <f>IFERROR(VLOOKUP($A$1&amp;"-"&amp;ROW(AF24),基本資料填寫!$A:$DN,COLUMN(基本資料填寫!CF25),0),"")</f>
        <v/>
      </c>
      <c r="T25" s="47" t="str">
        <f>IFERROR(VLOOKUP($A$1&amp;"-"&amp;ROW(AG24),基本資料填寫!$A:$DN,COLUMN(基本資料填寫!CG25),0),"")</f>
        <v/>
      </c>
      <c r="U25" s="47" t="str">
        <f>IFERROR(VLOOKUP($A$1&amp;"-"&amp;ROW(AH24),基本資料填寫!$A:$DN,COLUMN(基本資料填寫!CH25),0),"")</f>
        <v/>
      </c>
      <c r="V25" s="47" t="str">
        <f>IFERROR(VLOOKUP($A$1&amp;"-"&amp;ROW(AI24),基本資料填寫!$A:$DN,COLUMN(基本資料填寫!CI25),0),"")</f>
        <v/>
      </c>
      <c r="W25" s="47" t="str">
        <f>IFERROR(VLOOKUP($A$1&amp;"-"&amp;ROW(E24),基本資料填寫!$A:$DN,COLUMN(基本資料填寫!O25),0),"")</f>
        <v/>
      </c>
      <c r="X25" s="47" t="str">
        <f>IFERROR(VLOOKUP($A$1&amp;"-"&amp;ROW(AJ24),基本資料填寫!$A:$DN,COLUMN(基本資料填寫!CJ25),0),"")</f>
        <v/>
      </c>
      <c r="Y25" s="47" t="str">
        <f>IFERROR(VLOOKUP($A$1&amp;"-"&amp;ROW(AK24),基本資料填寫!$A:$DN,COLUMN(基本資料填寫!CK25),0),"")</f>
        <v/>
      </c>
      <c r="Z25" s="47" t="str">
        <f>IFERROR(VLOOKUP($A$1&amp;"-"&amp;ROW(AM24),基本資料填寫!$A:$DN,COLUMN(基本資料填寫!CN25),0),"")</f>
        <v/>
      </c>
      <c r="AA25" s="47" t="str">
        <f>IFERROR(VLOOKUP($A$1&amp;"-"&amp;ROW(AN24),基本資料填寫!$A:$DN,COLUMN(基本資料填寫!CO25),0),"")</f>
        <v/>
      </c>
      <c r="AB25" s="47" t="str">
        <f>IFERROR(VLOOKUP($A$1&amp;"-"&amp;ROW(AO24),基本資料填寫!$A:$DN,COLUMN(基本資料填寫!CP25),0),"")</f>
        <v/>
      </c>
    </row>
    <row r="26" spans="2:28" x14ac:dyDescent="0.3">
      <c r="B26" s="2" t="str">
        <f>IF(C26="","",COUNTA($C$2:C26))</f>
        <v/>
      </c>
      <c r="C26" s="47" t="str">
        <f>IFERROR(VLOOKUP($A$1&amp;"-"&amp;ROW(C25),基本資料填寫!$A:$DN,COLUMN(基本資料填寫!S26),0),"")</f>
        <v/>
      </c>
      <c r="D26" s="47" t="str">
        <f>IFERROR(VLOOKUP($A$1&amp;"-"&amp;ROW(D25),基本資料填寫!$A:$DN,COLUMN(基本資料填寫!V26),0),"")</f>
        <v/>
      </c>
      <c r="E26" s="47" t="str">
        <f>IFERROR(VLOOKUP($A$1&amp;"-"&amp;ROW(E25),基本資料填寫!$A:$DN,COLUMN(基本資料填寫!BW26),0),"")</f>
        <v/>
      </c>
      <c r="F26" s="47" t="str">
        <f>IFERROR(VLOOKUP($A$1&amp;"-"&amp;ROW(F25),基本資料填寫!$A:$DN,COLUMN(基本資料填寫!AN26),0),"")</f>
        <v/>
      </c>
      <c r="G26" s="47" t="str">
        <f>IFERROR(VLOOKUP($A$1&amp;"-"&amp;ROW(H25),基本資料填寫!$A:$DN,COLUMN(基本資料填寫!R26),0),"")</f>
        <v/>
      </c>
      <c r="H26" s="47" t="str">
        <f>IFERROR(VLOOKUP($A$1&amp;"-"&amp;ROW(X25),基本資料填寫!$A:$DN,COLUMN(基本資料填寫!BX26),0),"")</f>
        <v/>
      </c>
      <c r="I26" s="47" t="str">
        <f>IFERROR(VLOOKUP($A$1&amp;"-"&amp;ROW(P25),基本資料填寫!$A:$DN,COLUMN(基本資料填寫!Z26),0),"")</f>
        <v/>
      </c>
      <c r="J26" s="47" t="str">
        <f>IFERROR(VLOOKUP($A$1&amp;"-"&amp;ROW(Q25),基本資料填寫!$A:$DN,COLUMN(基本資料填寫!AA26),0),"")</f>
        <v/>
      </c>
      <c r="K26" s="47" t="str">
        <f>IFERROR(VLOOKUP($A$1&amp;"-"&amp;ROW(Y25),基本資料填寫!$A:$DN,COLUMN(基本資料填寫!BY26),0),"")</f>
        <v/>
      </c>
      <c r="L26" s="47" t="str">
        <f>IFERROR(VLOOKUP($A$1&amp;"-"&amp;ROW(Z25),基本資料填寫!$A:$DN,COLUMN(基本資料填寫!BZ26),0),"")</f>
        <v/>
      </c>
      <c r="M26" s="47" t="str">
        <f>IFERROR(VLOOKUP($A$1&amp;"-"&amp;ROW(AA25),基本資料填寫!$A:$DN,COLUMN(基本資料填寫!CA26),0),"")</f>
        <v/>
      </c>
      <c r="N26" s="47" t="str">
        <f>IFERROR(VLOOKUP($A$1&amp;"-"&amp;ROW(G25),基本資料填寫!$A:$DN,COLUMN(基本資料填寫!AO26),0),"")</f>
        <v/>
      </c>
      <c r="O26" s="47" t="str">
        <f>IFERROR(VLOOKUP($A$1&amp;"-"&amp;ROW(AB25),基本資料填寫!$A:$DN,COLUMN(基本資料填寫!CB26),0),"")</f>
        <v/>
      </c>
      <c r="P26" s="47" t="str">
        <f>IFERROR(VLOOKUP($A$1&amp;"-"&amp;ROW(AC25),基本資料填寫!$A:$DN,COLUMN(基本資料填寫!CC26),0),"")</f>
        <v/>
      </c>
      <c r="Q26" s="47" t="str">
        <f>IFERROR(VLOOKUP($A$1&amp;"-"&amp;ROW(AD25),基本資料填寫!$A:$DN,COLUMN(基本資料填寫!CD26),0),"")</f>
        <v/>
      </c>
      <c r="R26" s="47" t="str">
        <f>IFERROR(VLOOKUP($A$1&amp;"-"&amp;ROW(AE25),基本資料填寫!$A:$DN,COLUMN(基本資料填寫!CE26),0),"")</f>
        <v/>
      </c>
      <c r="S26" s="47" t="str">
        <f>IFERROR(VLOOKUP($A$1&amp;"-"&amp;ROW(AF25),基本資料填寫!$A:$DN,COLUMN(基本資料填寫!CF26),0),"")</f>
        <v/>
      </c>
      <c r="T26" s="47" t="str">
        <f>IFERROR(VLOOKUP($A$1&amp;"-"&amp;ROW(AG25),基本資料填寫!$A:$DN,COLUMN(基本資料填寫!CG26),0),"")</f>
        <v/>
      </c>
      <c r="U26" s="47" t="str">
        <f>IFERROR(VLOOKUP($A$1&amp;"-"&amp;ROW(AH25),基本資料填寫!$A:$DN,COLUMN(基本資料填寫!CH26),0),"")</f>
        <v/>
      </c>
      <c r="V26" s="47" t="str">
        <f>IFERROR(VLOOKUP($A$1&amp;"-"&amp;ROW(AI25),基本資料填寫!$A:$DN,COLUMN(基本資料填寫!CI26),0),"")</f>
        <v/>
      </c>
      <c r="W26" s="47" t="str">
        <f>IFERROR(VLOOKUP($A$1&amp;"-"&amp;ROW(E25),基本資料填寫!$A:$DN,COLUMN(基本資料填寫!O26),0),"")</f>
        <v/>
      </c>
      <c r="X26" s="47" t="str">
        <f>IFERROR(VLOOKUP($A$1&amp;"-"&amp;ROW(AJ25),基本資料填寫!$A:$DN,COLUMN(基本資料填寫!CJ26),0),"")</f>
        <v/>
      </c>
      <c r="Y26" s="47" t="str">
        <f>IFERROR(VLOOKUP($A$1&amp;"-"&amp;ROW(AK25),基本資料填寫!$A:$DN,COLUMN(基本資料填寫!CK26),0),"")</f>
        <v/>
      </c>
      <c r="Z26" s="47" t="str">
        <f>IFERROR(VLOOKUP($A$1&amp;"-"&amp;ROW(AM25),基本資料填寫!$A:$DN,COLUMN(基本資料填寫!CN26),0),"")</f>
        <v/>
      </c>
      <c r="AA26" s="47" t="str">
        <f>IFERROR(VLOOKUP($A$1&amp;"-"&amp;ROW(AN25),基本資料填寫!$A:$DN,COLUMN(基本資料填寫!CO26),0),"")</f>
        <v/>
      </c>
      <c r="AB26" s="47" t="str">
        <f>IFERROR(VLOOKUP($A$1&amp;"-"&amp;ROW(AO25),基本資料填寫!$A:$DN,COLUMN(基本資料填寫!CP26),0),"")</f>
        <v/>
      </c>
    </row>
    <row r="27" spans="2:28" x14ac:dyDescent="0.3">
      <c r="B27" s="2" t="str">
        <f>IF(C27="","",COUNTA($C$2:C27))</f>
        <v/>
      </c>
      <c r="C27" s="47" t="str">
        <f>IFERROR(VLOOKUP($A$1&amp;"-"&amp;ROW(C26),基本資料填寫!$A:$DN,COLUMN(基本資料填寫!S27),0),"")</f>
        <v/>
      </c>
      <c r="D27" s="47" t="str">
        <f>IFERROR(VLOOKUP($A$1&amp;"-"&amp;ROW(D26),基本資料填寫!$A:$DN,COLUMN(基本資料填寫!V27),0),"")</f>
        <v/>
      </c>
      <c r="E27" s="47" t="str">
        <f>IFERROR(VLOOKUP($A$1&amp;"-"&amp;ROW(E26),基本資料填寫!$A:$DN,COLUMN(基本資料填寫!BW27),0),"")</f>
        <v/>
      </c>
      <c r="F27" s="47" t="str">
        <f>IFERROR(VLOOKUP($A$1&amp;"-"&amp;ROW(F26),基本資料填寫!$A:$DN,COLUMN(基本資料填寫!AN27),0),"")</f>
        <v/>
      </c>
      <c r="G27" s="47" t="str">
        <f>IFERROR(VLOOKUP($A$1&amp;"-"&amp;ROW(H26),基本資料填寫!$A:$DN,COLUMN(基本資料填寫!R27),0),"")</f>
        <v/>
      </c>
      <c r="H27" s="47" t="str">
        <f>IFERROR(VLOOKUP($A$1&amp;"-"&amp;ROW(X26),基本資料填寫!$A:$DN,COLUMN(基本資料填寫!BX27),0),"")</f>
        <v/>
      </c>
      <c r="I27" s="47" t="str">
        <f>IFERROR(VLOOKUP($A$1&amp;"-"&amp;ROW(P26),基本資料填寫!$A:$DN,COLUMN(基本資料填寫!Z27),0),"")</f>
        <v/>
      </c>
      <c r="J27" s="47" t="str">
        <f>IFERROR(VLOOKUP($A$1&amp;"-"&amp;ROW(Q26),基本資料填寫!$A:$DN,COLUMN(基本資料填寫!AA27),0),"")</f>
        <v/>
      </c>
      <c r="K27" s="47" t="str">
        <f>IFERROR(VLOOKUP($A$1&amp;"-"&amp;ROW(Y26),基本資料填寫!$A:$DN,COLUMN(基本資料填寫!BY27),0),"")</f>
        <v/>
      </c>
      <c r="L27" s="47" t="str">
        <f>IFERROR(VLOOKUP($A$1&amp;"-"&amp;ROW(Z26),基本資料填寫!$A:$DN,COLUMN(基本資料填寫!BZ27),0),"")</f>
        <v/>
      </c>
      <c r="M27" s="47" t="str">
        <f>IFERROR(VLOOKUP($A$1&amp;"-"&amp;ROW(AA26),基本資料填寫!$A:$DN,COLUMN(基本資料填寫!CA27),0),"")</f>
        <v/>
      </c>
      <c r="N27" s="47" t="str">
        <f>IFERROR(VLOOKUP($A$1&amp;"-"&amp;ROW(G26),基本資料填寫!$A:$DN,COLUMN(基本資料填寫!AO27),0),"")</f>
        <v/>
      </c>
      <c r="O27" s="47" t="str">
        <f>IFERROR(VLOOKUP($A$1&amp;"-"&amp;ROW(AB26),基本資料填寫!$A:$DN,COLUMN(基本資料填寫!CB27),0),"")</f>
        <v/>
      </c>
      <c r="P27" s="47" t="str">
        <f>IFERROR(VLOOKUP($A$1&amp;"-"&amp;ROW(AC26),基本資料填寫!$A:$DN,COLUMN(基本資料填寫!CC27),0),"")</f>
        <v/>
      </c>
      <c r="Q27" s="47" t="str">
        <f>IFERROR(VLOOKUP($A$1&amp;"-"&amp;ROW(AD26),基本資料填寫!$A:$DN,COLUMN(基本資料填寫!CD27),0),"")</f>
        <v/>
      </c>
      <c r="R27" s="47" t="str">
        <f>IFERROR(VLOOKUP($A$1&amp;"-"&amp;ROW(AE26),基本資料填寫!$A:$DN,COLUMN(基本資料填寫!CE27),0),"")</f>
        <v/>
      </c>
      <c r="S27" s="47" t="str">
        <f>IFERROR(VLOOKUP($A$1&amp;"-"&amp;ROW(AF26),基本資料填寫!$A:$DN,COLUMN(基本資料填寫!CF27),0),"")</f>
        <v/>
      </c>
      <c r="T27" s="47" t="str">
        <f>IFERROR(VLOOKUP($A$1&amp;"-"&amp;ROW(AG26),基本資料填寫!$A:$DN,COLUMN(基本資料填寫!CG27),0),"")</f>
        <v/>
      </c>
      <c r="U27" s="47" t="str">
        <f>IFERROR(VLOOKUP($A$1&amp;"-"&amp;ROW(AH26),基本資料填寫!$A:$DN,COLUMN(基本資料填寫!CH27),0),"")</f>
        <v/>
      </c>
      <c r="V27" s="47" t="str">
        <f>IFERROR(VLOOKUP($A$1&amp;"-"&amp;ROW(AI26),基本資料填寫!$A:$DN,COLUMN(基本資料填寫!CI27),0),"")</f>
        <v/>
      </c>
      <c r="W27" s="47" t="str">
        <f>IFERROR(VLOOKUP($A$1&amp;"-"&amp;ROW(E26),基本資料填寫!$A:$DN,COLUMN(基本資料填寫!O27),0),"")</f>
        <v/>
      </c>
      <c r="X27" s="47" t="str">
        <f>IFERROR(VLOOKUP($A$1&amp;"-"&amp;ROW(AJ26),基本資料填寫!$A:$DN,COLUMN(基本資料填寫!CJ27),0),"")</f>
        <v/>
      </c>
      <c r="Y27" s="47" t="str">
        <f>IFERROR(VLOOKUP($A$1&amp;"-"&amp;ROW(AK26),基本資料填寫!$A:$DN,COLUMN(基本資料填寫!CK27),0),"")</f>
        <v/>
      </c>
      <c r="Z27" s="47" t="str">
        <f>IFERROR(VLOOKUP($A$1&amp;"-"&amp;ROW(AM26),基本資料填寫!$A:$DN,COLUMN(基本資料填寫!CN27),0),"")</f>
        <v/>
      </c>
      <c r="AA27" s="47" t="str">
        <f>IFERROR(VLOOKUP($A$1&amp;"-"&amp;ROW(AN26),基本資料填寫!$A:$DN,COLUMN(基本資料填寫!CO27),0),"")</f>
        <v/>
      </c>
      <c r="AB27" s="47" t="str">
        <f>IFERROR(VLOOKUP($A$1&amp;"-"&amp;ROW(AO26),基本資料填寫!$A:$DN,COLUMN(基本資料填寫!CP27),0),"")</f>
        <v/>
      </c>
    </row>
    <row r="28" spans="2:28" x14ac:dyDescent="0.3">
      <c r="B28" s="2" t="str">
        <f>IF(C28="","",COUNTA($C$2:C28))</f>
        <v/>
      </c>
      <c r="C28" s="47" t="str">
        <f>IFERROR(VLOOKUP($A$1&amp;"-"&amp;ROW(C27),基本資料填寫!$A:$DN,COLUMN(基本資料填寫!S28),0),"")</f>
        <v/>
      </c>
      <c r="D28" s="47" t="str">
        <f>IFERROR(VLOOKUP($A$1&amp;"-"&amp;ROW(D27),基本資料填寫!$A:$DN,COLUMN(基本資料填寫!V28),0),"")</f>
        <v/>
      </c>
      <c r="E28" s="47" t="str">
        <f>IFERROR(VLOOKUP($A$1&amp;"-"&amp;ROW(E27),基本資料填寫!$A:$DN,COLUMN(基本資料填寫!BW28),0),"")</f>
        <v/>
      </c>
      <c r="F28" s="47" t="str">
        <f>IFERROR(VLOOKUP($A$1&amp;"-"&amp;ROW(F27),基本資料填寫!$A:$DN,COLUMN(基本資料填寫!AN28),0),"")</f>
        <v/>
      </c>
      <c r="G28" s="47" t="str">
        <f>IFERROR(VLOOKUP($A$1&amp;"-"&amp;ROW(H27),基本資料填寫!$A:$DN,COLUMN(基本資料填寫!R28),0),"")</f>
        <v/>
      </c>
      <c r="H28" s="47" t="str">
        <f>IFERROR(VLOOKUP($A$1&amp;"-"&amp;ROW(X27),基本資料填寫!$A:$DN,COLUMN(基本資料填寫!BX28),0),"")</f>
        <v/>
      </c>
      <c r="I28" s="47" t="str">
        <f>IFERROR(VLOOKUP($A$1&amp;"-"&amp;ROW(P27),基本資料填寫!$A:$DN,COLUMN(基本資料填寫!Z28),0),"")</f>
        <v/>
      </c>
      <c r="J28" s="47" t="str">
        <f>IFERROR(VLOOKUP($A$1&amp;"-"&amp;ROW(Q27),基本資料填寫!$A:$DN,COLUMN(基本資料填寫!AA28),0),"")</f>
        <v/>
      </c>
      <c r="K28" s="47" t="str">
        <f>IFERROR(VLOOKUP($A$1&amp;"-"&amp;ROW(Y27),基本資料填寫!$A:$DN,COLUMN(基本資料填寫!BY28),0),"")</f>
        <v/>
      </c>
      <c r="L28" s="47" t="str">
        <f>IFERROR(VLOOKUP($A$1&amp;"-"&amp;ROW(Z27),基本資料填寫!$A:$DN,COLUMN(基本資料填寫!BZ28),0),"")</f>
        <v/>
      </c>
      <c r="M28" s="47" t="str">
        <f>IFERROR(VLOOKUP($A$1&amp;"-"&amp;ROW(AA27),基本資料填寫!$A:$DN,COLUMN(基本資料填寫!CA28),0),"")</f>
        <v/>
      </c>
      <c r="N28" s="47" t="str">
        <f>IFERROR(VLOOKUP($A$1&amp;"-"&amp;ROW(G27),基本資料填寫!$A:$DN,COLUMN(基本資料填寫!AO28),0),"")</f>
        <v/>
      </c>
      <c r="O28" s="47" t="str">
        <f>IFERROR(VLOOKUP($A$1&amp;"-"&amp;ROW(AB27),基本資料填寫!$A:$DN,COLUMN(基本資料填寫!CB28),0),"")</f>
        <v/>
      </c>
      <c r="P28" s="47" t="str">
        <f>IFERROR(VLOOKUP($A$1&amp;"-"&amp;ROW(AC27),基本資料填寫!$A:$DN,COLUMN(基本資料填寫!CC28),0),"")</f>
        <v/>
      </c>
      <c r="Q28" s="47" t="str">
        <f>IFERROR(VLOOKUP($A$1&amp;"-"&amp;ROW(AD27),基本資料填寫!$A:$DN,COLUMN(基本資料填寫!CD28),0),"")</f>
        <v/>
      </c>
      <c r="R28" s="47" t="str">
        <f>IFERROR(VLOOKUP($A$1&amp;"-"&amp;ROW(AE27),基本資料填寫!$A:$DN,COLUMN(基本資料填寫!CE28),0),"")</f>
        <v/>
      </c>
      <c r="S28" s="47" t="str">
        <f>IFERROR(VLOOKUP($A$1&amp;"-"&amp;ROW(AF27),基本資料填寫!$A:$DN,COLUMN(基本資料填寫!CF28),0),"")</f>
        <v/>
      </c>
      <c r="T28" s="47" t="str">
        <f>IFERROR(VLOOKUP($A$1&amp;"-"&amp;ROW(AG27),基本資料填寫!$A:$DN,COLUMN(基本資料填寫!CG28),0),"")</f>
        <v/>
      </c>
      <c r="U28" s="47" t="str">
        <f>IFERROR(VLOOKUP($A$1&amp;"-"&amp;ROW(AH27),基本資料填寫!$A:$DN,COLUMN(基本資料填寫!CH28),0),"")</f>
        <v/>
      </c>
      <c r="V28" s="47" t="str">
        <f>IFERROR(VLOOKUP($A$1&amp;"-"&amp;ROW(AI27),基本資料填寫!$A:$DN,COLUMN(基本資料填寫!CI28),0),"")</f>
        <v/>
      </c>
      <c r="W28" s="47" t="str">
        <f>IFERROR(VLOOKUP($A$1&amp;"-"&amp;ROW(E27),基本資料填寫!$A:$DN,COLUMN(基本資料填寫!O28),0),"")</f>
        <v/>
      </c>
      <c r="X28" s="47" t="str">
        <f>IFERROR(VLOOKUP($A$1&amp;"-"&amp;ROW(AJ27),基本資料填寫!$A:$DN,COLUMN(基本資料填寫!CJ28),0),"")</f>
        <v/>
      </c>
      <c r="Y28" s="47" t="str">
        <f>IFERROR(VLOOKUP($A$1&amp;"-"&amp;ROW(AK27),基本資料填寫!$A:$DN,COLUMN(基本資料填寫!CK28),0),"")</f>
        <v/>
      </c>
      <c r="Z28" s="47" t="str">
        <f>IFERROR(VLOOKUP($A$1&amp;"-"&amp;ROW(AM27),基本資料填寫!$A:$DN,COLUMN(基本資料填寫!CN28),0),"")</f>
        <v/>
      </c>
      <c r="AA28" s="47" t="str">
        <f>IFERROR(VLOOKUP($A$1&amp;"-"&amp;ROW(AN27),基本資料填寫!$A:$DN,COLUMN(基本資料填寫!CO28),0),"")</f>
        <v/>
      </c>
      <c r="AB28" s="47" t="str">
        <f>IFERROR(VLOOKUP($A$1&amp;"-"&amp;ROW(AO27),基本資料填寫!$A:$DN,COLUMN(基本資料填寫!CP28),0),"")</f>
        <v/>
      </c>
    </row>
    <row r="29" spans="2:28" x14ac:dyDescent="0.3">
      <c r="B29" s="2" t="str">
        <f>IF(C29="","",COUNTA($C$2:C29))</f>
        <v/>
      </c>
      <c r="C29" s="47" t="str">
        <f>IFERROR(VLOOKUP($A$1&amp;"-"&amp;ROW(C28),基本資料填寫!$A:$DN,COLUMN(基本資料填寫!S29),0),"")</f>
        <v/>
      </c>
      <c r="D29" s="47" t="str">
        <f>IFERROR(VLOOKUP($A$1&amp;"-"&amp;ROW(D28),基本資料填寫!$A:$DN,COLUMN(基本資料填寫!V29),0),"")</f>
        <v/>
      </c>
      <c r="E29" s="47" t="str">
        <f>IFERROR(VLOOKUP($A$1&amp;"-"&amp;ROW(E28),基本資料填寫!$A:$DN,COLUMN(基本資料填寫!BW29),0),"")</f>
        <v/>
      </c>
      <c r="F29" s="47" t="str">
        <f>IFERROR(VLOOKUP($A$1&amp;"-"&amp;ROW(F28),基本資料填寫!$A:$DN,COLUMN(基本資料填寫!AN29),0),"")</f>
        <v/>
      </c>
      <c r="G29" s="47" t="str">
        <f>IFERROR(VLOOKUP($A$1&amp;"-"&amp;ROW(H28),基本資料填寫!$A:$DN,COLUMN(基本資料填寫!R29),0),"")</f>
        <v/>
      </c>
      <c r="H29" s="47" t="str">
        <f>IFERROR(VLOOKUP($A$1&amp;"-"&amp;ROW(X28),基本資料填寫!$A:$DN,COLUMN(基本資料填寫!BX29),0),"")</f>
        <v/>
      </c>
      <c r="I29" s="47" t="str">
        <f>IFERROR(VLOOKUP($A$1&amp;"-"&amp;ROW(P28),基本資料填寫!$A:$DN,COLUMN(基本資料填寫!Z29),0),"")</f>
        <v/>
      </c>
      <c r="J29" s="47" t="str">
        <f>IFERROR(VLOOKUP($A$1&amp;"-"&amp;ROW(Q28),基本資料填寫!$A:$DN,COLUMN(基本資料填寫!AA29),0),"")</f>
        <v/>
      </c>
      <c r="K29" s="47" t="str">
        <f>IFERROR(VLOOKUP($A$1&amp;"-"&amp;ROW(Y28),基本資料填寫!$A:$DN,COLUMN(基本資料填寫!BY29),0),"")</f>
        <v/>
      </c>
      <c r="L29" s="47" t="str">
        <f>IFERROR(VLOOKUP($A$1&amp;"-"&amp;ROW(Z28),基本資料填寫!$A:$DN,COLUMN(基本資料填寫!BZ29),0),"")</f>
        <v/>
      </c>
      <c r="M29" s="47" t="str">
        <f>IFERROR(VLOOKUP($A$1&amp;"-"&amp;ROW(AA28),基本資料填寫!$A:$DN,COLUMN(基本資料填寫!CA29),0),"")</f>
        <v/>
      </c>
      <c r="N29" s="47" t="str">
        <f>IFERROR(VLOOKUP($A$1&amp;"-"&amp;ROW(G28),基本資料填寫!$A:$DN,COLUMN(基本資料填寫!AO29),0),"")</f>
        <v/>
      </c>
      <c r="O29" s="47" t="str">
        <f>IFERROR(VLOOKUP($A$1&amp;"-"&amp;ROW(AB28),基本資料填寫!$A:$DN,COLUMN(基本資料填寫!CB29),0),"")</f>
        <v/>
      </c>
      <c r="P29" s="47" t="str">
        <f>IFERROR(VLOOKUP($A$1&amp;"-"&amp;ROW(AC28),基本資料填寫!$A:$DN,COLUMN(基本資料填寫!CC29),0),"")</f>
        <v/>
      </c>
      <c r="Q29" s="47" t="str">
        <f>IFERROR(VLOOKUP($A$1&amp;"-"&amp;ROW(AD28),基本資料填寫!$A:$DN,COLUMN(基本資料填寫!CD29),0),"")</f>
        <v/>
      </c>
      <c r="R29" s="47" t="str">
        <f>IFERROR(VLOOKUP($A$1&amp;"-"&amp;ROW(AE28),基本資料填寫!$A:$DN,COLUMN(基本資料填寫!CE29),0),"")</f>
        <v/>
      </c>
      <c r="S29" s="47" t="str">
        <f>IFERROR(VLOOKUP($A$1&amp;"-"&amp;ROW(AF28),基本資料填寫!$A:$DN,COLUMN(基本資料填寫!CF29),0),"")</f>
        <v/>
      </c>
      <c r="T29" s="47" t="str">
        <f>IFERROR(VLOOKUP($A$1&amp;"-"&amp;ROW(AG28),基本資料填寫!$A:$DN,COLUMN(基本資料填寫!CG29),0),"")</f>
        <v/>
      </c>
      <c r="U29" s="47" t="str">
        <f>IFERROR(VLOOKUP($A$1&amp;"-"&amp;ROW(AH28),基本資料填寫!$A:$DN,COLUMN(基本資料填寫!CH29),0),"")</f>
        <v/>
      </c>
      <c r="V29" s="47" t="str">
        <f>IFERROR(VLOOKUP($A$1&amp;"-"&amp;ROW(AI28),基本資料填寫!$A:$DN,COLUMN(基本資料填寫!CI29),0),"")</f>
        <v/>
      </c>
      <c r="W29" s="47" t="str">
        <f>IFERROR(VLOOKUP($A$1&amp;"-"&amp;ROW(E28),基本資料填寫!$A:$DN,COLUMN(基本資料填寫!O29),0),"")</f>
        <v/>
      </c>
      <c r="X29" s="47" t="str">
        <f>IFERROR(VLOOKUP($A$1&amp;"-"&amp;ROW(AJ28),基本資料填寫!$A:$DN,COLUMN(基本資料填寫!CJ29),0),"")</f>
        <v/>
      </c>
      <c r="Y29" s="47" t="str">
        <f>IFERROR(VLOOKUP($A$1&amp;"-"&amp;ROW(AK28),基本資料填寫!$A:$DN,COLUMN(基本資料填寫!CK29),0),"")</f>
        <v/>
      </c>
      <c r="Z29" s="47" t="str">
        <f>IFERROR(VLOOKUP($A$1&amp;"-"&amp;ROW(AM28),基本資料填寫!$A:$DN,COLUMN(基本資料填寫!CN29),0),"")</f>
        <v/>
      </c>
      <c r="AA29" s="47" t="str">
        <f>IFERROR(VLOOKUP($A$1&amp;"-"&amp;ROW(AN28),基本資料填寫!$A:$DN,COLUMN(基本資料填寫!CO29),0),"")</f>
        <v/>
      </c>
      <c r="AB29" s="47" t="str">
        <f>IFERROR(VLOOKUP($A$1&amp;"-"&amp;ROW(AO28),基本資料填寫!$A:$DN,COLUMN(基本資料填寫!CP29),0),"")</f>
        <v/>
      </c>
    </row>
    <row r="30" spans="2:28" x14ac:dyDescent="0.3">
      <c r="B30" s="2" t="str">
        <f>IF(C30="","",COUNTA($C$2:C30))</f>
        <v/>
      </c>
      <c r="C30" s="47" t="str">
        <f>IFERROR(VLOOKUP($A$1&amp;"-"&amp;ROW(C29),基本資料填寫!$A:$DN,COLUMN(基本資料填寫!S30),0),"")</f>
        <v/>
      </c>
      <c r="D30" s="47" t="str">
        <f>IFERROR(VLOOKUP($A$1&amp;"-"&amp;ROW(D29),基本資料填寫!$A:$DN,COLUMN(基本資料填寫!V30),0),"")</f>
        <v/>
      </c>
      <c r="E30" s="47" t="str">
        <f>IFERROR(VLOOKUP($A$1&amp;"-"&amp;ROW(E29),基本資料填寫!$A:$DN,COLUMN(基本資料填寫!BW30),0),"")</f>
        <v/>
      </c>
      <c r="F30" s="47" t="str">
        <f>IFERROR(VLOOKUP($A$1&amp;"-"&amp;ROW(F29),基本資料填寫!$A:$DN,COLUMN(基本資料填寫!AN30),0),"")</f>
        <v/>
      </c>
      <c r="G30" s="47" t="str">
        <f>IFERROR(VLOOKUP($A$1&amp;"-"&amp;ROW(H29),基本資料填寫!$A:$DN,COLUMN(基本資料填寫!R30),0),"")</f>
        <v/>
      </c>
      <c r="H30" s="47" t="str">
        <f>IFERROR(VLOOKUP($A$1&amp;"-"&amp;ROW(X29),基本資料填寫!$A:$DN,COLUMN(基本資料填寫!BX30),0),"")</f>
        <v/>
      </c>
      <c r="I30" s="47" t="str">
        <f>IFERROR(VLOOKUP($A$1&amp;"-"&amp;ROW(P29),基本資料填寫!$A:$DN,COLUMN(基本資料填寫!Z30),0),"")</f>
        <v/>
      </c>
      <c r="J30" s="47" t="str">
        <f>IFERROR(VLOOKUP($A$1&amp;"-"&amp;ROW(Q29),基本資料填寫!$A:$DN,COLUMN(基本資料填寫!AA30),0),"")</f>
        <v/>
      </c>
      <c r="K30" s="47" t="str">
        <f>IFERROR(VLOOKUP($A$1&amp;"-"&amp;ROW(Y29),基本資料填寫!$A:$DN,COLUMN(基本資料填寫!BY30),0),"")</f>
        <v/>
      </c>
      <c r="L30" s="47" t="str">
        <f>IFERROR(VLOOKUP($A$1&amp;"-"&amp;ROW(Z29),基本資料填寫!$A:$DN,COLUMN(基本資料填寫!BZ30),0),"")</f>
        <v/>
      </c>
      <c r="M30" s="47" t="str">
        <f>IFERROR(VLOOKUP($A$1&amp;"-"&amp;ROW(AA29),基本資料填寫!$A:$DN,COLUMN(基本資料填寫!CA30),0),"")</f>
        <v/>
      </c>
      <c r="N30" s="47" t="str">
        <f>IFERROR(VLOOKUP($A$1&amp;"-"&amp;ROW(G29),基本資料填寫!$A:$DN,COLUMN(基本資料填寫!AO30),0),"")</f>
        <v/>
      </c>
      <c r="O30" s="47" t="str">
        <f>IFERROR(VLOOKUP($A$1&amp;"-"&amp;ROW(AB29),基本資料填寫!$A:$DN,COLUMN(基本資料填寫!CB30),0),"")</f>
        <v/>
      </c>
      <c r="P30" s="47" t="str">
        <f>IFERROR(VLOOKUP($A$1&amp;"-"&amp;ROW(AC29),基本資料填寫!$A:$DN,COLUMN(基本資料填寫!CC30),0),"")</f>
        <v/>
      </c>
      <c r="Q30" s="47" t="str">
        <f>IFERROR(VLOOKUP($A$1&amp;"-"&amp;ROW(AD29),基本資料填寫!$A:$DN,COLUMN(基本資料填寫!CD30),0),"")</f>
        <v/>
      </c>
      <c r="R30" s="47" t="str">
        <f>IFERROR(VLOOKUP($A$1&amp;"-"&amp;ROW(AE29),基本資料填寫!$A:$DN,COLUMN(基本資料填寫!CE30),0),"")</f>
        <v/>
      </c>
      <c r="S30" s="47" t="str">
        <f>IFERROR(VLOOKUP($A$1&amp;"-"&amp;ROW(AF29),基本資料填寫!$A:$DN,COLUMN(基本資料填寫!CF30),0),"")</f>
        <v/>
      </c>
      <c r="T30" s="47" t="str">
        <f>IFERROR(VLOOKUP($A$1&amp;"-"&amp;ROW(AG29),基本資料填寫!$A:$DN,COLUMN(基本資料填寫!CG30),0),"")</f>
        <v/>
      </c>
      <c r="U30" s="47" t="str">
        <f>IFERROR(VLOOKUP($A$1&amp;"-"&amp;ROW(AH29),基本資料填寫!$A:$DN,COLUMN(基本資料填寫!CH30),0),"")</f>
        <v/>
      </c>
      <c r="V30" s="47" t="str">
        <f>IFERROR(VLOOKUP($A$1&amp;"-"&amp;ROW(AI29),基本資料填寫!$A:$DN,COLUMN(基本資料填寫!CI30),0),"")</f>
        <v/>
      </c>
      <c r="W30" s="47" t="str">
        <f>IFERROR(VLOOKUP($A$1&amp;"-"&amp;ROW(E29),基本資料填寫!$A:$DN,COLUMN(基本資料填寫!O30),0),"")</f>
        <v/>
      </c>
      <c r="X30" s="47" t="str">
        <f>IFERROR(VLOOKUP($A$1&amp;"-"&amp;ROW(AJ29),基本資料填寫!$A:$DN,COLUMN(基本資料填寫!CJ30),0),"")</f>
        <v/>
      </c>
      <c r="Y30" s="47" t="str">
        <f>IFERROR(VLOOKUP($A$1&amp;"-"&amp;ROW(AK29),基本資料填寫!$A:$DN,COLUMN(基本資料填寫!CK30),0),"")</f>
        <v/>
      </c>
      <c r="Z30" s="47" t="str">
        <f>IFERROR(VLOOKUP($A$1&amp;"-"&amp;ROW(AM29),基本資料填寫!$A:$DN,COLUMN(基本資料填寫!CN30),0),"")</f>
        <v/>
      </c>
      <c r="AA30" s="47" t="str">
        <f>IFERROR(VLOOKUP($A$1&amp;"-"&amp;ROW(AN29),基本資料填寫!$A:$DN,COLUMN(基本資料填寫!CO30),0),"")</f>
        <v/>
      </c>
      <c r="AB30" s="47" t="str">
        <f>IFERROR(VLOOKUP($A$1&amp;"-"&amp;ROW(AO29),基本資料填寫!$A:$DN,COLUMN(基本資料填寫!CP30),0),"")</f>
        <v/>
      </c>
    </row>
    <row r="31" spans="2:28" x14ac:dyDescent="0.3">
      <c r="B31" s="2" t="str">
        <f>IF(C31="","",COUNTA($C$2:C31))</f>
        <v/>
      </c>
      <c r="C31" s="47" t="str">
        <f>IFERROR(VLOOKUP($A$1&amp;"-"&amp;ROW(C30),基本資料填寫!$A:$DN,COLUMN(基本資料填寫!S31),0),"")</f>
        <v/>
      </c>
      <c r="D31" s="47" t="str">
        <f>IFERROR(VLOOKUP($A$1&amp;"-"&amp;ROW(D30),基本資料填寫!$A:$DN,COLUMN(基本資料填寫!V31),0),"")</f>
        <v/>
      </c>
      <c r="E31" s="47" t="str">
        <f>IFERROR(VLOOKUP($A$1&amp;"-"&amp;ROW(E30),基本資料填寫!$A:$DN,COLUMN(基本資料填寫!BW31),0),"")</f>
        <v/>
      </c>
      <c r="F31" s="47" t="str">
        <f>IFERROR(VLOOKUP($A$1&amp;"-"&amp;ROW(F30),基本資料填寫!$A:$DN,COLUMN(基本資料填寫!AN31),0),"")</f>
        <v/>
      </c>
      <c r="G31" s="47" t="str">
        <f>IFERROR(VLOOKUP($A$1&amp;"-"&amp;ROW(H30),基本資料填寫!$A:$DN,COLUMN(基本資料填寫!R31),0),"")</f>
        <v/>
      </c>
      <c r="H31" s="47" t="str">
        <f>IFERROR(VLOOKUP($A$1&amp;"-"&amp;ROW(X30),基本資料填寫!$A:$DN,COLUMN(基本資料填寫!BX31),0),"")</f>
        <v/>
      </c>
      <c r="I31" s="47" t="str">
        <f>IFERROR(VLOOKUP($A$1&amp;"-"&amp;ROW(P30),基本資料填寫!$A:$DN,COLUMN(基本資料填寫!Z31),0),"")</f>
        <v/>
      </c>
      <c r="J31" s="47" t="str">
        <f>IFERROR(VLOOKUP($A$1&amp;"-"&amp;ROW(Q30),基本資料填寫!$A:$DN,COLUMN(基本資料填寫!AA31),0),"")</f>
        <v/>
      </c>
      <c r="K31" s="47" t="str">
        <f>IFERROR(VLOOKUP($A$1&amp;"-"&amp;ROW(Y30),基本資料填寫!$A:$DN,COLUMN(基本資料填寫!BY31),0),"")</f>
        <v/>
      </c>
      <c r="L31" s="47" t="str">
        <f>IFERROR(VLOOKUP($A$1&amp;"-"&amp;ROW(Z30),基本資料填寫!$A:$DN,COLUMN(基本資料填寫!BZ31),0),"")</f>
        <v/>
      </c>
      <c r="M31" s="47" t="str">
        <f>IFERROR(VLOOKUP($A$1&amp;"-"&amp;ROW(AA30),基本資料填寫!$A:$DN,COLUMN(基本資料填寫!CA31),0),"")</f>
        <v/>
      </c>
      <c r="N31" s="47" t="str">
        <f>IFERROR(VLOOKUP($A$1&amp;"-"&amp;ROW(G30),基本資料填寫!$A:$DN,COLUMN(基本資料填寫!AO31),0),"")</f>
        <v/>
      </c>
      <c r="O31" s="47" t="str">
        <f>IFERROR(VLOOKUP($A$1&amp;"-"&amp;ROW(AB30),基本資料填寫!$A:$DN,COLUMN(基本資料填寫!CB31),0),"")</f>
        <v/>
      </c>
      <c r="P31" s="47" t="str">
        <f>IFERROR(VLOOKUP($A$1&amp;"-"&amp;ROW(AC30),基本資料填寫!$A:$DN,COLUMN(基本資料填寫!CC31),0),"")</f>
        <v/>
      </c>
      <c r="Q31" s="47" t="str">
        <f>IFERROR(VLOOKUP($A$1&amp;"-"&amp;ROW(AD30),基本資料填寫!$A:$DN,COLUMN(基本資料填寫!CD31),0),"")</f>
        <v/>
      </c>
      <c r="R31" s="47" t="str">
        <f>IFERROR(VLOOKUP($A$1&amp;"-"&amp;ROW(AE30),基本資料填寫!$A:$DN,COLUMN(基本資料填寫!CE31),0),"")</f>
        <v/>
      </c>
      <c r="S31" s="47" t="str">
        <f>IFERROR(VLOOKUP($A$1&amp;"-"&amp;ROW(AF30),基本資料填寫!$A:$DN,COLUMN(基本資料填寫!CF31),0),"")</f>
        <v/>
      </c>
      <c r="T31" s="47" t="str">
        <f>IFERROR(VLOOKUP($A$1&amp;"-"&amp;ROW(AG30),基本資料填寫!$A:$DN,COLUMN(基本資料填寫!CG31),0),"")</f>
        <v/>
      </c>
      <c r="U31" s="47" t="str">
        <f>IFERROR(VLOOKUP($A$1&amp;"-"&amp;ROW(AH30),基本資料填寫!$A:$DN,COLUMN(基本資料填寫!CH31),0),"")</f>
        <v/>
      </c>
      <c r="V31" s="47" t="str">
        <f>IFERROR(VLOOKUP($A$1&amp;"-"&amp;ROW(AI30),基本資料填寫!$A:$DN,COLUMN(基本資料填寫!CI31),0),"")</f>
        <v/>
      </c>
      <c r="W31" s="47" t="str">
        <f>IFERROR(VLOOKUP($A$1&amp;"-"&amp;ROW(E30),基本資料填寫!$A:$DN,COLUMN(基本資料填寫!O31),0),"")</f>
        <v/>
      </c>
      <c r="X31" s="47" t="str">
        <f>IFERROR(VLOOKUP($A$1&amp;"-"&amp;ROW(AJ30),基本資料填寫!$A:$DN,COLUMN(基本資料填寫!CJ31),0),"")</f>
        <v/>
      </c>
      <c r="Y31" s="47" t="str">
        <f>IFERROR(VLOOKUP($A$1&amp;"-"&amp;ROW(AK30),基本資料填寫!$A:$DN,COLUMN(基本資料填寫!CK31),0),"")</f>
        <v/>
      </c>
      <c r="Z31" s="47" t="str">
        <f>IFERROR(VLOOKUP($A$1&amp;"-"&amp;ROW(AM30),基本資料填寫!$A:$DN,COLUMN(基本資料填寫!CN31),0),"")</f>
        <v/>
      </c>
      <c r="AA31" s="47" t="str">
        <f>IFERROR(VLOOKUP($A$1&amp;"-"&amp;ROW(AN30),基本資料填寫!$A:$DN,COLUMN(基本資料填寫!CO31),0),"")</f>
        <v/>
      </c>
      <c r="AB31" s="47" t="str">
        <f>IFERROR(VLOOKUP($A$1&amp;"-"&amp;ROW(AO30),基本資料填寫!$A:$DN,COLUMN(基本資料填寫!CP31),0),"")</f>
        <v/>
      </c>
    </row>
    <row r="32" spans="2:28" x14ac:dyDescent="0.3">
      <c r="B32" s="2" t="str">
        <f>IF(C32="","",COUNTA($C$2:C32))</f>
        <v/>
      </c>
      <c r="C32" s="47" t="str">
        <f>IFERROR(VLOOKUP($A$1&amp;"-"&amp;ROW(C31),基本資料填寫!$A:$DN,COLUMN(基本資料填寫!S32),0),"")</f>
        <v/>
      </c>
      <c r="D32" s="47" t="str">
        <f>IFERROR(VLOOKUP($A$1&amp;"-"&amp;ROW(D31),基本資料填寫!$A:$DN,COLUMN(基本資料填寫!V32),0),"")</f>
        <v/>
      </c>
      <c r="E32" s="47" t="str">
        <f>IFERROR(VLOOKUP($A$1&amp;"-"&amp;ROW(E31),基本資料填寫!$A:$DN,COLUMN(基本資料填寫!BW32),0),"")</f>
        <v/>
      </c>
      <c r="F32" s="47" t="str">
        <f>IFERROR(VLOOKUP($A$1&amp;"-"&amp;ROW(F31),基本資料填寫!$A:$DN,COLUMN(基本資料填寫!AN32),0),"")</f>
        <v/>
      </c>
      <c r="G32" s="47" t="str">
        <f>IFERROR(VLOOKUP($A$1&amp;"-"&amp;ROW(H31),基本資料填寫!$A:$DN,COLUMN(基本資料填寫!R32),0),"")</f>
        <v/>
      </c>
      <c r="H32" s="47" t="str">
        <f>IFERROR(VLOOKUP($A$1&amp;"-"&amp;ROW(X31),基本資料填寫!$A:$DN,COLUMN(基本資料填寫!BX32),0),"")</f>
        <v/>
      </c>
      <c r="I32" s="47" t="str">
        <f>IFERROR(VLOOKUP($A$1&amp;"-"&amp;ROW(P31),基本資料填寫!$A:$DN,COLUMN(基本資料填寫!Z32),0),"")</f>
        <v/>
      </c>
      <c r="J32" s="47" t="str">
        <f>IFERROR(VLOOKUP($A$1&amp;"-"&amp;ROW(Q31),基本資料填寫!$A:$DN,COLUMN(基本資料填寫!AA32),0),"")</f>
        <v/>
      </c>
      <c r="K32" s="47" t="str">
        <f>IFERROR(VLOOKUP($A$1&amp;"-"&amp;ROW(Y31),基本資料填寫!$A:$DN,COLUMN(基本資料填寫!BY32),0),"")</f>
        <v/>
      </c>
      <c r="L32" s="47" t="str">
        <f>IFERROR(VLOOKUP($A$1&amp;"-"&amp;ROW(Z31),基本資料填寫!$A:$DN,COLUMN(基本資料填寫!BZ32),0),"")</f>
        <v/>
      </c>
      <c r="M32" s="47" t="str">
        <f>IFERROR(VLOOKUP($A$1&amp;"-"&amp;ROW(AA31),基本資料填寫!$A:$DN,COLUMN(基本資料填寫!CA32),0),"")</f>
        <v/>
      </c>
      <c r="N32" s="47" t="str">
        <f>IFERROR(VLOOKUP($A$1&amp;"-"&amp;ROW(G31),基本資料填寫!$A:$DN,COLUMN(基本資料填寫!AO32),0),"")</f>
        <v/>
      </c>
      <c r="O32" s="47" t="str">
        <f>IFERROR(VLOOKUP($A$1&amp;"-"&amp;ROW(AB31),基本資料填寫!$A:$DN,COLUMN(基本資料填寫!CB32),0),"")</f>
        <v/>
      </c>
      <c r="P32" s="47" t="str">
        <f>IFERROR(VLOOKUP($A$1&amp;"-"&amp;ROW(AC31),基本資料填寫!$A:$DN,COLUMN(基本資料填寫!CC32),0),"")</f>
        <v/>
      </c>
      <c r="Q32" s="47" t="str">
        <f>IFERROR(VLOOKUP($A$1&amp;"-"&amp;ROW(AD31),基本資料填寫!$A:$DN,COLUMN(基本資料填寫!CD32),0),"")</f>
        <v/>
      </c>
      <c r="R32" s="47" t="str">
        <f>IFERROR(VLOOKUP($A$1&amp;"-"&amp;ROW(AE31),基本資料填寫!$A:$DN,COLUMN(基本資料填寫!CE32),0),"")</f>
        <v/>
      </c>
      <c r="S32" s="47" t="str">
        <f>IFERROR(VLOOKUP($A$1&amp;"-"&amp;ROW(AF31),基本資料填寫!$A:$DN,COLUMN(基本資料填寫!CF32),0),"")</f>
        <v/>
      </c>
      <c r="T32" s="47" t="str">
        <f>IFERROR(VLOOKUP($A$1&amp;"-"&amp;ROW(AG31),基本資料填寫!$A:$DN,COLUMN(基本資料填寫!CG32),0),"")</f>
        <v/>
      </c>
      <c r="U32" s="47" t="str">
        <f>IFERROR(VLOOKUP($A$1&amp;"-"&amp;ROW(AH31),基本資料填寫!$A:$DN,COLUMN(基本資料填寫!CH32),0),"")</f>
        <v/>
      </c>
      <c r="V32" s="47" t="str">
        <f>IFERROR(VLOOKUP($A$1&amp;"-"&amp;ROW(AI31),基本資料填寫!$A:$DN,COLUMN(基本資料填寫!CI32),0),"")</f>
        <v/>
      </c>
      <c r="W32" s="47" t="str">
        <f>IFERROR(VLOOKUP($A$1&amp;"-"&amp;ROW(E31),基本資料填寫!$A:$DN,COLUMN(基本資料填寫!O32),0),"")</f>
        <v/>
      </c>
      <c r="X32" s="47" t="str">
        <f>IFERROR(VLOOKUP($A$1&amp;"-"&amp;ROW(AJ31),基本資料填寫!$A:$DN,COLUMN(基本資料填寫!CJ32),0),"")</f>
        <v/>
      </c>
      <c r="Y32" s="47" t="str">
        <f>IFERROR(VLOOKUP($A$1&amp;"-"&amp;ROW(AK31),基本資料填寫!$A:$DN,COLUMN(基本資料填寫!CK32),0),"")</f>
        <v/>
      </c>
      <c r="Z32" s="47" t="str">
        <f>IFERROR(VLOOKUP($A$1&amp;"-"&amp;ROW(AM31),基本資料填寫!$A:$DN,COLUMN(基本資料填寫!CN32),0),"")</f>
        <v/>
      </c>
      <c r="AA32" s="47" t="str">
        <f>IFERROR(VLOOKUP($A$1&amp;"-"&amp;ROW(AN31),基本資料填寫!$A:$DN,COLUMN(基本資料填寫!CO32),0),"")</f>
        <v/>
      </c>
      <c r="AB32" s="47" t="str">
        <f>IFERROR(VLOOKUP($A$1&amp;"-"&amp;ROW(AO31),基本資料填寫!$A:$DN,COLUMN(基本資料填寫!CP32),0),"")</f>
        <v/>
      </c>
    </row>
    <row r="33" spans="2:28" x14ac:dyDescent="0.3">
      <c r="B33" s="2" t="str">
        <f>IF(C33="","",COUNTA($C$2:C33))</f>
        <v/>
      </c>
      <c r="C33" s="47" t="str">
        <f>IFERROR(VLOOKUP($A$1&amp;"-"&amp;ROW(C32),基本資料填寫!$A:$DN,COLUMN(基本資料填寫!S33),0),"")</f>
        <v/>
      </c>
      <c r="D33" s="47" t="str">
        <f>IFERROR(VLOOKUP($A$1&amp;"-"&amp;ROW(D32),基本資料填寫!$A:$DN,COLUMN(基本資料填寫!V33),0),"")</f>
        <v/>
      </c>
      <c r="E33" s="47" t="str">
        <f>IFERROR(VLOOKUP($A$1&amp;"-"&amp;ROW(E32),基本資料填寫!$A:$DN,COLUMN(基本資料填寫!BW33),0),"")</f>
        <v/>
      </c>
      <c r="F33" s="47" t="str">
        <f>IFERROR(VLOOKUP($A$1&amp;"-"&amp;ROW(F32),基本資料填寫!$A:$DN,COLUMN(基本資料填寫!AN33),0),"")</f>
        <v/>
      </c>
      <c r="G33" s="47" t="str">
        <f>IFERROR(VLOOKUP($A$1&amp;"-"&amp;ROW(H32),基本資料填寫!$A:$DN,COLUMN(基本資料填寫!R33),0),"")</f>
        <v/>
      </c>
      <c r="H33" s="47" t="str">
        <f>IFERROR(VLOOKUP($A$1&amp;"-"&amp;ROW(X32),基本資料填寫!$A:$DN,COLUMN(基本資料填寫!BX33),0),"")</f>
        <v/>
      </c>
      <c r="I33" s="47" t="str">
        <f>IFERROR(VLOOKUP($A$1&amp;"-"&amp;ROW(P32),基本資料填寫!$A:$DN,COLUMN(基本資料填寫!Z33),0),"")</f>
        <v/>
      </c>
      <c r="J33" s="47" t="str">
        <f>IFERROR(VLOOKUP($A$1&amp;"-"&amp;ROW(Q32),基本資料填寫!$A:$DN,COLUMN(基本資料填寫!AA33),0),"")</f>
        <v/>
      </c>
      <c r="K33" s="47" t="str">
        <f>IFERROR(VLOOKUP($A$1&amp;"-"&amp;ROW(Y32),基本資料填寫!$A:$DN,COLUMN(基本資料填寫!BY33),0),"")</f>
        <v/>
      </c>
      <c r="L33" s="47" t="str">
        <f>IFERROR(VLOOKUP($A$1&amp;"-"&amp;ROW(Z32),基本資料填寫!$A:$DN,COLUMN(基本資料填寫!BZ33),0),"")</f>
        <v/>
      </c>
      <c r="M33" s="47" t="str">
        <f>IFERROR(VLOOKUP($A$1&amp;"-"&amp;ROW(AA32),基本資料填寫!$A:$DN,COLUMN(基本資料填寫!CA33),0),"")</f>
        <v/>
      </c>
      <c r="N33" s="47" t="str">
        <f>IFERROR(VLOOKUP($A$1&amp;"-"&amp;ROW(G32),基本資料填寫!$A:$DN,COLUMN(基本資料填寫!AO33),0),"")</f>
        <v/>
      </c>
      <c r="O33" s="47" t="str">
        <f>IFERROR(VLOOKUP($A$1&amp;"-"&amp;ROW(AB32),基本資料填寫!$A:$DN,COLUMN(基本資料填寫!CB33),0),"")</f>
        <v/>
      </c>
      <c r="P33" s="47" t="str">
        <f>IFERROR(VLOOKUP($A$1&amp;"-"&amp;ROW(AC32),基本資料填寫!$A:$DN,COLUMN(基本資料填寫!CC33),0),"")</f>
        <v/>
      </c>
      <c r="Q33" s="47" t="str">
        <f>IFERROR(VLOOKUP($A$1&amp;"-"&amp;ROW(AD32),基本資料填寫!$A:$DN,COLUMN(基本資料填寫!CD33),0),"")</f>
        <v/>
      </c>
      <c r="R33" s="47" t="str">
        <f>IFERROR(VLOOKUP($A$1&amp;"-"&amp;ROW(AE32),基本資料填寫!$A:$DN,COLUMN(基本資料填寫!CE33),0),"")</f>
        <v/>
      </c>
      <c r="S33" s="47" t="str">
        <f>IFERROR(VLOOKUP($A$1&amp;"-"&amp;ROW(AF32),基本資料填寫!$A:$DN,COLUMN(基本資料填寫!CF33),0),"")</f>
        <v/>
      </c>
      <c r="T33" s="47" t="str">
        <f>IFERROR(VLOOKUP($A$1&amp;"-"&amp;ROW(AG32),基本資料填寫!$A:$DN,COLUMN(基本資料填寫!CG33),0),"")</f>
        <v/>
      </c>
      <c r="U33" s="47" t="str">
        <f>IFERROR(VLOOKUP($A$1&amp;"-"&amp;ROW(AH32),基本資料填寫!$A:$DN,COLUMN(基本資料填寫!CH33),0),"")</f>
        <v/>
      </c>
      <c r="V33" s="47" t="str">
        <f>IFERROR(VLOOKUP($A$1&amp;"-"&amp;ROW(AI32),基本資料填寫!$A:$DN,COLUMN(基本資料填寫!CI33),0),"")</f>
        <v/>
      </c>
      <c r="W33" s="47" t="str">
        <f>IFERROR(VLOOKUP($A$1&amp;"-"&amp;ROW(E32),基本資料填寫!$A:$DN,COLUMN(基本資料填寫!O33),0),"")</f>
        <v/>
      </c>
      <c r="X33" s="47" t="str">
        <f>IFERROR(VLOOKUP($A$1&amp;"-"&amp;ROW(AJ32),基本資料填寫!$A:$DN,COLUMN(基本資料填寫!CJ33),0),"")</f>
        <v/>
      </c>
      <c r="Y33" s="47" t="str">
        <f>IFERROR(VLOOKUP($A$1&amp;"-"&amp;ROW(AK32),基本資料填寫!$A:$DN,COLUMN(基本資料填寫!CK33),0),"")</f>
        <v/>
      </c>
      <c r="Z33" s="47" t="str">
        <f>IFERROR(VLOOKUP($A$1&amp;"-"&amp;ROW(AM32),基本資料填寫!$A:$DN,COLUMN(基本資料填寫!CN33),0),"")</f>
        <v/>
      </c>
      <c r="AA33" s="47" t="str">
        <f>IFERROR(VLOOKUP($A$1&amp;"-"&amp;ROW(AN32),基本資料填寫!$A:$DN,COLUMN(基本資料填寫!CO33),0),"")</f>
        <v/>
      </c>
      <c r="AB33" s="47" t="str">
        <f>IFERROR(VLOOKUP($A$1&amp;"-"&amp;ROW(AO32),基本資料填寫!$A:$DN,COLUMN(基本資料填寫!CP33),0),"")</f>
        <v/>
      </c>
    </row>
    <row r="34" spans="2:28" x14ac:dyDescent="0.3">
      <c r="B34" s="2" t="str">
        <f>IF(C34="","",COUNTA($C$2:C34))</f>
        <v/>
      </c>
      <c r="C34" s="47" t="str">
        <f>IFERROR(VLOOKUP($A$1&amp;"-"&amp;ROW(C33),基本資料填寫!$A:$DN,COLUMN(基本資料填寫!S34),0),"")</f>
        <v/>
      </c>
      <c r="D34" s="47" t="str">
        <f>IFERROR(VLOOKUP($A$1&amp;"-"&amp;ROW(D33),基本資料填寫!$A:$DN,COLUMN(基本資料填寫!V34),0),"")</f>
        <v/>
      </c>
      <c r="E34" s="47" t="str">
        <f>IFERROR(VLOOKUP($A$1&amp;"-"&amp;ROW(E33),基本資料填寫!$A:$DN,COLUMN(基本資料填寫!BW34),0),"")</f>
        <v/>
      </c>
      <c r="F34" s="47" t="str">
        <f>IFERROR(VLOOKUP($A$1&amp;"-"&amp;ROW(F33),基本資料填寫!$A:$DN,COLUMN(基本資料填寫!AN34),0),"")</f>
        <v/>
      </c>
      <c r="G34" s="47" t="str">
        <f>IFERROR(VLOOKUP($A$1&amp;"-"&amp;ROW(H33),基本資料填寫!$A:$DN,COLUMN(基本資料填寫!R34),0),"")</f>
        <v/>
      </c>
      <c r="H34" s="47" t="str">
        <f>IFERROR(VLOOKUP($A$1&amp;"-"&amp;ROW(X33),基本資料填寫!$A:$DN,COLUMN(基本資料填寫!BX34),0),"")</f>
        <v/>
      </c>
      <c r="I34" s="47" t="str">
        <f>IFERROR(VLOOKUP($A$1&amp;"-"&amp;ROW(P33),基本資料填寫!$A:$DN,COLUMN(基本資料填寫!Z34),0),"")</f>
        <v/>
      </c>
      <c r="J34" s="47" t="str">
        <f>IFERROR(VLOOKUP($A$1&amp;"-"&amp;ROW(Q33),基本資料填寫!$A:$DN,COLUMN(基本資料填寫!AA34),0),"")</f>
        <v/>
      </c>
      <c r="K34" s="47" t="str">
        <f>IFERROR(VLOOKUP($A$1&amp;"-"&amp;ROW(Y33),基本資料填寫!$A:$DN,COLUMN(基本資料填寫!BY34),0),"")</f>
        <v/>
      </c>
      <c r="L34" s="47" t="str">
        <f>IFERROR(VLOOKUP($A$1&amp;"-"&amp;ROW(Z33),基本資料填寫!$A:$DN,COLUMN(基本資料填寫!BZ34),0),"")</f>
        <v/>
      </c>
      <c r="M34" s="47" t="str">
        <f>IFERROR(VLOOKUP($A$1&amp;"-"&amp;ROW(AA33),基本資料填寫!$A:$DN,COLUMN(基本資料填寫!CA34),0),"")</f>
        <v/>
      </c>
      <c r="N34" s="47" t="str">
        <f>IFERROR(VLOOKUP($A$1&amp;"-"&amp;ROW(G33),基本資料填寫!$A:$DN,COLUMN(基本資料填寫!AO34),0),"")</f>
        <v/>
      </c>
      <c r="O34" s="47" t="str">
        <f>IFERROR(VLOOKUP($A$1&amp;"-"&amp;ROW(AB33),基本資料填寫!$A:$DN,COLUMN(基本資料填寫!CB34),0),"")</f>
        <v/>
      </c>
      <c r="P34" s="47" t="str">
        <f>IFERROR(VLOOKUP($A$1&amp;"-"&amp;ROW(AC33),基本資料填寫!$A:$DN,COLUMN(基本資料填寫!CC34),0),"")</f>
        <v/>
      </c>
      <c r="Q34" s="47" t="str">
        <f>IFERROR(VLOOKUP($A$1&amp;"-"&amp;ROW(AD33),基本資料填寫!$A:$DN,COLUMN(基本資料填寫!CD34),0),"")</f>
        <v/>
      </c>
      <c r="R34" s="47" t="str">
        <f>IFERROR(VLOOKUP($A$1&amp;"-"&amp;ROW(AE33),基本資料填寫!$A:$DN,COLUMN(基本資料填寫!CE34),0),"")</f>
        <v/>
      </c>
      <c r="S34" s="47" t="str">
        <f>IFERROR(VLOOKUP($A$1&amp;"-"&amp;ROW(AF33),基本資料填寫!$A:$DN,COLUMN(基本資料填寫!CF34),0),"")</f>
        <v/>
      </c>
      <c r="T34" s="47" t="str">
        <f>IFERROR(VLOOKUP($A$1&amp;"-"&amp;ROW(AG33),基本資料填寫!$A:$DN,COLUMN(基本資料填寫!CG34),0),"")</f>
        <v/>
      </c>
      <c r="U34" s="47" t="str">
        <f>IFERROR(VLOOKUP($A$1&amp;"-"&amp;ROW(AH33),基本資料填寫!$A:$DN,COLUMN(基本資料填寫!CH34),0),"")</f>
        <v/>
      </c>
      <c r="V34" s="47" t="str">
        <f>IFERROR(VLOOKUP($A$1&amp;"-"&amp;ROW(AI33),基本資料填寫!$A:$DN,COLUMN(基本資料填寫!CI34),0),"")</f>
        <v/>
      </c>
      <c r="W34" s="47" t="str">
        <f>IFERROR(VLOOKUP($A$1&amp;"-"&amp;ROW(E33),基本資料填寫!$A:$DN,COLUMN(基本資料填寫!O34),0),"")</f>
        <v/>
      </c>
      <c r="X34" s="47" t="str">
        <f>IFERROR(VLOOKUP($A$1&amp;"-"&amp;ROW(AJ33),基本資料填寫!$A:$DN,COLUMN(基本資料填寫!CJ34),0),"")</f>
        <v/>
      </c>
      <c r="Y34" s="47" t="str">
        <f>IFERROR(VLOOKUP($A$1&amp;"-"&amp;ROW(AK33),基本資料填寫!$A:$DN,COLUMN(基本資料填寫!CK34),0),"")</f>
        <v/>
      </c>
      <c r="Z34" s="47" t="str">
        <f>IFERROR(VLOOKUP($A$1&amp;"-"&amp;ROW(AM33),基本資料填寫!$A:$DN,COLUMN(基本資料填寫!CN34),0),"")</f>
        <v/>
      </c>
      <c r="AA34" s="47" t="str">
        <f>IFERROR(VLOOKUP($A$1&amp;"-"&amp;ROW(AN33),基本資料填寫!$A:$DN,COLUMN(基本資料填寫!CO34),0),"")</f>
        <v/>
      </c>
      <c r="AB34" s="47" t="str">
        <f>IFERROR(VLOOKUP($A$1&amp;"-"&amp;ROW(AO33),基本資料填寫!$A:$DN,COLUMN(基本資料填寫!CP34),0),"")</f>
        <v/>
      </c>
    </row>
    <row r="35" spans="2:28" x14ac:dyDescent="0.3">
      <c r="B35" s="2" t="str">
        <f>IF(C35="","",COUNTA($C$2:C35))</f>
        <v/>
      </c>
      <c r="C35" s="47" t="str">
        <f>IFERROR(VLOOKUP($A$1&amp;"-"&amp;ROW(C34),基本資料填寫!$A:$DN,COLUMN(基本資料填寫!S35),0),"")</f>
        <v/>
      </c>
      <c r="D35" s="47" t="str">
        <f>IFERROR(VLOOKUP($A$1&amp;"-"&amp;ROW(D34),基本資料填寫!$A:$DN,COLUMN(基本資料填寫!V35),0),"")</f>
        <v/>
      </c>
      <c r="E35" s="47" t="str">
        <f>IFERROR(VLOOKUP($A$1&amp;"-"&amp;ROW(E34),基本資料填寫!$A:$DN,COLUMN(基本資料填寫!BW35),0),"")</f>
        <v/>
      </c>
      <c r="F35" s="47" t="str">
        <f>IFERROR(VLOOKUP($A$1&amp;"-"&amp;ROW(F34),基本資料填寫!$A:$DN,COLUMN(基本資料填寫!AN35),0),"")</f>
        <v/>
      </c>
      <c r="G35" s="47" t="str">
        <f>IFERROR(VLOOKUP($A$1&amp;"-"&amp;ROW(H34),基本資料填寫!$A:$DN,COLUMN(基本資料填寫!R35),0),"")</f>
        <v/>
      </c>
      <c r="H35" s="47" t="str">
        <f>IFERROR(VLOOKUP($A$1&amp;"-"&amp;ROW(X34),基本資料填寫!$A:$DN,COLUMN(基本資料填寫!BX35),0),"")</f>
        <v/>
      </c>
      <c r="I35" s="47" t="str">
        <f>IFERROR(VLOOKUP($A$1&amp;"-"&amp;ROW(P34),基本資料填寫!$A:$DN,COLUMN(基本資料填寫!Z35),0),"")</f>
        <v/>
      </c>
      <c r="J35" s="47" t="str">
        <f>IFERROR(VLOOKUP($A$1&amp;"-"&amp;ROW(Q34),基本資料填寫!$A:$DN,COLUMN(基本資料填寫!AA35),0),"")</f>
        <v/>
      </c>
      <c r="K35" s="47" t="str">
        <f>IFERROR(VLOOKUP($A$1&amp;"-"&amp;ROW(Y34),基本資料填寫!$A:$DN,COLUMN(基本資料填寫!BY35),0),"")</f>
        <v/>
      </c>
      <c r="L35" s="47" t="str">
        <f>IFERROR(VLOOKUP($A$1&amp;"-"&amp;ROW(Z34),基本資料填寫!$A:$DN,COLUMN(基本資料填寫!BZ35),0),"")</f>
        <v/>
      </c>
      <c r="M35" s="47" t="str">
        <f>IFERROR(VLOOKUP($A$1&amp;"-"&amp;ROW(AA34),基本資料填寫!$A:$DN,COLUMN(基本資料填寫!CA35),0),"")</f>
        <v/>
      </c>
      <c r="N35" s="47" t="str">
        <f>IFERROR(VLOOKUP($A$1&amp;"-"&amp;ROW(G34),基本資料填寫!$A:$DN,COLUMN(基本資料填寫!AO35),0),"")</f>
        <v/>
      </c>
      <c r="O35" s="47" t="str">
        <f>IFERROR(VLOOKUP($A$1&amp;"-"&amp;ROW(AB34),基本資料填寫!$A:$DN,COLUMN(基本資料填寫!CB35),0),"")</f>
        <v/>
      </c>
      <c r="P35" s="47" t="str">
        <f>IFERROR(VLOOKUP($A$1&amp;"-"&amp;ROW(AC34),基本資料填寫!$A:$DN,COLUMN(基本資料填寫!CC35),0),"")</f>
        <v/>
      </c>
      <c r="Q35" s="47" t="str">
        <f>IFERROR(VLOOKUP($A$1&amp;"-"&amp;ROW(AD34),基本資料填寫!$A:$DN,COLUMN(基本資料填寫!CD35),0),"")</f>
        <v/>
      </c>
      <c r="R35" s="47" t="str">
        <f>IFERROR(VLOOKUP($A$1&amp;"-"&amp;ROW(AE34),基本資料填寫!$A:$DN,COLUMN(基本資料填寫!CE35),0),"")</f>
        <v/>
      </c>
      <c r="S35" s="47" t="str">
        <f>IFERROR(VLOOKUP($A$1&amp;"-"&amp;ROW(AF34),基本資料填寫!$A:$DN,COLUMN(基本資料填寫!CF35),0),"")</f>
        <v/>
      </c>
      <c r="T35" s="47" t="str">
        <f>IFERROR(VLOOKUP($A$1&amp;"-"&amp;ROW(AG34),基本資料填寫!$A:$DN,COLUMN(基本資料填寫!CG35),0),"")</f>
        <v/>
      </c>
      <c r="U35" s="47" t="str">
        <f>IFERROR(VLOOKUP($A$1&amp;"-"&amp;ROW(AH34),基本資料填寫!$A:$DN,COLUMN(基本資料填寫!CH35),0),"")</f>
        <v/>
      </c>
      <c r="V35" s="47" t="str">
        <f>IFERROR(VLOOKUP($A$1&amp;"-"&amp;ROW(AI34),基本資料填寫!$A:$DN,COLUMN(基本資料填寫!CI35),0),"")</f>
        <v/>
      </c>
      <c r="W35" s="47" t="str">
        <f>IFERROR(VLOOKUP($A$1&amp;"-"&amp;ROW(E34),基本資料填寫!$A:$DN,COLUMN(基本資料填寫!O35),0),"")</f>
        <v/>
      </c>
      <c r="X35" s="47" t="str">
        <f>IFERROR(VLOOKUP($A$1&amp;"-"&amp;ROW(AJ34),基本資料填寫!$A:$DN,COLUMN(基本資料填寫!CJ35),0),"")</f>
        <v/>
      </c>
      <c r="Y35" s="47" t="str">
        <f>IFERROR(VLOOKUP($A$1&amp;"-"&amp;ROW(AK34),基本資料填寫!$A:$DN,COLUMN(基本資料填寫!CK35),0),"")</f>
        <v/>
      </c>
      <c r="Z35" s="47" t="str">
        <f>IFERROR(VLOOKUP($A$1&amp;"-"&amp;ROW(AM34),基本資料填寫!$A:$DN,COLUMN(基本資料填寫!CN35),0),"")</f>
        <v/>
      </c>
      <c r="AA35" s="47" t="str">
        <f>IFERROR(VLOOKUP($A$1&amp;"-"&amp;ROW(AN34),基本資料填寫!$A:$DN,COLUMN(基本資料填寫!CO35),0),"")</f>
        <v/>
      </c>
      <c r="AB35" s="47" t="str">
        <f>IFERROR(VLOOKUP($A$1&amp;"-"&amp;ROW(AO34),基本資料填寫!$A:$DN,COLUMN(基本資料填寫!CP35),0),"")</f>
        <v/>
      </c>
    </row>
    <row r="36" spans="2:28" x14ac:dyDescent="0.3">
      <c r="B36" s="2" t="str">
        <f>IF(C36="","",COUNTA($C$2:C36))</f>
        <v/>
      </c>
      <c r="C36" s="47" t="str">
        <f>IFERROR(VLOOKUP($A$1&amp;"-"&amp;ROW(C35),基本資料填寫!$A:$DN,COLUMN(基本資料填寫!S36),0),"")</f>
        <v/>
      </c>
      <c r="D36" s="47" t="str">
        <f>IFERROR(VLOOKUP($A$1&amp;"-"&amp;ROW(D35),基本資料填寫!$A:$DN,COLUMN(基本資料填寫!V36),0),"")</f>
        <v/>
      </c>
      <c r="E36" s="47" t="str">
        <f>IFERROR(VLOOKUP($A$1&amp;"-"&amp;ROW(E35),基本資料填寫!$A:$DN,COLUMN(基本資料填寫!BW36),0),"")</f>
        <v/>
      </c>
      <c r="F36" s="47" t="str">
        <f>IFERROR(VLOOKUP($A$1&amp;"-"&amp;ROW(F35),基本資料填寫!$A:$DN,COLUMN(基本資料填寫!AN36),0),"")</f>
        <v/>
      </c>
      <c r="G36" s="47" t="str">
        <f>IFERROR(VLOOKUP($A$1&amp;"-"&amp;ROW(H35),基本資料填寫!$A:$DN,COLUMN(基本資料填寫!R36),0),"")</f>
        <v/>
      </c>
      <c r="H36" s="47" t="str">
        <f>IFERROR(VLOOKUP($A$1&amp;"-"&amp;ROW(X35),基本資料填寫!$A:$DN,COLUMN(基本資料填寫!BX36),0),"")</f>
        <v/>
      </c>
      <c r="I36" s="47" t="str">
        <f>IFERROR(VLOOKUP($A$1&amp;"-"&amp;ROW(P35),基本資料填寫!$A:$DN,COLUMN(基本資料填寫!Z36),0),"")</f>
        <v/>
      </c>
      <c r="J36" s="47" t="str">
        <f>IFERROR(VLOOKUP($A$1&amp;"-"&amp;ROW(Q35),基本資料填寫!$A:$DN,COLUMN(基本資料填寫!AA36),0),"")</f>
        <v/>
      </c>
      <c r="K36" s="47" t="str">
        <f>IFERROR(VLOOKUP($A$1&amp;"-"&amp;ROW(Y35),基本資料填寫!$A:$DN,COLUMN(基本資料填寫!BY36),0),"")</f>
        <v/>
      </c>
      <c r="L36" s="47" t="str">
        <f>IFERROR(VLOOKUP($A$1&amp;"-"&amp;ROW(Z35),基本資料填寫!$A:$DN,COLUMN(基本資料填寫!BZ36),0),"")</f>
        <v/>
      </c>
      <c r="M36" s="47" t="str">
        <f>IFERROR(VLOOKUP($A$1&amp;"-"&amp;ROW(AA35),基本資料填寫!$A:$DN,COLUMN(基本資料填寫!CA36),0),"")</f>
        <v/>
      </c>
      <c r="N36" s="47" t="str">
        <f>IFERROR(VLOOKUP($A$1&amp;"-"&amp;ROW(G35),基本資料填寫!$A:$DN,COLUMN(基本資料填寫!AO36),0),"")</f>
        <v/>
      </c>
      <c r="O36" s="47" t="str">
        <f>IFERROR(VLOOKUP($A$1&amp;"-"&amp;ROW(AB35),基本資料填寫!$A:$DN,COLUMN(基本資料填寫!CB36),0),"")</f>
        <v/>
      </c>
      <c r="P36" s="47" t="str">
        <f>IFERROR(VLOOKUP($A$1&amp;"-"&amp;ROW(AC35),基本資料填寫!$A:$DN,COLUMN(基本資料填寫!CC36),0),"")</f>
        <v/>
      </c>
      <c r="Q36" s="47" t="str">
        <f>IFERROR(VLOOKUP($A$1&amp;"-"&amp;ROW(AD35),基本資料填寫!$A:$DN,COLUMN(基本資料填寫!CD36),0),"")</f>
        <v/>
      </c>
      <c r="R36" s="47" t="str">
        <f>IFERROR(VLOOKUP($A$1&amp;"-"&amp;ROW(AE35),基本資料填寫!$A:$DN,COLUMN(基本資料填寫!CE36),0),"")</f>
        <v/>
      </c>
      <c r="S36" s="47" t="str">
        <f>IFERROR(VLOOKUP($A$1&amp;"-"&amp;ROW(AF35),基本資料填寫!$A:$DN,COLUMN(基本資料填寫!CF36),0),"")</f>
        <v/>
      </c>
      <c r="T36" s="47" t="str">
        <f>IFERROR(VLOOKUP($A$1&amp;"-"&amp;ROW(AG35),基本資料填寫!$A:$DN,COLUMN(基本資料填寫!CG36),0),"")</f>
        <v/>
      </c>
      <c r="U36" s="47" t="str">
        <f>IFERROR(VLOOKUP($A$1&amp;"-"&amp;ROW(AH35),基本資料填寫!$A:$DN,COLUMN(基本資料填寫!CH36),0),"")</f>
        <v/>
      </c>
      <c r="V36" s="47" t="str">
        <f>IFERROR(VLOOKUP($A$1&amp;"-"&amp;ROW(AI35),基本資料填寫!$A:$DN,COLUMN(基本資料填寫!CI36),0),"")</f>
        <v/>
      </c>
      <c r="W36" s="47" t="str">
        <f>IFERROR(VLOOKUP($A$1&amp;"-"&amp;ROW(E35),基本資料填寫!$A:$DN,COLUMN(基本資料填寫!O36),0),"")</f>
        <v/>
      </c>
      <c r="X36" s="47" t="str">
        <f>IFERROR(VLOOKUP($A$1&amp;"-"&amp;ROW(AJ35),基本資料填寫!$A:$DN,COLUMN(基本資料填寫!CJ36),0),"")</f>
        <v/>
      </c>
      <c r="Y36" s="47" t="str">
        <f>IFERROR(VLOOKUP($A$1&amp;"-"&amp;ROW(AK35),基本資料填寫!$A:$DN,COLUMN(基本資料填寫!CK36),0),"")</f>
        <v/>
      </c>
      <c r="Z36" s="47" t="str">
        <f>IFERROR(VLOOKUP($A$1&amp;"-"&amp;ROW(AM35),基本資料填寫!$A:$DN,COLUMN(基本資料填寫!CN36),0),"")</f>
        <v/>
      </c>
      <c r="AA36" s="47" t="str">
        <f>IFERROR(VLOOKUP($A$1&amp;"-"&amp;ROW(AN35),基本資料填寫!$A:$DN,COLUMN(基本資料填寫!CO36),0),"")</f>
        <v/>
      </c>
      <c r="AB36" s="47" t="str">
        <f>IFERROR(VLOOKUP($A$1&amp;"-"&amp;ROW(AO35),基本資料填寫!$A:$DN,COLUMN(基本資料填寫!CP36),0),"")</f>
        <v/>
      </c>
    </row>
    <row r="37" spans="2:28" x14ac:dyDescent="0.3">
      <c r="B37" s="2" t="str">
        <f>IF(C37="","",COUNTA($C$2:C37))</f>
        <v/>
      </c>
      <c r="C37" s="47" t="str">
        <f>IFERROR(VLOOKUP($A$1&amp;"-"&amp;ROW(C36),基本資料填寫!$A:$DN,COLUMN(基本資料填寫!S37),0),"")</f>
        <v/>
      </c>
      <c r="D37" s="47" t="str">
        <f>IFERROR(VLOOKUP($A$1&amp;"-"&amp;ROW(D36),基本資料填寫!$A:$DN,COLUMN(基本資料填寫!V37),0),"")</f>
        <v/>
      </c>
      <c r="E37" s="47" t="str">
        <f>IFERROR(VLOOKUP($A$1&amp;"-"&amp;ROW(E36),基本資料填寫!$A:$DN,COLUMN(基本資料填寫!BW37),0),"")</f>
        <v/>
      </c>
      <c r="F37" s="47" t="str">
        <f>IFERROR(VLOOKUP($A$1&amp;"-"&amp;ROW(F36),基本資料填寫!$A:$DN,COLUMN(基本資料填寫!AN37),0),"")</f>
        <v/>
      </c>
      <c r="G37" s="47" t="str">
        <f>IFERROR(VLOOKUP($A$1&amp;"-"&amp;ROW(H36),基本資料填寫!$A:$DN,COLUMN(基本資料填寫!R37),0),"")</f>
        <v/>
      </c>
      <c r="H37" s="47" t="str">
        <f>IFERROR(VLOOKUP($A$1&amp;"-"&amp;ROW(X36),基本資料填寫!$A:$DN,COLUMN(基本資料填寫!BX37),0),"")</f>
        <v/>
      </c>
      <c r="I37" s="47" t="str">
        <f>IFERROR(VLOOKUP($A$1&amp;"-"&amp;ROW(P36),基本資料填寫!$A:$DN,COLUMN(基本資料填寫!Z37),0),"")</f>
        <v/>
      </c>
      <c r="J37" s="47" t="str">
        <f>IFERROR(VLOOKUP($A$1&amp;"-"&amp;ROW(Q36),基本資料填寫!$A:$DN,COLUMN(基本資料填寫!AA37),0),"")</f>
        <v/>
      </c>
      <c r="K37" s="47" t="str">
        <f>IFERROR(VLOOKUP($A$1&amp;"-"&amp;ROW(Y36),基本資料填寫!$A:$DN,COLUMN(基本資料填寫!BY37),0),"")</f>
        <v/>
      </c>
      <c r="L37" s="47" t="str">
        <f>IFERROR(VLOOKUP($A$1&amp;"-"&amp;ROW(Z36),基本資料填寫!$A:$DN,COLUMN(基本資料填寫!BZ37),0),"")</f>
        <v/>
      </c>
      <c r="M37" s="47" t="str">
        <f>IFERROR(VLOOKUP($A$1&amp;"-"&amp;ROW(AA36),基本資料填寫!$A:$DN,COLUMN(基本資料填寫!CA37),0),"")</f>
        <v/>
      </c>
      <c r="N37" s="47" t="str">
        <f>IFERROR(VLOOKUP($A$1&amp;"-"&amp;ROW(G36),基本資料填寫!$A:$DN,COLUMN(基本資料填寫!AO37),0),"")</f>
        <v/>
      </c>
      <c r="O37" s="47" t="str">
        <f>IFERROR(VLOOKUP($A$1&amp;"-"&amp;ROW(AB36),基本資料填寫!$A:$DN,COLUMN(基本資料填寫!CB37),0),"")</f>
        <v/>
      </c>
      <c r="P37" s="47" t="str">
        <f>IFERROR(VLOOKUP($A$1&amp;"-"&amp;ROW(AC36),基本資料填寫!$A:$DN,COLUMN(基本資料填寫!CC37),0),"")</f>
        <v/>
      </c>
      <c r="Q37" s="47" t="str">
        <f>IFERROR(VLOOKUP($A$1&amp;"-"&amp;ROW(AD36),基本資料填寫!$A:$DN,COLUMN(基本資料填寫!CD37),0),"")</f>
        <v/>
      </c>
      <c r="R37" s="47" t="str">
        <f>IFERROR(VLOOKUP($A$1&amp;"-"&amp;ROW(AE36),基本資料填寫!$A:$DN,COLUMN(基本資料填寫!CE37),0),"")</f>
        <v/>
      </c>
      <c r="S37" s="47" t="str">
        <f>IFERROR(VLOOKUP($A$1&amp;"-"&amp;ROW(AF36),基本資料填寫!$A:$DN,COLUMN(基本資料填寫!CF37),0),"")</f>
        <v/>
      </c>
      <c r="T37" s="47" t="str">
        <f>IFERROR(VLOOKUP($A$1&amp;"-"&amp;ROW(AG36),基本資料填寫!$A:$DN,COLUMN(基本資料填寫!CG37),0),"")</f>
        <v/>
      </c>
      <c r="U37" s="47" t="str">
        <f>IFERROR(VLOOKUP($A$1&amp;"-"&amp;ROW(AH36),基本資料填寫!$A:$DN,COLUMN(基本資料填寫!CH37),0),"")</f>
        <v/>
      </c>
      <c r="V37" s="47" t="str">
        <f>IFERROR(VLOOKUP($A$1&amp;"-"&amp;ROW(AI36),基本資料填寫!$A:$DN,COLUMN(基本資料填寫!CI37),0),"")</f>
        <v/>
      </c>
      <c r="W37" s="47" t="str">
        <f>IFERROR(VLOOKUP($A$1&amp;"-"&amp;ROW(E36),基本資料填寫!$A:$DN,COLUMN(基本資料填寫!O37),0),"")</f>
        <v/>
      </c>
      <c r="X37" s="47" t="str">
        <f>IFERROR(VLOOKUP($A$1&amp;"-"&amp;ROW(AJ36),基本資料填寫!$A:$DN,COLUMN(基本資料填寫!CJ37),0),"")</f>
        <v/>
      </c>
      <c r="Y37" s="47" t="str">
        <f>IFERROR(VLOOKUP($A$1&amp;"-"&amp;ROW(AK36),基本資料填寫!$A:$DN,COLUMN(基本資料填寫!CK37),0),"")</f>
        <v/>
      </c>
      <c r="Z37" s="47" t="str">
        <f>IFERROR(VLOOKUP($A$1&amp;"-"&amp;ROW(AM36),基本資料填寫!$A:$DN,COLUMN(基本資料填寫!CN37),0),"")</f>
        <v/>
      </c>
      <c r="AA37" s="47" t="str">
        <f>IFERROR(VLOOKUP($A$1&amp;"-"&amp;ROW(AN36),基本資料填寫!$A:$DN,COLUMN(基本資料填寫!CO37),0),"")</f>
        <v/>
      </c>
      <c r="AB37" s="47" t="str">
        <f>IFERROR(VLOOKUP($A$1&amp;"-"&amp;ROW(AO36),基本資料填寫!$A:$DN,COLUMN(基本資料填寫!CP37),0),"")</f>
        <v/>
      </c>
    </row>
    <row r="38" spans="2:28" x14ac:dyDescent="0.3">
      <c r="B38" s="2" t="str">
        <f>IF(C38="","",COUNTA($C$2:C38))</f>
        <v/>
      </c>
      <c r="C38" s="47" t="str">
        <f>IFERROR(VLOOKUP($A$1&amp;"-"&amp;ROW(C37),基本資料填寫!$A:$DN,COLUMN(基本資料填寫!S38),0),"")</f>
        <v/>
      </c>
      <c r="D38" s="47" t="str">
        <f>IFERROR(VLOOKUP($A$1&amp;"-"&amp;ROW(D37),基本資料填寫!$A:$DN,COLUMN(基本資料填寫!V38),0),"")</f>
        <v/>
      </c>
      <c r="E38" s="47" t="str">
        <f>IFERROR(VLOOKUP($A$1&amp;"-"&amp;ROW(E37),基本資料填寫!$A:$DN,COLUMN(基本資料填寫!BW38),0),"")</f>
        <v/>
      </c>
      <c r="F38" s="47" t="str">
        <f>IFERROR(VLOOKUP($A$1&amp;"-"&amp;ROW(F37),基本資料填寫!$A:$DN,COLUMN(基本資料填寫!AN38),0),"")</f>
        <v/>
      </c>
      <c r="G38" s="47" t="str">
        <f>IFERROR(VLOOKUP($A$1&amp;"-"&amp;ROW(H37),基本資料填寫!$A:$DN,COLUMN(基本資料填寫!R38),0),"")</f>
        <v/>
      </c>
      <c r="H38" s="47" t="str">
        <f>IFERROR(VLOOKUP($A$1&amp;"-"&amp;ROW(X37),基本資料填寫!$A:$DN,COLUMN(基本資料填寫!BX38),0),"")</f>
        <v/>
      </c>
      <c r="I38" s="47" t="str">
        <f>IFERROR(VLOOKUP($A$1&amp;"-"&amp;ROW(P37),基本資料填寫!$A:$DN,COLUMN(基本資料填寫!Z38),0),"")</f>
        <v/>
      </c>
      <c r="J38" s="47" t="str">
        <f>IFERROR(VLOOKUP($A$1&amp;"-"&amp;ROW(Q37),基本資料填寫!$A:$DN,COLUMN(基本資料填寫!AA38),0),"")</f>
        <v/>
      </c>
      <c r="K38" s="47" t="str">
        <f>IFERROR(VLOOKUP($A$1&amp;"-"&amp;ROW(Y37),基本資料填寫!$A:$DN,COLUMN(基本資料填寫!BY38),0),"")</f>
        <v/>
      </c>
      <c r="L38" s="47" t="str">
        <f>IFERROR(VLOOKUP($A$1&amp;"-"&amp;ROW(Z37),基本資料填寫!$A:$DN,COLUMN(基本資料填寫!BZ38),0),"")</f>
        <v/>
      </c>
      <c r="M38" s="47" t="str">
        <f>IFERROR(VLOOKUP($A$1&amp;"-"&amp;ROW(AA37),基本資料填寫!$A:$DN,COLUMN(基本資料填寫!CA38),0),"")</f>
        <v/>
      </c>
      <c r="N38" s="47" t="str">
        <f>IFERROR(VLOOKUP($A$1&amp;"-"&amp;ROW(G37),基本資料填寫!$A:$DN,COLUMN(基本資料填寫!AO38),0),"")</f>
        <v/>
      </c>
      <c r="O38" s="47" t="str">
        <f>IFERROR(VLOOKUP($A$1&amp;"-"&amp;ROW(AB37),基本資料填寫!$A:$DN,COLUMN(基本資料填寫!CB38),0),"")</f>
        <v/>
      </c>
      <c r="P38" s="47" t="str">
        <f>IFERROR(VLOOKUP($A$1&amp;"-"&amp;ROW(AC37),基本資料填寫!$A:$DN,COLUMN(基本資料填寫!CC38),0),"")</f>
        <v/>
      </c>
      <c r="Q38" s="47" t="str">
        <f>IFERROR(VLOOKUP($A$1&amp;"-"&amp;ROW(AD37),基本資料填寫!$A:$DN,COLUMN(基本資料填寫!CD38),0),"")</f>
        <v/>
      </c>
      <c r="R38" s="47" t="str">
        <f>IFERROR(VLOOKUP($A$1&amp;"-"&amp;ROW(AE37),基本資料填寫!$A:$DN,COLUMN(基本資料填寫!CE38),0),"")</f>
        <v/>
      </c>
      <c r="S38" s="47" t="str">
        <f>IFERROR(VLOOKUP($A$1&amp;"-"&amp;ROW(AF37),基本資料填寫!$A:$DN,COLUMN(基本資料填寫!CF38),0),"")</f>
        <v/>
      </c>
      <c r="T38" s="47" t="str">
        <f>IFERROR(VLOOKUP($A$1&amp;"-"&amp;ROW(AG37),基本資料填寫!$A:$DN,COLUMN(基本資料填寫!CG38),0),"")</f>
        <v/>
      </c>
      <c r="U38" s="47" t="str">
        <f>IFERROR(VLOOKUP($A$1&amp;"-"&amp;ROW(AH37),基本資料填寫!$A:$DN,COLUMN(基本資料填寫!CH38),0),"")</f>
        <v/>
      </c>
      <c r="V38" s="47" t="str">
        <f>IFERROR(VLOOKUP($A$1&amp;"-"&amp;ROW(AI37),基本資料填寫!$A:$DN,COLUMN(基本資料填寫!CI38),0),"")</f>
        <v/>
      </c>
      <c r="W38" s="47" t="str">
        <f>IFERROR(VLOOKUP($A$1&amp;"-"&amp;ROW(E37),基本資料填寫!$A:$DN,COLUMN(基本資料填寫!O38),0),"")</f>
        <v/>
      </c>
      <c r="X38" s="47" t="str">
        <f>IFERROR(VLOOKUP($A$1&amp;"-"&amp;ROW(AJ37),基本資料填寫!$A:$DN,COLUMN(基本資料填寫!CJ38),0),"")</f>
        <v/>
      </c>
      <c r="Y38" s="47" t="str">
        <f>IFERROR(VLOOKUP($A$1&amp;"-"&amp;ROW(AK37),基本資料填寫!$A:$DN,COLUMN(基本資料填寫!CK38),0),"")</f>
        <v/>
      </c>
      <c r="Z38" s="47" t="str">
        <f>IFERROR(VLOOKUP($A$1&amp;"-"&amp;ROW(AM37),基本資料填寫!$A:$DN,COLUMN(基本資料填寫!CN38),0),"")</f>
        <v/>
      </c>
      <c r="AA38" s="47" t="str">
        <f>IFERROR(VLOOKUP($A$1&amp;"-"&amp;ROW(AN37),基本資料填寫!$A:$DN,COLUMN(基本資料填寫!CO38),0),"")</f>
        <v/>
      </c>
      <c r="AB38" s="47" t="str">
        <f>IFERROR(VLOOKUP($A$1&amp;"-"&amp;ROW(AO37),基本資料填寫!$A:$DN,COLUMN(基本資料填寫!CP38),0),"")</f>
        <v/>
      </c>
    </row>
    <row r="39" spans="2:28" x14ac:dyDescent="0.3">
      <c r="B39" s="2" t="str">
        <f>IF(C39="","",COUNTA($C$2:C39))</f>
        <v/>
      </c>
      <c r="C39" s="47" t="str">
        <f>IFERROR(VLOOKUP($A$1&amp;"-"&amp;ROW(C38),基本資料填寫!$A:$DN,COLUMN(基本資料填寫!S39),0),"")</f>
        <v/>
      </c>
      <c r="D39" s="47" t="str">
        <f>IFERROR(VLOOKUP($A$1&amp;"-"&amp;ROW(D38),基本資料填寫!$A:$DN,COLUMN(基本資料填寫!V39),0),"")</f>
        <v/>
      </c>
      <c r="E39" s="47" t="str">
        <f>IFERROR(VLOOKUP($A$1&amp;"-"&amp;ROW(E38),基本資料填寫!$A:$DN,COLUMN(基本資料填寫!BW39),0),"")</f>
        <v/>
      </c>
      <c r="F39" s="47" t="str">
        <f>IFERROR(VLOOKUP($A$1&amp;"-"&amp;ROW(F38),基本資料填寫!$A:$DN,COLUMN(基本資料填寫!AN39),0),"")</f>
        <v/>
      </c>
      <c r="G39" s="47" t="str">
        <f>IFERROR(VLOOKUP($A$1&amp;"-"&amp;ROW(H38),基本資料填寫!$A:$DN,COLUMN(基本資料填寫!R39),0),"")</f>
        <v/>
      </c>
      <c r="H39" s="47" t="str">
        <f>IFERROR(VLOOKUP($A$1&amp;"-"&amp;ROW(X38),基本資料填寫!$A:$DN,COLUMN(基本資料填寫!BX39),0),"")</f>
        <v/>
      </c>
      <c r="I39" s="47" t="str">
        <f>IFERROR(VLOOKUP($A$1&amp;"-"&amp;ROW(P38),基本資料填寫!$A:$DN,COLUMN(基本資料填寫!Z39),0),"")</f>
        <v/>
      </c>
      <c r="J39" s="47" t="str">
        <f>IFERROR(VLOOKUP($A$1&amp;"-"&amp;ROW(Q38),基本資料填寫!$A:$DN,COLUMN(基本資料填寫!AA39),0),"")</f>
        <v/>
      </c>
      <c r="K39" s="47" t="str">
        <f>IFERROR(VLOOKUP($A$1&amp;"-"&amp;ROW(Y38),基本資料填寫!$A:$DN,COLUMN(基本資料填寫!BY39),0),"")</f>
        <v/>
      </c>
      <c r="L39" s="47" t="str">
        <f>IFERROR(VLOOKUP($A$1&amp;"-"&amp;ROW(Z38),基本資料填寫!$A:$DN,COLUMN(基本資料填寫!BZ39),0),"")</f>
        <v/>
      </c>
      <c r="M39" s="47" t="str">
        <f>IFERROR(VLOOKUP($A$1&amp;"-"&amp;ROW(AA38),基本資料填寫!$A:$DN,COLUMN(基本資料填寫!CA39),0),"")</f>
        <v/>
      </c>
      <c r="N39" s="47" t="str">
        <f>IFERROR(VLOOKUP($A$1&amp;"-"&amp;ROW(G38),基本資料填寫!$A:$DN,COLUMN(基本資料填寫!AO39),0),"")</f>
        <v/>
      </c>
      <c r="O39" s="47" t="str">
        <f>IFERROR(VLOOKUP($A$1&amp;"-"&amp;ROW(AB38),基本資料填寫!$A:$DN,COLUMN(基本資料填寫!CB39),0),"")</f>
        <v/>
      </c>
      <c r="P39" s="47" t="str">
        <f>IFERROR(VLOOKUP($A$1&amp;"-"&amp;ROW(AC38),基本資料填寫!$A:$DN,COLUMN(基本資料填寫!CC39),0),"")</f>
        <v/>
      </c>
      <c r="Q39" s="47" t="str">
        <f>IFERROR(VLOOKUP($A$1&amp;"-"&amp;ROW(AD38),基本資料填寫!$A:$DN,COLUMN(基本資料填寫!CD39),0),"")</f>
        <v/>
      </c>
      <c r="R39" s="47" t="str">
        <f>IFERROR(VLOOKUP($A$1&amp;"-"&amp;ROW(AE38),基本資料填寫!$A:$DN,COLUMN(基本資料填寫!CE39),0),"")</f>
        <v/>
      </c>
      <c r="S39" s="47" t="str">
        <f>IFERROR(VLOOKUP($A$1&amp;"-"&amp;ROW(AF38),基本資料填寫!$A:$DN,COLUMN(基本資料填寫!CF39),0),"")</f>
        <v/>
      </c>
      <c r="T39" s="47" t="str">
        <f>IFERROR(VLOOKUP($A$1&amp;"-"&amp;ROW(AG38),基本資料填寫!$A:$DN,COLUMN(基本資料填寫!CG39),0),"")</f>
        <v/>
      </c>
      <c r="U39" s="47" t="str">
        <f>IFERROR(VLOOKUP($A$1&amp;"-"&amp;ROW(AH38),基本資料填寫!$A:$DN,COLUMN(基本資料填寫!CH39),0),"")</f>
        <v/>
      </c>
      <c r="V39" s="47" t="str">
        <f>IFERROR(VLOOKUP($A$1&amp;"-"&amp;ROW(AI38),基本資料填寫!$A:$DN,COLUMN(基本資料填寫!CI39),0),"")</f>
        <v/>
      </c>
      <c r="W39" s="47" t="str">
        <f>IFERROR(VLOOKUP($A$1&amp;"-"&amp;ROW(E38),基本資料填寫!$A:$DN,COLUMN(基本資料填寫!O39),0),"")</f>
        <v/>
      </c>
      <c r="X39" s="47" t="str">
        <f>IFERROR(VLOOKUP($A$1&amp;"-"&amp;ROW(AJ38),基本資料填寫!$A:$DN,COLUMN(基本資料填寫!CJ39),0),"")</f>
        <v/>
      </c>
      <c r="Y39" s="47" t="str">
        <f>IFERROR(VLOOKUP($A$1&amp;"-"&amp;ROW(AK38),基本資料填寫!$A:$DN,COLUMN(基本資料填寫!CK39),0),"")</f>
        <v/>
      </c>
      <c r="Z39" s="47" t="str">
        <f>IFERROR(VLOOKUP($A$1&amp;"-"&amp;ROW(AM38),基本資料填寫!$A:$DN,COLUMN(基本資料填寫!CN39),0),"")</f>
        <v/>
      </c>
      <c r="AA39" s="47" t="str">
        <f>IFERROR(VLOOKUP($A$1&amp;"-"&amp;ROW(AN38),基本資料填寫!$A:$DN,COLUMN(基本資料填寫!CO39),0),"")</f>
        <v/>
      </c>
      <c r="AB39" s="47" t="str">
        <f>IFERROR(VLOOKUP($A$1&amp;"-"&amp;ROW(AO38),基本資料填寫!$A:$DN,COLUMN(基本資料填寫!CP39),0),"")</f>
        <v/>
      </c>
    </row>
    <row r="40" spans="2:28" x14ac:dyDescent="0.3">
      <c r="B40" s="2" t="str">
        <f>IF(C40="","",COUNTA($C$2:C40))</f>
        <v/>
      </c>
      <c r="C40" s="47" t="str">
        <f>IFERROR(VLOOKUP($A$1&amp;"-"&amp;ROW(C39),基本資料填寫!$A:$DN,COLUMN(基本資料填寫!S40),0),"")</f>
        <v/>
      </c>
      <c r="D40" s="47" t="str">
        <f>IFERROR(VLOOKUP($A$1&amp;"-"&amp;ROW(D39),基本資料填寫!$A:$DN,COLUMN(基本資料填寫!V40),0),"")</f>
        <v/>
      </c>
      <c r="E40" s="47" t="str">
        <f>IFERROR(VLOOKUP($A$1&amp;"-"&amp;ROW(E39),基本資料填寫!$A:$DN,COLUMN(基本資料填寫!BW40),0),"")</f>
        <v/>
      </c>
      <c r="F40" s="47" t="str">
        <f>IFERROR(VLOOKUP($A$1&amp;"-"&amp;ROW(F39),基本資料填寫!$A:$DN,COLUMN(基本資料填寫!AN40),0),"")</f>
        <v/>
      </c>
      <c r="G40" s="47" t="str">
        <f>IFERROR(VLOOKUP($A$1&amp;"-"&amp;ROW(H39),基本資料填寫!$A:$DN,COLUMN(基本資料填寫!R40),0),"")</f>
        <v/>
      </c>
      <c r="H40" s="47" t="str">
        <f>IFERROR(VLOOKUP($A$1&amp;"-"&amp;ROW(X39),基本資料填寫!$A:$DN,COLUMN(基本資料填寫!BX40),0),"")</f>
        <v/>
      </c>
      <c r="I40" s="47" t="str">
        <f>IFERROR(VLOOKUP($A$1&amp;"-"&amp;ROW(P39),基本資料填寫!$A:$DN,COLUMN(基本資料填寫!Z40),0),"")</f>
        <v/>
      </c>
      <c r="J40" s="47" t="str">
        <f>IFERROR(VLOOKUP($A$1&amp;"-"&amp;ROW(Q39),基本資料填寫!$A:$DN,COLUMN(基本資料填寫!AA40),0),"")</f>
        <v/>
      </c>
      <c r="K40" s="47" t="str">
        <f>IFERROR(VLOOKUP($A$1&amp;"-"&amp;ROW(Y39),基本資料填寫!$A:$DN,COLUMN(基本資料填寫!BY40),0),"")</f>
        <v/>
      </c>
      <c r="L40" s="47" t="str">
        <f>IFERROR(VLOOKUP($A$1&amp;"-"&amp;ROW(Z39),基本資料填寫!$A:$DN,COLUMN(基本資料填寫!BZ40),0),"")</f>
        <v/>
      </c>
      <c r="M40" s="47" t="str">
        <f>IFERROR(VLOOKUP($A$1&amp;"-"&amp;ROW(AA39),基本資料填寫!$A:$DN,COLUMN(基本資料填寫!CA40),0),"")</f>
        <v/>
      </c>
      <c r="N40" s="47" t="str">
        <f>IFERROR(VLOOKUP($A$1&amp;"-"&amp;ROW(G39),基本資料填寫!$A:$DN,COLUMN(基本資料填寫!AO40),0),"")</f>
        <v/>
      </c>
      <c r="O40" s="47" t="str">
        <f>IFERROR(VLOOKUP($A$1&amp;"-"&amp;ROW(AB39),基本資料填寫!$A:$DN,COLUMN(基本資料填寫!CB40),0),"")</f>
        <v/>
      </c>
      <c r="P40" s="47" t="str">
        <f>IFERROR(VLOOKUP($A$1&amp;"-"&amp;ROW(AC39),基本資料填寫!$A:$DN,COLUMN(基本資料填寫!CC40),0),"")</f>
        <v/>
      </c>
      <c r="Q40" s="47" t="str">
        <f>IFERROR(VLOOKUP($A$1&amp;"-"&amp;ROW(AD39),基本資料填寫!$A:$DN,COLUMN(基本資料填寫!CD40),0),"")</f>
        <v/>
      </c>
      <c r="R40" s="47" t="str">
        <f>IFERROR(VLOOKUP($A$1&amp;"-"&amp;ROW(AE39),基本資料填寫!$A:$DN,COLUMN(基本資料填寫!CE40),0),"")</f>
        <v/>
      </c>
      <c r="S40" s="47" t="str">
        <f>IFERROR(VLOOKUP($A$1&amp;"-"&amp;ROW(AF39),基本資料填寫!$A:$DN,COLUMN(基本資料填寫!CF40),0),"")</f>
        <v/>
      </c>
      <c r="T40" s="47" t="str">
        <f>IFERROR(VLOOKUP($A$1&amp;"-"&amp;ROW(AG39),基本資料填寫!$A:$DN,COLUMN(基本資料填寫!CG40),0),"")</f>
        <v/>
      </c>
      <c r="U40" s="47" t="str">
        <f>IFERROR(VLOOKUP($A$1&amp;"-"&amp;ROW(AH39),基本資料填寫!$A:$DN,COLUMN(基本資料填寫!CH40),0),"")</f>
        <v/>
      </c>
      <c r="V40" s="47" t="str">
        <f>IFERROR(VLOOKUP($A$1&amp;"-"&amp;ROW(AI39),基本資料填寫!$A:$DN,COLUMN(基本資料填寫!CI40),0),"")</f>
        <v/>
      </c>
      <c r="W40" s="47" t="str">
        <f>IFERROR(VLOOKUP($A$1&amp;"-"&amp;ROW(E39),基本資料填寫!$A:$DN,COLUMN(基本資料填寫!O40),0),"")</f>
        <v/>
      </c>
      <c r="X40" s="47" t="str">
        <f>IFERROR(VLOOKUP($A$1&amp;"-"&amp;ROW(AJ39),基本資料填寫!$A:$DN,COLUMN(基本資料填寫!CJ40),0),"")</f>
        <v/>
      </c>
      <c r="Y40" s="47" t="str">
        <f>IFERROR(VLOOKUP($A$1&amp;"-"&amp;ROW(AK39),基本資料填寫!$A:$DN,COLUMN(基本資料填寫!CK40),0),"")</f>
        <v/>
      </c>
      <c r="Z40" s="47" t="str">
        <f>IFERROR(VLOOKUP($A$1&amp;"-"&amp;ROW(AM39),基本資料填寫!$A:$DN,COLUMN(基本資料填寫!CN40),0),"")</f>
        <v/>
      </c>
      <c r="AA40" s="47" t="str">
        <f>IFERROR(VLOOKUP($A$1&amp;"-"&amp;ROW(AN39),基本資料填寫!$A:$DN,COLUMN(基本資料填寫!CO40),0),"")</f>
        <v/>
      </c>
      <c r="AB40" s="47" t="str">
        <f>IFERROR(VLOOKUP($A$1&amp;"-"&amp;ROW(AO39),基本資料填寫!$A:$DN,COLUMN(基本資料填寫!CP40),0),"")</f>
        <v/>
      </c>
    </row>
    <row r="41" spans="2:28" x14ac:dyDescent="0.3">
      <c r="B41" s="2" t="str">
        <f>IF(C41="","",COUNTA($C$2:C41))</f>
        <v/>
      </c>
      <c r="C41" s="47" t="str">
        <f>IFERROR(VLOOKUP($A$1&amp;"-"&amp;ROW(C40),基本資料填寫!$A:$DN,COLUMN(基本資料填寫!S41),0),"")</f>
        <v/>
      </c>
      <c r="D41" s="47" t="str">
        <f>IFERROR(VLOOKUP($A$1&amp;"-"&amp;ROW(D40),基本資料填寫!$A:$DN,COLUMN(基本資料填寫!V41),0),"")</f>
        <v/>
      </c>
      <c r="E41" s="47" t="str">
        <f>IFERROR(VLOOKUP($A$1&amp;"-"&amp;ROW(E40),基本資料填寫!$A:$DN,COLUMN(基本資料填寫!BW41),0),"")</f>
        <v/>
      </c>
      <c r="F41" s="47" t="str">
        <f>IFERROR(VLOOKUP($A$1&amp;"-"&amp;ROW(F40),基本資料填寫!$A:$DN,COLUMN(基本資料填寫!AN41),0),"")</f>
        <v/>
      </c>
      <c r="G41" s="47" t="str">
        <f>IFERROR(VLOOKUP($A$1&amp;"-"&amp;ROW(H40),基本資料填寫!$A:$DN,COLUMN(基本資料填寫!R41),0),"")</f>
        <v/>
      </c>
      <c r="H41" s="47" t="str">
        <f>IFERROR(VLOOKUP($A$1&amp;"-"&amp;ROW(X40),基本資料填寫!$A:$DN,COLUMN(基本資料填寫!BX41),0),"")</f>
        <v/>
      </c>
      <c r="I41" s="47" t="str">
        <f>IFERROR(VLOOKUP($A$1&amp;"-"&amp;ROW(P40),基本資料填寫!$A:$DN,COLUMN(基本資料填寫!Z41),0),"")</f>
        <v/>
      </c>
      <c r="J41" s="47" t="str">
        <f>IFERROR(VLOOKUP($A$1&amp;"-"&amp;ROW(Q40),基本資料填寫!$A:$DN,COLUMN(基本資料填寫!AA41),0),"")</f>
        <v/>
      </c>
      <c r="K41" s="47" t="str">
        <f>IFERROR(VLOOKUP($A$1&amp;"-"&amp;ROW(Y40),基本資料填寫!$A:$DN,COLUMN(基本資料填寫!BY41),0),"")</f>
        <v/>
      </c>
      <c r="L41" s="47" t="str">
        <f>IFERROR(VLOOKUP($A$1&amp;"-"&amp;ROW(Z40),基本資料填寫!$A:$DN,COLUMN(基本資料填寫!BZ41),0),"")</f>
        <v/>
      </c>
      <c r="M41" s="47" t="str">
        <f>IFERROR(VLOOKUP($A$1&amp;"-"&amp;ROW(AA40),基本資料填寫!$A:$DN,COLUMN(基本資料填寫!CA41),0),"")</f>
        <v/>
      </c>
      <c r="N41" s="47" t="str">
        <f>IFERROR(VLOOKUP($A$1&amp;"-"&amp;ROW(G40),基本資料填寫!$A:$DN,COLUMN(基本資料填寫!AO41),0),"")</f>
        <v/>
      </c>
      <c r="O41" s="47" t="str">
        <f>IFERROR(VLOOKUP($A$1&amp;"-"&amp;ROW(AB40),基本資料填寫!$A:$DN,COLUMN(基本資料填寫!CB41),0),"")</f>
        <v/>
      </c>
      <c r="P41" s="47" t="str">
        <f>IFERROR(VLOOKUP($A$1&amp;"-"&amp;ROW(AC40),基本資料填寫!$A:$DN,COLUMN(基本資料填寫!CC41),0),"")</f>
        <v/>
      </c>
      <c r="Q41" s="47" t="str">
        <f>IFERROR(VLOOKUP($A$1&amp;"-"&amp;ROW(AD40),基本資料填寫!$A:$DN,COLUMN(基本資料填寫!CD41),0),"")</f>
        <v/>
      </c>
      <c r="R41" s="47" t="str">
        <f>IFERROR(VLOOKUP($A$1&amp;"-"&amp;ROW(AE40),基本資料填寫!$A:$DN,COLUMN(基本資料填寫!CE41),0),"")</f>
        <v/>
      </c>
      <c r="S41" s="47" t="str">
        <f>IFERROR(VLOOKUP($A$1&amp;"-"&amp;ROW(AF40),基本資料填寫!$A:$DN,COLUMN(基本資料填寫!CF41),0),"")</f>
        <v/>
      </c>
      <c r="T41" s="47" t="str">
        <f>IFERROR(VLOOKUP($A$1&amp;"-"&amp;ROW(AG40),基本資料填寫!$A:$DN,COLUMN(基本資料填寫!CG41),0),"")</f>
        <v/>
      </c>
      <c r="U41" s="47" t="str">
        <f>IFERROR(VLOOKUP($A$1&amp;"-"&amp;ROW(AH40),基本資料填寫!$A:$DN,COLUMN(基本資料填寫!CH41),0),"")</f>
        <v/>
      </c>
      <c r="V41" s="47" t="str">
        <f>IFERROR(VLOOKUP($A$1&amp;"-"&amp;ROW(AI40),基本資料填寫!$A:$DN,COLUMN(基本資料填寫!CI41),0),"")</f>
        <v/>
      </c>
      <c r="W41" s="47" t="str">
        <f>IFERROR(VLOOKUP($A$1&amp;"-"&amp;ROW(E40),基本資料填寫!$A:$DN,COLUMN(基本資料填寫!O41),0),"")</f>
        <v/>
      </c>
      <c r="X41" s="47" t="str">
        <f>IFERROR(VLOOKUP($A$1&amp;"-"&amp;ROW(AJ40),基本資料填寫!$A:$DN,COLUMN(基本資料填寫!CJ41),0),"")</f>
        <v/>
      </c>
      <c r="Y41" s="47" t="str">
        <f>IFERROR(VLOOKUP($A$1&amp;"-"&amp;ROW(AK40),基本資料填寫!$A:$DN,COLUMN(基本資料填寫!CK41),0),"")</f>
        <v/>
      </c>
      <c r="Z41" s="47" t="str">
        <f>IFERROR(VLOOKUP($A$1&amp;"-"&amp;ROW(AM40),基本資料填寫!$A:$DN,COLUMN(基本資料填寫!CN41),0),"")</f>
        <v/>
      </c>
      <c r="AA41" s="47" t="str">
        <f>IFERROR(VLOOKUP($A$1&amp;"-"&amp;ROW(AN40),基本資料填寫!$A:$DN,COLUMN(基本資料填寫!CO41),0),"")</f>
        <v/>
      </c>
      <c r="AB41" s="47" t="str">
        <f>IFERROR(VLOOKUP($A$1&amp;"-"&amp;ROW(AO40),基本資料填寫!$A:$DN,COLUMN(基本資料填寫!CP41),0),"")</f>
        <v/>
      </c>
    </row>
    <row r="42" spans="2:28" x14ac:dyDescent="0.3">
      <c r="B42" s="2" t="str">
        <f>IF(C42="","",COUNTA($C$2:C42))</f>
        <v/>
      </c>
      <c r="C42" s="47" t="str">
        <f>IFERROR(VLOOKUP($A$1&amp;"-"&amp;ROW(C41),基本資料填寫!$A:$DN,COLUMN(基本資料填寫!S42),0),"")</f>
        <v/>
      </c>
      <c r="D42" s="47" t="str">
        <f>IFERROR(VLOOKUP($A$1&amp;"-"&amp;ROW(D41),基本資料填寫!$A:$DN,COLUMN(基本資料填寫!V42),0),"")</f>
        <v/>
      </c>
      <c r="E42" s="47" t="str">
        <f>IFERROR(VLOOKUP($A$1&amp;"-"&amp;ROW(E41),基本資料填寫!$A:$DN,COLUMN(基本資料填寫!BW42),0),"")</f>
        <v/>
      </c>
      <c r="F42" s="47" t="str">
        <f>IFERROR(VLOOKUP($A$1&amp;"-"&amp;ROW(F41),基本資料填寫!$A:$DN,COLUMN(基本資料填寫!AN42),0),"")</f>
        <v/>
      </c>
      <c r="G42" s="47" t="str">
        <f>IFERROR(VLOOKUP($A$1&amp;"-"&amp;ROW(H41),基本資料填寫!$A:$DN,COLUMN(基本資料填寫!R42),0),"")</f>
        <v/>
      </c>
      <c r="H42" s="47" t="str">
        <f>IFERROR(VLOOKUP($A$1&amp;"-"&amp;ROW(X41),基本資料填寫!$A:$DN,COLUMN(基本資料填寫!BX42),0),"")</f>
        <v/>
      </c>
      <c r="I42" s="47" t="str">
        <f>IFERROR(VLOOKUP($A$1&amp;"-"&amp;ROW(P41),基本資料填寫!$A:$DN,COLUMN(基本資料填寫!Z42),0),"")</f>
        <v/>
      </c>
      <c r="J42" s="47" t="str">
        <f>IFERROR(VLOOKUP($A$1&amp;"-"&amp;ROW(Q41),基本資料填寫!$A:$DN,COLUMN(基本資料填寫!AA42),0),"")</f>
        <v/>
      </c>
      <c r="K42" s="47" t="str">
        <f>IFERROR(VLOOKUP($A$1&amp;"-"&amp;ROW(Y41),基本資料填寫!$A:$DN,COLUMN(基本資料填寫!BY42),0),"")</f>
        <v/>
      </c>
      <c r="L42" s="47" t="str">
        <f>IFERROR(VLOOKUP($A$1&amp;"-"&amp;ROW(Z41),基本資料填寫!$A:$DN,COLUMN(基本資料填寫!BZ42),0),"")</f>
        <v/>
      </c>
      <c r="M42" s="47" t="str">
        <f>IFERROR(VLOOKUP($A$1&amp;"-"&amp;ROW(AA41),基本資料填寫!$A:$DN,COLUMN(基本資料填寫!CA42),0),"")</f>
        <v/>
      </c>
      <c r="N42" s="47" t="str">
        <f>IFERROR(VLOOKUP($A$1&amp;"-"&amp;ROW(G41),基本資料填寫!$A:$DN,COLUMN(基本資料填寫!AO42),0),"")</f>
        <v/>
      </c>
      <c r="O42" s="47" t="str">
        <f>IFERROR(VLOOKUP($A$1&amp;"-"&amp;ROW(AB41),基本資料填寫!$A:$DN,COLUMN(基本資料填寫!CB42),0),"")</f>
        <v/>
      </c>
      <c r="P42" s="47" t="str">
        <f>IFERROR(VLOOKUP($A$1&amp;"-"&amp;ROW(AC41),基本資料填寫!$A:$DN,COLUMN(基本資料填寫!CC42),0),"")</f>
        <v/>
      </c>
      <c r="Q42" s="47" t="str">
        <f>IFERROR(VLOOKUP($A$1&amp;"-"&amp;ROW(AD41),基本資料填寫!$A:$DN,COLUMN(基本資料填寫!CD42),0),"")</f>
        <v/>
      </c>
      <c r="R42" s="47" t="str">
        <f>IFERROR(VLOOKUP($A$1&amp;"-"&amp;ROW(AE41),基本資料填寫!$A:$DN,COLUMN(基本資料填寫!CE42),0),"")</f>
        <v/>
      </c>
      <c r="S42" s="47" t="str">
        <f>IFERROR(VLOOKUP($A$1&amp;"-"&amp;ROW(AF41),基本資料填寫!$A:$DN,COLUMN(基本資料填寫!CF42),0),"")</f>
        <v/>
      </c>
      <c r="T42" s="47" t="str">
        <f>IFERROR(VLOOKUP($A$1&amp;"-"&amp;ROW(AG41),基本資料填寫!$A:$DN,COLUMN(基本資料填寫!CG42),0),"")</f>
        <v/>
      </c>
      <c r="U42" s="47" t="str">
        <f>IFERROR(VLOOKUP($A$1&amp;"-"&amp;ROW(AH41),基本資料填寫!$A:$DN,COLUMN(基本資料填寫!CH42),0),"")</f>
        <v/>
      </c>
      <c r="V42" s="47" t="str">
        <f>IFERROR(VLOOKUP($A$1&amp;"-"&amp;ROW(AI41),基本資料填寫!$A:$DN,COLUMN(基本資料填寫!CI42),0),"")</f>
        <v/>
      </c>
      <c r="W42" s="47" t="str">
        <f>IFERROR(VLOOKUP($A$1&amp;"-"&amp;ROW(E41),基本資料填寫!$A:$DN,COLUMN(基本資料填寫!O42),0),"")</f>
        <v/>
      </c>
      <c r="X42" s="47" t="str">
        <f>IFERROR(VLOOKUP($A$1&amp;"-"&amp;ROW(AJ41),基本資料填寫!$A:$DN,COLUMN(基本資料填寫!CJ42),0),"")</f>
        <v/>
      </c>
      <c r="Y42" s="47" t="str">
        <f>IFERROR(VLOOKUP($A$1&amp;"-"&amp;ROW(AK41),基本資料填寫!$A:$DN,COLUMN(基本資料填寫!CK42),0),"")</f>
        <v/>
      </c>
      <c r="Z42" s="47" t="str">
        <f>IFERROR(VLOOKUP($A$1&amp;"-"&amp;ROW(AM41),基本資料填寫!$A:$DN,COLUMN(基本資料填寫!CN42),0),"")</f>
        <v/>
      </c>
      <c r="AA42" s="47" t="str">
        <f>IFERROR(VLOOKUP($A$1&amp;"-"&amp;ROW(AN41),基本資料填寫!$A:$DN,COLUMN(基本資料填寫!CO42),0),"")</f>
        <v/>
      </c>
      <c r="AB42" s="47" t="str">
        <f>IFERROR(VLOOKUP($A$1&amp;"-"&amp;ROW(AO41),基本資料填寫!$A:$DN,COLUMN(基本資料填寫!CP42),0),"")</f>
        <v/>
      </c>
    </row>
    <row r="43" spans="2:28" x14ac:dyDescent="0.3">
      <c r="B43" s="2" t="str">
        <f>IF(C43="","",COUNTA($C$2:C43))</f>
        <v/>
      </c>
      <c r="C43" s="47" t="str">
        <f>IFERROR(VLOOKUP($A$1&amp;"-"&amp;ROW(C42),基本資料填寫!$A:$DN,COLUMN(基本資料填寫!S43),0),"")</f>
        <v/>
      </c>
      <c r="D43" s="47" t="str">
        <f>IFERROR(VLOOKUP($A$1&amp;"-"&amp;ROW(D42),基本資料填寫!$A:$DN,COLUMN(基本資料填寫!V43),0),"")</f>
        <v/>
      </c>
      <c r="E43" s="47" t="str">
        <f>IFERROR(VLOOKUP($A$1&amp;"-"&amp;ROW(E42),基本資料填寫!$A:$DN,COLUMN(基本資料填寫!BW43),0),"")</f>
        <v/>
      </c>
      <c r="F43" s="47" t="str">
        <f>IFERROR(VLOOKUP($A$1&amp;"-"&amp;ROW(F42),基本資料填寫!$A:$DN,COLUMN(基本資料填寫!AN43),0),"")</f>
        <v/>
      </c>
      <c r="G43" s="47" t="str">
        <f>IFERROR(VLOOKUP($A$1&amp;"-"&amp;ROW(H42),基本資料填寫!$A:$DN,COLUMN(基本資料填寫!R43),0),"")</f>
        <v/>
      </c>
      <c r="H43" s="47" t="str">
        <f>IFERROR(VLOOKUP($A$1&amp;"-"&amp;ROW(X42),基本資料填寫!$A:$DN,COLUMN(基本資料填寫!BX43),0),"")</f>
        <v/>
      </c>
      <c r="I43" s="47" t="str">
        <f>IFERROR(VLOOKUP($A$1&amp;"-"&amp;ROW(P42),基本資料填寫!$A:$DN,COLUMN(基本資料填寫!Z43),0),"")</f>
        <v/>
      </c>
      <c r="J43" s="47" t="str">
        <f>IFERROR(VLOOKUP($A$1&amp;"-"&amp;ROW(Q42),基本資料填寫!$A:$DN,COLUMN(基本資料填寫!AA43),0),"")</f>
        <v/>
      </c>
      <c r="K43" s="47" t="str">
        <f>IFERROR(VLOOKUP($A$1&amp;"-"&amp;ROW(Y42),基本資料填寫!$A:$DN,COLUMN(基本資料填寫!BY43),0),"")</f>
        <v/>
      </c>
      <c r="L43" s="47" t="str">
        <f>IFERROR(VLOOKUP($A$1&amp;"-"&amp;ROW(Z42),基本資料填寫!$A:$DN,COLUMN(基本資料填寫!BZ43),0),"")</f>
        <v/>
      </c>
      <c r="M43" s="47" t="str">
        <f>IFERROR(VLOOKUP($A$1&amp;"-"&amp;ROW(AA42),基本資料填寫!$A:$DN,COLUMN(基本資料填寫!CA43),0),"")</f>
        <v/>
      </c>
      <c r="N43" s="47" t="str">
        <f>IFERROR(VLOOKUP($A$1&amp;"-"&amp;ROW(G42),基本資料填寫!$A:$DN,COLUMN(基本資料填寫!AO43),0),"")</f>
        <v/>
      </c>
      <c r="O43" s="47" t="str">
        <f>IFERROR(VLOOKUP($A$1&amp;"-"&amp;ROW(AB42),基本資料填寫!$A:$DN,COLUMN(基本資料填寫!CB43),0),"")</f>
        <v/>
      </c>
      <c r="P43" s="47" t="str">
        <f>IFERROR(VLOOKUP($A$1&amp;"-"&amp;ROW(AC42),基本資料填寫!$A:$DN,COLUMN(基本資料填寫!CC43),0),"")</f>
        <v/>
      </c>
      <c r="Q43" s="47" t="str">
        <f>IFERROR(VLOOKUP($A$1&amp;"-"&amp;ROW(AD42),基本資料填寫!$A:$DN,COLUMN(基本資料填寫!CD43),0),"")</f>
        <v/>
      </c>
      <c r="R43" s="47" t="str">
        <f>IFERROR(VLOOKUP($A$1&amp;"-"&amp;ROW(AE42),基本資料填寫!$A:$DN,COLUMN(基本資料填寫!CE43),0),"")</f>
        <v/>
      </c>
      <c r="S43" s="47" t="str">
        <f>IFERROR(VLOOKUP($A$1&amp;"-"&amp;ROW(AF42),基本資料填寫!$A:$DN,COLUMN(基本資料填寫!CF43),0),"")</f>
        <v/>
      </c>
      <c r="T43" s="47" t="str">
        <f>IFERROR(VLOOKUP($A$1&amp;"-"&amp;ROW(AG42),基本資料填寫!$A:$DN,COLUMN(基本資料填寫!CG43),0),"")</f>
        <v/>
      </c>
      <c r="U43" s="47" t="str">
        <f>IFERROR(VLOOKUP($A$1&amp;"-"&amp;ROW(AH42),基本資料填寫!$A:$DN,COLUMN(基本資料填寫!CH43),0),"")</f>
        <v/>
      </c>
      <c r="V43" s="47" t="str">
        <f>IFERROR(VLOOKUP($A$1&amp;"-"&amp;ROW(AI42),基本資料填寫!$A:$DN,COLUMN(基本資料填寫!CI43),0),"")</f>
        <v/>
      </c>
      <c r="W43" s="47" t="str">
        <f>IFERROR(VLOOKUP($A$1&amp;"-"&amp;ROW(E42),基本資料填寫!$A:$DN,COLUMN(基本資料填寫!O43),0),"")</f>
        <v/>
      </c>
      <c r="X43" s="47" t="str">
        <f>IFERROR(VLOOKUP($A$1&amp;"-"&amp;ROW(AJ42),基本資料填寫!$A:$DN,COLUMN(基本資料填寫!CJ43),0),"")</f>
        <v/>
      </c>
      <c r="Y43" s="47" t="str">
        <f>IFERROR(VLOOKUP($A$1&amp;"-"&amp;ROW(AK42),基本資料填寫!$A:$DN,COLUMN(基本資料填寫!CK43),0),"")</f>
        <v/>
      </c>
      <c r="Z43" s="47" t="str">
        <f>IFERROR(VLOOKUP($A$1&amp;"-"&amp;ROW(AM42),基本資料填寫!$A:$DN,COLUMN(基本資料填寫!CN43),0),"")</f>
        <v/>
      </c>
      <c r="AA43" s="47" t="str">
        <f>IFERROR(VLOOKUP($A$1&amp;"-"&amp;ROW(AN42),基本資料填寫!$A:$DN,COLUMN(基本資料填寫!CO43),0),"")</f>
        <v/>
      </c>
      <c r="AB43" s="47" t="str">
        <f>IFERROR(VLOOKUP($A$1&amp;"-"&amp;ROW(AO42),基本資料填寫!$A:$DN,COLUMN(基本資料填寫!CP43),0),"")</f>
        <v/>
      </c>
    </row>
    <row r="44" spans="2:28" x14ac:dyDescent="0.3">
      <c r="B44" s="2" t="str">
        <f>IF(C44="","",COUNTA($C$2:C44))</f>
        <v/>
      </c>
      <c r="C44" s="47" t="str">
        <f>IFERROR(VLOOKUP($A$1&amp;"-"&amp;ROW(C43),基本資料填寫!$A:$DN,COLUMN(基本資料填寫!S44),0),"")</f>
        <v/>
      </c>
      <c r="D44" s="47" t="str">
        <f>IFERROR(VLOOKUP($A$1&amp;"-"&amp;ROW(D43),基本資料填寫!$A:$DN,COLUMN(基本資料填寫!V44),0),"")</f>
        <v/>
      </c>
      <c r="E44" s="47" t="str">
        <f>IFERROR(VLOOKUP($A$1&amp;"-"&amp;ROW(E43),基本資料填寫!$A:$DN,COLUMN(基本資料填寫!BW44),0),"")</f>
        <v/>
      </c>
      <c r="F44" s="47" t="str">
        <f>IFERROR(VLOOKUP($A$1&amp;"-"&amp;ROW(F43),基本資料填寫!$A:$DN,COLUMN(基本資料填寫!AN44),0),"")</f>
        <v/>
      </c>
      <c r="G44" s="47" t="str">
        <f>IFERROR(VLOOKUP($A$1&amp;"-"&amp;ROW(H43),基本資料填寫!$A:$DN,COLUMN(基本資料填寫!R44),0),"")</f>
        <v/>
      </c>
      <c r="H44" s="47" t="str">
        <f>IFERROR(VLOOKUP($A$1&amp;"-"&amp;ROW(X43),基本資料填寫!$A:$DN,COLUMN(基本資料填寫!BX44),0),"")</f>
        <v/>
      </c>
      <c r="I44" s="47" t="str">
        <f>IFERROR(VLOOKUP($A$1&amp;"-"&amp;ROW(P43),基本資料填寫!$A:$DN,COLUMN(基本資料填寫!Z44),0),"")</f>
        <v/>
      </c>
      <c r="J44" s="47" t="str">
        <f>IFERROR(VLOOKUP($A$1&amp;"-"&amp;ROW(Q43),基本資料填寫!$A:$DN,COLUMN(基本資料填寫!AA44),0),"")</f>
        <v/>
      </c>
      <c r="K44" s="47" t="str">
        <f>IFERROR(VLOOKUP($A$1&amp;"-"&amp;ROW(Y43),基本資料填寫!$A:$DN,COLUMN(基本資料填寫!BY44),0),"")</f>
        <v/>
      </c>
      <c r="L44" s="47" t="str">
        <f>IFERROR(VLOOKUP($A$1&amp;"-"&amp;ROW(Z43),基本資料填寫!$A:$DN,COLUMN(基本資料填寫!BZ44),0),"")</f>
        <v/>
      </c>
      <c r="M44" s="47" t="str">
        <f>IFERROR(VLOOKUP($A$1&amp;"-"&amp;ROW(AA43),基本資料填寫!$A:$DN,COLUMN(基本資料填寫!CA44),0),"")</f>
        <v/>
      </c>
      <c r="N44" s="47" t="str">
        <f>IFERROR(VLOOKUP($A$1&amp;"-"&amp;ROW(G43),基本資料填寫!$A:$DN,COLUMN(基本資料填寫!AO44),0),"")</f>
        <v/>
      </c>
      <c r="O44" s="47" t="str">
        <f>IFERROR(VLOOKUP($A$1&amp;"-"&amp;ROW(AB43),基本資料填寫!$A:$DN,COLUMN(基本資料填寫!CB44),0),"")</f>
        <v/>
      </c>
      <c r="P44" s="47" t="str">
        <f>IFERROR(VLOOKUP($A$1&amp;"-"&amp;ROW(AC43),基本資料填寫!$A:$DN,COLUMN(基本資料填寫!CC44),0),"")</f>
        <v/>
      </c>
      <c r="Q44" s="47" t="str">
        <f>IFERROR(VLOOKUP($A$1&amp;"-"&amp;ROW(AD43),基本資料填寫!$A:$DN,COLUMN(基本資料填寫!CD44),0),"")</f>
        <v/>
      </c>
      <c r="R44" s="47" t="str">
        <f>IFERROR(VLOOKUP($A$1&amp;"-"&amp;ROW(AE43),基本資料填寫!$A:$DN,COLUMN(基本資料填寫!CE44),0),"")</f>
        <v/>
      </c>
      <c r="S44" s="47" t="str">
        <f>IFERROR(VLOOKUP($A$1&amp;"-"&amp;ROW(AF43),基本資料填寫!$A:$DN,COLUMN(基本資料填寫!CF44),0),"")</f>
        <v/>
      </c>
      <c r="T44" s="47" t="str">
        <f>IFERROR(VLOOKUP($A$1&amp;"-"&amp;ROW(AG43),基本資料填寫!$A:$DN,COLUMN(基本資料填寫!CG44),0),"")</f>
        <v/>
      </c>
      <c r="U44" s="47" t="str">
        <f>IFERROR(VLOOKUP($A$1&amp;"-"&amp;ROW(AH43),基本資料填寫!$A:$DN,COLUMN(基本資料填寫!CH44),0),"")</f>
        <v/>
      </c>
      <c r="V44" s="47" t="str">
        <f>IFERROR(VLOOKUP($A$1&amp;"-"&amp;ROW(AI43),基本資料填寫!$A:$DN,COLUMN(基本資料填寫!CI44),0),"")</f>
        <v/>
      </c>
      <c r="W44" s="47" t="str">
        <f>IFERROR(VLOOKUP($A$1&amp;"-"&amp;ROW(E43),基本資料填寫!$A:$DN,COLUMN(基本資料填寫!O44),0),"")</f>
        <v/>
      </c>
      <c r="X44" s="47" t="str">
        <f>IFERROR(VLOOKUP($A$1&amp;"-"&amp;ROW(AJ43),基本資料填寫!$A:$DN,COLUMN(基本資料填寫!CJ44),0),"")</f>
        <v/>
      </c>
      <c r="Y44" s="47" t="str">
        <f>IFERROR(VLOOKUP($A$1&amp;"-"&amp;ROW(AK43),基本資料填寫!$A:$DN,COLUMN(基本資料填寫!CK44),0),"")</f>
        <v/>
      </c>
      <c r="Z44" s="47" t="str">
        <f>IFERROR(VLOOKUP($A$1&amp;"-"&amp;ROW(AM43),基本資料填寫!$A:$DN,COLUMN(基本資料填寫!CN44),0),"")</f>
        <v/>
      </c>
      <c r="AA44" s="47" t="str">
        <f>IFERROR(VLOOKUP($A$1&amp;"-"&amp;ROW(AN43),基本資料填寫!$A:$DN,COLUMN(基本資料填寫!CO44),0),"")</f>
        <v/>
      </c>
      <c r="AB44" s="47" t="str">
        <f>IFERROR(VLOOKUP($A$1&amp;"-"&amp;ROW(AO43),基本資料填寫!$A:$DN,COLUMN(基本資料填寫!CP44),0),"")</f>
        <v/>
      </c>
    </row>
    <row r="45" spans="2:28" x14ac:dyDescent="0.3">
      <c r="B45" s="2" t="str">
        <f>IF(C45="","",COUNTA($C$2:C45))</f>
        <v/>
      </c>
      <c r="C45" s="47" t="str">
        <f>IFERROR(VLOOKUP($A$1&amp;"-"&amp;ROW(C44),基本資料填寫!$A:$DN,COLUMN(基本資料填寫!S45),0),"")</f>
        <v/>
      </c>
      <c r="D45" s="47" t="str">
        <f>IFERROR(VLOOKUP($A$1&amp;"-"&amp;ROW(D44),基本資料填寫!$A:$DN,COLUMN(基本資料填寫!V45),0),"")</f>
        <v/>
      </c>
      <c r="E45" s="47" t="str">
        <f>IFERROR(VLOOKUP($A$1&amp;"-"&amp;ROW(E44),基本資料填寫!$A:$DN,COLUMN(基本資料填寫!BW45),0),"")</f>
        <v/>
      </c>
      <c r="F45" s="47" t="str">
        <f>IFERROR(VLOOKUP($A$1&amp;"-"&amp;ROW(F44),基本資料填寫!$A:$DN,COLUMN(基本資料填寫!AN45),0),"")</f>
        <v/>
      </c>
      <c r="G45" s="47" t="str">
        <f>IFERROR(VLOOKUP($A$1&amp;"-"&amp;ROW(H44),基本資料填寫!$A:$DN,COLUMN(基本資料填寫!R45),0),"")</f>
        <v/>
      </c>
      <c r="H45" s="47" t="str">
        <f>IFERROR(VLOOKUP($A$1&amp;"-"&amp;ROW(X44),基本資料填寫!$A:$DN,COLUMN(基本資料填寫!BX45),0),"")</f>
        <v/>
      </c>
      <c r="I45" s="47" t="str">
        <f>IFERROR(VLOOKUP($A$1&amp;"-"&amp;ROW(P44),基本資料填寫!$A:$DN,COLUMN(基本資料填寫!Z45),0),"")</f>
        <v/>
      </c>
      <c r="J45" s="47" t="str">
        <f>IFERROR(VLOOKUP($A$1&amp;"-"&amp;ROW(Q44),基本資料填寫!$A:$DN,COLUMN(基本資料填寫!AA45),0),"")</f>
        <v/>
      </c>
      <c r="K45" s="47" t="str">
        <f>IFERROR(VLOOKUP($A$1&amp;"-"&amp;ROW(Y44),基本資料填寫!$A:$DN,COLUMN(基本資料填寫!BY45),0),"")</f>
        <v/>
      </c>
      <c r="L45" s="47" t="str">
        <f>IFERROR(VLOOKUP($A$1&amp;"-"&amp;ROW(Z44),基本資料填寫!$A:$DN,COLUMN(基本資料填寫!BZ45),0),"")</f>
        <v/>
      </c>
      <c r="M45" s="47" t="str">
        <f>IFERROR(VLOOKUP($A$1&amp;"-"&amp;ROW(AA44),基本資料填寫!$A:$DN,COLUMN(基本資料填寫!CA45),0),"")</f>
        <v/>
      </c>
      <c r="N45" s="47" t="str">
        <f>IFERROR(VLOOKUP($A$1&amp;"-"&amp;ROW(G44),基本資料填寫!$A:$DN,COLUMN(基本資料填寫!AO45),0),"")</f>
        <v/>
      </c>
      <c r="O45" s="47" t="str">
        <f>IFERROR(VLOOKUP($A$1&amp;"-"&amp;ROW(AB44),基本資料填寫!$A:$DN,COLUMN(基本資料填寫!CB45),0),"")</f>
        <v/>
      </c>
      <c r="P45" s="47" t="str">
        <f>IFERROR(VLOOKUP($A$1&amp;"-"&amp;ROW(AC44),基本資料填寫!$A:$DN,COLUMN(基本資料填寫!CC45),0),"")</f>
        <v/>
      </c>
      <c r="Q45" s="47" t="str">
        <f>IFERROR(VLOOKUP($A$1&amp;"-"&amp;ROW(AD44),基本資料填寫!$A:$DN,COLUMN(基本資料填寫!CD45),0),"")</f>
        <v/>
      </c>
      <c r="R45" s="47" t="str">
        <f>IFERROR(VLOOKUP($A$1&amp;"-"&amp;ROW(AE44),基本資料填寫!$A:$DN,COLUMN(基本資料填寫!CE45),0),"")</f>
        <v/>
      </c>
      <c r="S45" s="47" t="str">
        <f>IFERROR(VLOOKUP($A$1&amp;"-"&amp;ROW(AF44),基本資料填寫!$A:$DN,COLUMN(基本資料填寫!CF45),0),"")</f>
        <v/>
      </c>
      <c r="T45" s="47" t="str">
        <f>IFERROR(VLOOKUP($A$1&amp;"-"&amp;ROW(AG44),基本資料填寫!$A:$DN,COLUMN(基本資料填寫!CG45),0),"")</f>
        <v/>
      </c>
      <c r="U45" s="47" t="str">
        <f>IFERROR(VLOOKUP($A$1&amp;"-"&amp;ROW(AH44),基本資料填寫!$A:$DN,COLUMN(基本資料填寫!CH45),0),"")</f>
        <v/>
      </c>
      <c r="V45" s="47" t="str">
        <f>IFERROR(VLOOKUP($A$1&amp;"-"&amp;ROW(AI44),基本資料填寫!$A:$DN,COLUMN(基本資料填寫!CI45),0),"")</f>
        <v/>
      </c>
      <c r="W45" s="47" t="str">
        <f>IFERROR(VLOOKUP($A$1&amp;"-"&amp;ROW(E44),基本資料填寫!$A:$DN,COLUMN(基本資料填寫!O45),0),"")</f>
        <v/>
      </c>
      <c r="X45" s="47" t="str">
        <f>IFERROR(VLOOKUP($A$1&amp;"-"&amp;ROW(AJ44),基本資料填寫!$A:$DN,COLUMN(基本資料填寫!CJ45),0),"")</f>
        <v/>
      </c>
      <c r="Y45" s="47" t="str">
        <f>IFERROR(VLOOKUP($A$1&amp;"-"&amp;ROW(AK44),基本資料填寫!$A:$DN,COLUMN(基本資料填寫!CK45),0),"")</f>
        <v/>
      </c>
      <c r="Z45" s="47" t="str">
        <f>IFERROR(VLOOKUP($A$1&amp;"-"&amp;ROW(AM44),基本資料填寫!$A:$DN,COLUMN(基本資料填寫!CN45),0),"")</f>
        <v/>
      </c>
      <c r="AA45" s="47" t="str">
        <f>IFERROR(VLOOKUP($A$1&amp;"-"&amp;ROW(AN44),基本資料填寫!$A:$DN,COLUMN(基本資料填寫!CO45),0),"")</f>
        <v/>
      </c>
      <c r="AB45" s="47" t="str">
        <f>IFERROR(VLOOKUP($A$1&amp;"-"&amp;ROW(AO44),基本資料填寫!$A:$DN,COLUMN(基本資料填寫!CP45),0),"")</f>
        <v/>
      </c>
    </row>
    <row r="46" spans="2:28" x14ac:dyDescent="0.3">
      <c r="B46" s="2" t="str">
        <f>IF(C46="","",COUNTA($C$2:C46))</f>
        <v/>
      </c>
      <c r="C46" s="47" t="str">
        <f>IFERROR(VLOOKUP($A$1&amp;"-"&amp;ROW(C45),基本資料填寫!$A:$DN,COLUMN(基本資料填寫!S46),0),"")</f>
        <v/>
      </c>
      <c r="D46" s="47" t="str">
        <f>IFERROR(VLOOKUP($A$1&amp;"-"&amp;ROW(D45),基本資料填寫!$A:$DN,COLUMN(基本資料填寫!V46),0),"")</f>
        <v/>
      </c>
      <c r="E46" s="47" t="str">
        <f>IFERROR(VLOOKUP($A$1&amp;"-"&amp;ROW(E45),基本資料填寫!$A:$DN,COLUMN(基本資料填寫!BW46),0),"")</f>
        <v/>
      </c>
      <c r="F46" s="47" t="str">
        <f>IFERROR(VLOOKUP($A$1&amp;"-"&amp;ROW(F45),基本資料填寫!$A:$DN,COLUMN(基本資料填寫!AN46),0),"")</f>
        <v/>
      </c>
      <c r="G46" s="47" t="str">
        <f>IFERROR(VLOOKUP($A$1&amp;"-"&amp;ROW(H45),基本資料填寫!$A:$DN,COLUMN(基本資料填寫!R46),0),"")</f>
        <v/>
      </c>
      <c r="H46" s="47" t="str">
        <f>IFERROR(VLOOKUP($A$1&amp;"-"&amp;ROW(X45),基本資料填寫!$A:$DN,COLUMN(基本資料填寫!BX46),0),"")</f>
        <v/>
      </c>
      <c r="I46" s="47" t="str">
        <f>IFERROR(VLOOKUP($A$1&amp;"-"&amp;ROW(P45),基本資料填寫!$A:$DN,COLUMN(基本資料填寫!Z46),0),"")</f>
        <v/>
      </c>
      <c r="J46" s="47" t="str">
        <f>IFERROR(VLOOKUP($A$1&amp;"-"&amp;ROW(Q45),基本資料填寫!$A:$DN,COLUMN(基本資料填寫!AA46),0),"")</f>
        <v/>
      </c>
      <c r="K46" s="47" t="str">
        <f>IFERROR(VLOOKUP($A$1&amp;"-"&amp;ROW(Y45),基本資料填寫!$A:$DN,COLUMN(基本資料填寫!BY46),0),"")</f>
        <v/>
      </c>
      <c r="L46" s="47" t="str">
        <f>IFERROR(VLOOKUP($A$1&amp;"-"&amp;ROW(Z45),基本資料填寫!$A:$DN,COLUMN(基本資料填寫!BZ46),0),"")</f>
        <v/>
      </c>
      <c r="M46" s="47" t="str">
        <f>IFERROR(VLOOKUP($A$1&amp;"-"&amp;ROW(AA45),基本資料填寫!$A:$DN,COLUMN(基本資料填寫!CA46),0),"")</f>
        <v/>
      </c>
      <c r="N46" s="47" t="str">
        <f>IFERROR(VLOOKUP($A$1&amp;"-"&amp;ROW(G45),基本資料填寫!$A:$DN,COLUMN(基本資料填寫!AO46),0),"")</f>
        <v/>
      </c>
      <c r="O46" s="47" t="str">
        <f>IFERROR(VLOOKUP($A$1&amp;"-"&amp;ROW(AB45),基本資料填寫!$A:$DN,COLUMN(基本資料填寫!CB46),0),"")</f>
        <v/>
      </c>
      <c r="P46" s="47" t="str">
        <f>IFERROR(VLOOKUP($A$1&amp;"-"&amp;ROW(AC45),基本資料填寫!$A:$DN,COLUMN(基本資料填寫!CC46),0),"")</f>
        <v/>
      </c>
      <c r="Q46" s="47" t="str">
        <f>IFERROR(VLOOKUP($A$1&amp;"-"&amp;ROW(AD45),基本資料填寫!$A:$DN,COLUMN(基本資料填寫!CD46),0),"")</f>
        <v/>
      </c>
      <c r="R46" s="47" t="str">
        <f>IFERROR(VLOOKUP($A$1&amp;"-"&amp;ROW(AE45),基本資料填寫!$A:$DN,COLUMN(基本資料填寫!CE46),0),"")</f>
        <v/>
      </c>
      <c r="S46" s="47" t="str">
        <f>IFERROR(VLOOKUP($A$1&amp;"-"&amp;ROW(AF45),基本資料填寫!$A:$DN,COLUMN(基本資料填寫!CF46),0),"")</f>
        <v/>
      </c>
      <c r="T46" s="47" t="str">
        <f>IFERROR(VLOOKUP($A$1&amp;"-"&amp;ROW(AG45),基本資料填寫!$A:$DN,COLUMN(基本資料填寫!CG46),0),"")</f>
        <v/>
      </c>
      <c r="U46" s="47" t="str">
        <f>IFERROR(VLOOKUP($A$1&amp;"-"&amp;ROW(AH45),基本資料填寫!$A:$DN,COLUMN(基本資料填寫!CH46),0),"")</f>
        <v/>
      </c>
      <c r="V46" s="47" t="str">
        <f>IFERROR(VLOOKUP($A$1&amp;"-"&amp;ROW(AI45),基本資料填寫!$A:$DN,COLUMN(基本資料填寫!CI46),0),"")</f>
        <v/>
      </c>
      <c r="W46" s="47" t="str">
        <f>IFERROR(VLOOKUP($A$1&amp;"-"&amp;ROW(E45),基本資料填寫!$A:$DN,COLUMN(基本資料填寫!O46),0),"")</f>
        <v/>
      </c>
      <c r="X46" s="47" t="str">
        <f>IFERROR(VLOOKUP($A$1&amp;"-"&amp;ROW(AJ45),基本資料填寫!$A:$DN,COLUMN(基本資料填寫!CJ46),0),"")</f>
        <v/>
      </c>
      <c r="Y46" s="47" t="str">
        <f>IFERROR(VLOOKUP($A$1&amp;"-"&amp;ROW(AK45),基本資料填寫!$A:$DN,COLUMN(基本資料填寫!CK46),0),"")</f>
        <v/>
      </c>
      <c r="Z46" s="47" t="str">
        <f>IFERROR(VLOOKUP($A$1&amp;"-"&amp;ROW(AM45),基本資料填寫!$A:$DN,COLUMN(基本資料填寫!CN46),0),"")</f>
        <v/>
      </c>
      <c r="AA46" s="47" t="str">
        <f>IFERROR(VLOOKUP($A$1&amp;"-"&amp;ROW(AN45),基本資料填寫!$A:$DN,COLUMN(基本資料填寫!CO46),0),"")</f>
        <v/>
      </c>
      <c r="AB46" s="47" t="str">
        <f>IFERROR(VLOOKUP($A$1&amp;"-"&amp;ROW(AO45),基本資料填寫!$A:$DN,COLUMN(基本資料填寫!CP46),0),"")</f>
        <v/>
      </c>
    </row>
    <row r="47" spans="2:28" x14ac:dyDescent="0.3">
      <c r="B47" s="2" t="str">
        <f>IF(C47="","",COUNTA($C$2:C47))</f>
        <v/>
      </c>
      <c r="C47" s="47" t="str">
        <f>IFERROR(VLOOKUP($A$1&amp;"-"&amp;ROW(C46),基本資料填寫!$A:$DN,COLUMN(基本資料填寫!S47),0),"")</f>
        <v/>
      </c>
      <c r="D47" s="47" t="str">
        <f>IFERROR(VLOOKUP($A$1&amp;"-"&amp;ROW(D46),基本資料填寫!$A:$DN,COLUMN(基本資料填寫!V47),0),"")</f>
        <v/>
      </c>
      <c r="E47" s="47" t="str">
        <f>IFERROR(VLOOKUP($A$1&amp;"-"&amp;ROW(E46),基本資料填寫!$A:$DN,COLUMN(基本資料填寫!BW47),0),"")</f>
        <v/>
      </c>
      <c r="F47" s="47" t="str">
        <f>IFERROR(VLOOKUP($A$1&amp;"-"&amp;ROW(F46),基本資料填寫!$A:$DN,COLUMN(基本資料填寫!AN47),0),"")</f>
        <v/>
      </c>
      <c r="G47" s="47" t="str">
        <f>IFERROR(VLOOKUP($A$1&amp;"-"&amp;ROW(H46),基本資料填寫!$A:$DN,COLUMN(基本資料填寫!R47),0),"")</f>
        <v/>
      </c>
      <c r="H47" s="47" t="str">
        <f>IFERROR(VLOOKUP($A$1&amp;"-"&amp;ROW(X46),基本資料填寫!$A:$DN,COLUMN(基本資料填寫!BX47),0),"")</f>
        <v/>
      </c>
      <c r="I47" s="47" t="str">
        <f>IFERROR(VLOOKUP($A$1&amp;"-"&amp;ROW(P46),基本資料填寫!$A:$DN,COLUMN(基本資料填寫!Z47),0),"")</f>
        <v/>
      </c>
      <c r="J47" s="47" t="str">
        <f>IFERROR(VLOOKUP($A$1&amp;"-"&amp;ROW(Q46),基本資料填寫!$A:$DN,COLUMN(基本資料填寫!AA47),0),"")</f>
        <v/>
      </c>
      <c r="K47" s="47" t="str">
        <f>IFERROR(VLOOKUP($A$1&amp;"-"&amp;ROW(Y46),基本資料填寫!$A:$DN,COLUMN(基本資料填寫!BY47),0),"")</f>
        <v/>
      </c>
      <c r="L47" s="47" t="str">
        <f>IFERROR(VLOOKUP($A$1&amp;"-"&amp;ROW(Z46),基本資料填寫!$A:$DN,COLUMN(基本資料填寫!BZ47),0),"")</f>
        <v/>
      </c>
      <c r="M47" s="47" t="str">
        <f>IFERROR(VLOOKUP($A$1&amp;"-"&amp;ROW(AA46),基本資料填寫!$A:$DN,COLUMN(基本資料填寫!CA47),0),"")</f>
        <v/>
      </c>
      <c r="N47" s="47" t="str">
        <f>IFERROR(VLOOKUP($A$1&amp;"-"&amp;ROW(G46),基本資料填寫!$A:$DN,COLUMN(基本資料填寫!AO47),0),"")</f>
        <v/>
      </c>
      <c r="O47" s="47" t="str">
        <f>IFERROR(VLOOKUP($A$1&amp;"-"&amp;ROW(AB46),基本資料填寫!$A:$DN,COLUMN(基本資料填寫!CB47),0),"")</f>
        <v/>
      </c>
      <c r="P47" s="47" t="str">
        <f>IFERROR(VLOOKUP($A$1&amp;"-"&amp;ROW(AC46),基本資料填寫!$A:$DN,COLUMN(基本資料填寫!CC47),0),"")</f>
        <v/>
      </c>
      <c r="Q47" s="47" t="str">
        <f>IFERROR(VLOOKUP($A$1&amp;"-"&amp;ROW(AD46),基本資料填寫!$A:$DN,COLUMN(基本資料填寫!CD47),0),"")</f>
        <v/>
      </c>
      <c r="R47" s="47" t="str">
        <f>IFERROR(VLOOKUP($A$1&amp;"-"&amp;ROW(AE46),基本資料填寫!$A:$DN,COLUMN(基本資料填寫!CE47),0),"")</f>
        <v/>
      </c>
      <c r="S47" s="47" t="str">
        <f>IFERROR(VLOOKUP($A$1&amp;"-"&amp;ROW(AF46),基本資料填寫!$A:$DN,COLUMN(基本資料填寫!CF47),0),"")</f>
        <v/>
      </c>
      <c r="T47" s="47" t="str">
        <f>IFERROR(VLOOKUP($A$1&amp;"-"&amp;ROW(AG46),基本資料填寫!$A:$DN,COLUMN(基本資料填寫!CG47),0),"")</f>
        <v/>
      </c>
      <c r="U47" s="47" t="str">
        <f>IFERROR(VLOOKUP($A$1&amp;"-"&amp;ROW(AH46),基本資料填寫!$A:$DN,COLUMN(基本資料填寫!CH47),0),"")</f>
        <v/>
      </c>
      <c r="V47" s="47" t="str">
        <f>IFERROR(VLOOKUP($A$1&amp;"-"&amp;ROW(AI46),基本資料填寫!$A:$DN,COLUMN(基本資料填寫!CI47),0),"")</f>
        <v/>
      </c>
      <c r="W47" s="47" t="str">
        <f>IFERROR(VLOOKUP($A$1&amp;"-"&amp;ROW(E46),基本資料填寫!$A:$DN,COLUMN(基本資料填寫!O47),0),"")</f>
        <v/>
      </c>
      <c r="X47" s="47" t="str">
        <f>IFERROR(VLOOKUP($A$1&amp;"-"&amp;ROW(AJ46),基本資料填寫!$A:$DN,COLUMN(基本資料填寫!CJ47),0),"")</f>
        <v/>
      </c>
      <c r="Y47" s="47" t="str">
        <f>IFERROR(VLOOKUP($A$1&amp;"-"&amp;ROW(AK46),基本資料填寫!$A:$DN,COLUMN(基本資料填寫!CK47),0),"")</f>
        <v/>
      </c>
      <c r="Z47" s="47" t="str">
        <f>IFERROR(VLOOKUP($A$1&amp;"-"&amp;ROW(AM46),基本資料填寫!$A:$DN,COLUMN(基本資料填寫!CN47),0),"")</f>
        <v/>
      </c>
      <c r="AA47" s="47" t="str">
        <f>IFERROR(VLOOKUP($A$1&amp;"-"&amp;ROW(AN46),基本資料填寫!$A:$DN,COLUMN(基本資料填寫!CO47),0),"")</f>
        <v/>
      </c>
      <c r="AB47" s="47" t="str">
        <f>IFERROR(VLOOKUP($A$1&amp;"-"&amp;ROW(AO46),基本資料填寫!$A:$DN,COLUMN(基本資料填寫!CP47),0),"")</f>
        <v/>
      </c>
    </row>
    <row r="48" spans="2:28" x14ac:dyDescent="0.3">
      <c r="B48" s="2" t="str">
        <f>IF(C48="","",COUNTA($C$2:C48))</f>
        <v/>
      </c>
      <c r="C48" s="47" t="str">
        <f>IFERROR(VLOOKUP($A$1&amp;"-"&amp;ROW(C47),基本資料填寫!$A:$DN,COLUMN(基本資料填寫!S48),0),"")</f>
        <v/>
      </c>
      <c r="D48" s="47" t="str">
        <f>IFERROR(VLOOKUP($A$1&amp;"-"&amp;ROW(D47),基本資料填寫!$A:$DN,COLUMN(基本資料填寫!V48),0),"")</f>
        <v/>
      </c>
      <c r="E48" s="47" t="str">
        <f>IFERROR(VLOOKUP($A$1&amp;"-"&amp;ROW(E47),基本資料填寫!$A:$DN,COLUMN(基本資料填寫!BW48),0),"")</f>
        <v/>
      </c>
      <c r="F48" s="47" t="str">
        <f>IFERROR(VLOOKUP($A$1&amp;"-"&amp;ROW(F47),基本資料填寫!$A:$DN,COLUMN(基本資料填寫!AN48),0),"")</f>
        <v/>
      </c>
      <c r="G48" s="47" t="str">
        <f>IFERROR(VLOOKUP($A$1&amp;"-"&amp;ROW(H47),基本資料填寫!$A:$DN,COLUMN(基本資料填寫!R48),0),"")</f>
        <v/>
      </c>
      <c r="H48" s="47" t="str">
        <f>IFERROR(VLOOKUP($A$1&amp;"-"&amp;ROW(X47),基本資料填寫!$A:$DN,COLUMN(基本資料填寫!BX48),0),"")</f>
        <v/>
      </c>
      <c r="I48" s="47" t="str">
        <f>IFERROR(VLOOKUP($A$1&amp;"-"&amp;ROW(P47),基本資料填寫!$A:$DN,COLUMN(基本資料填寫!Z48),0),"")</f>
        <v/>
      </c>
      <c r="J48" s="47" t="str">
        <f>IFERROR(VLOOKUP($A$1&amp;"-"&amp;ROW(Q47),基本資料填寫!$A:$DN,COLUMN(基本資料填寫!AA48),0),"")</f>
        <v/>
      </c>
      <c r="K48" s="47" t="str">
        <f>IFERROR(VLOOKUP($A$1&amp;"-"&amp;ROW(Y47),基本資料填寫!$A:$DN,COLUMN(基本資料填寫!BY48),0),"")</f>
        <v/>
      </c>
      <c r="L48" s="47" t="str">
        <f>IFERROR(VLOOKUP($A$1&amp;"-"&amp;ROW(Z47),基本資料填寫!$A:$DN,COLUMN(基本資料填寫!BZ48),0),"")</f>
        <v/>
      </c>
      <c r="M48" s="47" t="str">
        <f>IFERROR(VLOOKUP($A$1&amp;"-"&amp;ROW(AA47),基本資料填寫!$A:$DN,COLUMN(基本資料填寫!CA48),0),"")</f>
        <v/>
      </c>
      <c r="N48" s="47" t="str">
        <f>IFERROR(VLOOKUP($A$1&amp;"-"&amp;ROW(G47),基本資料填寫!$A:$DN,COLUMN(基本資料填寫!AO48),0),"")</f>
        <v/>
      </c>
      <c r="O48" s="47" t="str">
        <f>IFERROR(VLOOKUP($A$1&amp;"-"&amp;ROW(AB47),基本資料填寫!$A:$DN,COLUMN(基本資料填寫!CB48),0),"")</f>
        <v/>
      </c>
      <c r="P48" s="47" t="str">
        <f>IFERROR(VLOOKUP($A$1&amp;"-"&amp;ROW(AC47),基本資料填寫!$A:$DN,COLUMN(基本資料填寫!CC48),0),"")</f>
        <v/>
      </c>
      <c r="Q48" s="47" t="str">
        <f>IFERROR(VLOOKUP($A$1&amp;"-"&amp;ROW(AD47),基本資料填寫!$A:$DN,COLUMN(基本資料填寫!CD48),0),"")</f>
        <v/>
      </c>
      <c r="R48" s="47" t="str">
        <f>IFERROR(VLOOKUP($A$1&amp;"-"&amp;ROW(AE47),基本資料填寫!$A:$DN,COLUMN(基本資料填寫!CE48),0),"")</f>
        <v/>
      </c>
      <c r="S48" s="47" t="str">
        <f>IFERROR(VLOOKUP($A$1&amp;"-"&amp;ROW(AF47),基本資料填寫!$A:$DN,COLUMN(基本資料填寫!CF48),0),"")</f>
        <v/>
      </c>
      <c r="T48" s="47" t="str">
        <f>IFERROR(VLOOKUP($A$1&amp;"-"&amp;ROW(AG47),基本資料填寫!$A:$DN,COLUMN(基本資料填寫!CG48),0),"")</f>
        <v/>
      </c>
      <c r="U48" s="47" t="str">
        <f>IFERROR(VLOOKUP($A$1&amp;"-"&amp;ROW(AH47),基本資料填寫!$A:$DN,COLUMN(基本資料填寫!CH48),0),"")</f>
        <v/>
      </c>
      <c r="V48" s="47" t="str">
        <f>IFERROR(VLOOKUP($A$1&amp;"-"&amp;ROW(AI47),基本資料填寫!$A:$DN,COLUMN(基本資料填寫!CI48),0),"")</f>
        <v/>
      </c>
      <c r="W48" s="47" t="str">
        <f>IFERROR(VLOOKUP($A$1&amp;"-"&amp;ROW(E47),基本資料填寫!$A:$DN,COLUMN(基本資料填寫!O48),0),"")</f>
        <v/>
      </c>
      <c r="X48" s="47" t="str">
        <f>IFERROR(VLOOKUP($A$1&amp;"-"&amp;ROW(AJ47),基本資料填寫!$A:$DN,COLUMN(基本資料填寫!CJ48),0),"")</f>
        <v/>
      </c>
      <c r="Y48" s="47" t="str">
        <f>IFERROR(VLOOKUP($A$1&amp;"-"&amp;ROW(AK47),基本資料填寫!$A:$DN,COLUMN(基本資料填寫!CK48),0),"")</f>
        <v/>
      </c>
      <c r="Z48" s="47" t="str">
        <f>IFERROR(VLOOKUP($A$1&amp;"-"&amp;ROW(AM47),基本資料填寫!$A:$DN,COLUMN(基本資料填寫!CN48),0),"")</f>
        <v/>
      </c>
      <c r="AA48" s="47" t="str">
        <f>IFERROR(VLOOKUP($A$1&amp;"-"&amp;ROW(AN47),基本資料填寫!$A:$DN,COLUMN(基本資料填寫!CO48),0),"")</f>
        <v/>
      </c>
      <c r="AB48" s="47" t="str">
        <f>IFERROR(VLOOKUP($A$1&amp;"-"&amp;ROW(AO47),基本資料填寫!$A:$DN,COLUMN(基本資料填寫!CP48),0),"")</f>
        <v/>
      </c>
    </row>
    <row r="49" spans="2:28" x14ac:dyDescent="0.3">
      <c r="B49" s="2" t="str">
        <f>IF(C49="","",COUNTA($C$2:C49))</f>
        <v/>
      </c>
      <c r="C49" s="47" t="str">
        <f>IFERROR(VLOOKUP($A$1&amp;"-"&amp;ROW(C48),基本資料填寫!$A:$DN,COLUMN(基本資料填寫!S49),0),"")</f>
        <v/>
      </c>
      <c r="D49" s="47" t="str">
        <f>IFERROR(VLOOKUP($A$1&amp;"-"&amp;ROW(D48),基本資料填寫!$A:$DN,COLUMN(基本資料填寫!V49),0),"")</f>
        <v/>
      </c>
      <c r="E49" s="47" t="str">
        <f>IFERROR(VLOOKUP($A$1&amp;"-"&amp;ROW(E48),基本資料填寫!$A:$DN,COLUMN(基本資料填寫!BW49),0),"")</f>
        <v/>
      </c>
      <c r="F49" s="47" t="str">
        <f>IFERROR(VLOOKUP($A$1&amp;"-"&amp;ROW(F48),基本資料填寫!$A:$DN,COLUMN(基本資料填寫!AN49),0),"")</f>
        <v/>
      </c>
      <c r="G49" s="47" t="str">
        <f>IFERROR(VLOOKUP($A$1&amp;"-"&amp;ROW(H48),基本資料填寫!$A:$DN,COLUMN(基本資料填寫!R49),0),"")</f>
        <v/>
      </c>
      <c r="H49" s="47" t="str">
        <f>IFERROR(VLOOKUP($A$1&amp;"-"&amp;ROW(X48),基本資料填寫!$A:$DN,COLUMN(基本資料填寫!BX49),0),"")</f>
        <v/>
      </c>
      <c r="I49" s="47" t="str">
        <f>IFERROR(VLOOKUP($A$1&amp;"-"&amp;ROW(P48),基本資料填寫!$A:$DN,COLUMN(基本資料填寫!Z49),0),"")</f>
        <v/>
      </c>
      <c r="J49" s="47" t="str">
        <f>IFERROR(VLOOKUP($A$1&amp;"-"&amp;ROW(Q48),基本資料填寫!$A:$DN,COLUMN(基本資料填寫!AA49),0),"")</f>
        <v/>
      </c>
      <c r="K49" s="47" t="str">
        <f>IFERROR(VLOOKUP($A$1&amp;"-"&amp;ROW(Y48),基本資料填寫!$A:$DN,COLUMN(基本資料填寫!BY49),0),"")</f>
        <v/>
      </c>
      <c r="L49" s="47" t="str">
        <f>IFERROR(VLOOKUP($A$1&amp;"-"&amp;ROW(Z48),基本資料填寫!$A:$DN,COLUMN(基本資料填寫!BZ49),0),"")</f>
        <v/>
      </c>
      <c r="M49" s="47" t="str">
        <f>IFERROR(VLOOKUP($A$1&amp;"-"&amp;ROW(AA48),基本資料填寫!$A:$DN,COLUMN(基本資料填寫!CA49),0),"")</f>
        <v/>
      </c>
      <c r="N49" s="47" t="str">
        <f>IFERROR(VLOOKUP($A$1&amp;"-"&amp;ROW(G48),基本資料填寫!$A:$DN,COLUMN(基本資料填寫!AO49),0),"")</f>
        <v/>
      </c>
      <c r="O49" s="47" t="str">
        <f>IFERROR(VLOOKUP($A$1&amp;"-"&amp;ROW(AB48),基本資料填寫!$A:$DN,COLUMN(基本資料填寫!CB49),0),"")</f>
        <v/>
      </c>
      <c r="P49" s="47" t="str">
        <f>IFERROR(VLOOKUP($A$1&amp;"-"&amp;ROW(AC48),基本資料填寫!$A:$DN,COLUMN(基本資料填寫!CC49),0),"")</f>
        <v/>
      </c>
      <c r="Q49" s="47" t="str">
        <f>IFERROR(VLOOKUP($A$1&amp;"-"&amp;ROW(AD48),基本資料填寫!$A:$DN,COLUMN(基本資料填寫!CD49),0),"")</f>
        <v/>
      </c>
      <c r="R49" s="47" t="str">
        <f>IFERROR(VLOOKUP($A$1&amp;"-"&amp;ROW(AE48),基本資料填寫!$A:$DN,COLUMN(基本資料填寫!CE49),0),"")</f>
        <v/>
      </c>
      <c r="S49" s="47" t="str">
        <f>IFERROR(VLOOKUP($A$1&amp;"-"&amp;ROW(AF48),基本資料填寫!$A:$DN,COLUMN(基本資料填寫!CF49),0),"")</f>
        <v/>
      </c>
      <c r="T49" s="47" t="str">
        <f>IFERROR(VLOOKUP($A$1&amp;"-"&amp;ROW(AG48),基本資料填寫!$A:$DN,COLUMN(基本資料填寫!CG49),0),"")</f>
        <v/>
      </c>
      <c r="U49" s="47" t="str">
        <f>IFERROR(VLOOKUP($A$1&amp;"-"&amp;ROW(AH48),基本資料填寫!$A:$DN,COLUMN(基本資料填寫!CH49),0),"")</f>
        <v/>
      </c>
      <c r="V49" s="47" t="str">
        <f>IFERROR(VLOOKUP($A$1&amp;"-"&amp;ROW(AI48),基本資料填寫!$A:$DN,COLUMN(基本資料填寫!CI49),0),"")</f>
        <v/>
      </c>
      <c r="W49" s="47" t="str">
        <f>IFERROR(VLOOKUP($A$1&amp;"-"&amp;ROW(E48),基本資料填寫!$A:$DN,COLUMN(基本資料填寫!O49),0),"")</f>
        <v/>
      </c>
      <c r="X49" s="47" t="str">
        <f>IFERROR(VLOOKUP($A$1&amp;"-"&amp;ROW(AJ48),基本資料填寫!$A:$DN,COLUMN(基本資料填寫!CJ49),0),"")</f>
        <v/>
      </c>
      <c r="Y49" s="47" t="str">
        <f>IFERROR(VLOOKUP($A$1&amp;"-"&amp;ROW(AK48),基本資料填寫!$A:$DN,COLUMN(基本資料填寫!CK49),0),"")</f>
        <v/>
      </c>
      <c r="Z49" s="47" t="str">
        <f>IFERROR(VLOOKUP($A$1&amp;"-"&amp;ROW(AM48),基本資料填寫!$A:$DN,COLUMN(基本資料填寫!CN49),0),"")</f>
        <v/>
      </c>
      <c r="AA49" s="47" t="str">
        <f>IFERROR(VLOOKUP($A$1&amp;"-"&amp;ROW(AN48),基本資料填寫!$A:$DN,COLUMN(基本資料填寫!CO49),0),"")</f>
        <v/>
      </c>
      <c r="AB49" s="47" t="str">
        <f>IFERROR(VLOOKUP($A$1&amp;"-"&amp;ROW(AO48),基本資料填寫!$A:$DN,COLUMN(基本資料填寫!CP49),0),"")</f>
        <v/>
      </c>
    </row>
    <row r="50" spans="2:28" x14ac:dyDescent="0.3">
      <c r="B50" s="2" t="str">
        <f>IF(C50="","",COUNTA($C$2:C50))</f>
        <v/>
      </c>
      <c r="C50" s="47" t="str">
        <f>IFERROR(VLOOKUP($A$1&amp;"-"&amp;ROW(C49),基本資料填寫!$A:$DN,COLUMN(基本資料填寫!S50),0),"")</f>
        <v/>
      </c>
      <c r="D50" s="47" t="str">
        <f>IFERROR(VLOOKUP($A$1&amp;"-"&amp;ROW(D49),基本資料填寫!$A:$DN,COLUMN(基本資料填寫!V50),0),"")</f>
        <v/>
      </c>
      <c r="E50" s="47" t="str">
        <f>IFERROR(VLOOKUP($A$1&amp;"-"&amp;ROW(E49),基本資料填寫!$A:$DN,COLUMN(基本資料填寫!BW50),0),"")</f>
        <v/>
      </c>
      <c r="F50" s="47" t="str">
        <f>IFERROR(VLOOKUP($A$1&amp;"-"&amp;ROW(F49),基本資料填寫!$A:$DN,COLUMN(基本資料填寫!AN50),0),"")</f>
        <v/>
      </c>
      <c r="G50" s="47" t="str">
        <f>IFERROR(VLOOKUP($A$1&amp;"-"&amp;ROW(H49),基本資料填寫!$A:$DN,COLUMN(基本資料填寫!R50),0),"")</f>
        <v/>
      </c>
      <c r="H50" s="47" t="str">
        <f>IFERROR(VLOOKUP($A$1&amp;"-"&amp;ROW(X49),基本資料填寫!$A:$DN,COLUMN(基本資料填寫!BX50),0),"")</f>
        <v/>
      </c>
      <c r="I50" s="47" t="str">
        <f>IFERROR(VLOOKUP($A$1&amp;"-"&amp;ROW(P49),基本資料填寫!$A:$DN,COLUMN(基本資料填寫!Z50),0),"")</f>
        <v/>
      </c>
      <c r="J50" s="47" t="str">
        <f>IFERROR(VLOOKUP($A$1&amp;"-"&amp;ROW(Q49),基本資料填寫!$A:$DN,COLUMN(基本資料填寫!AA50),0),"")</f>
        <v/>
      </c>
      <c r="K50" s="47" t="str">
        <f>IFERROR(VLOOKUP($A$1&amp;"-"&amp;ROW(Y49),基本資料填寫!$A:$DN,COLUMN(基本資料填寫!BY50),0),"")</f>
        <v/>
      </c>
      <c r="L50" s="47" t="str">
        <f>IFERROR(VLOOKUP($A$1&amp;"-"&amp;ROW(Z49),基本資料填寫!$A:$DN,COLUMN(基本資料填寫!BZ50),0),"")</f>
        <v/>
      </c>
      <c r="M50" s="47" t="str">
        <f>IFERROR(VLOOKUP($A$1&amp;"-"&amp;ROW(AA49),基本資料填寫!$A:$DN,COLUMN(基本資料填寫!CA50),0),"")</f>
        <v/>
      </c>
      <c r="N50" s="47" t="str">
        <f>IFERROR(VLOOKUP($A$1&amp;"-"&amp;ROW(G49),基本資料填寫!$A:$DN,COLUMN(基本資料填寫!AO50),0),"")</f>
        <v/>
      </c>
      <c r="O50" s="47" t="str">
        <f>IFERROR(VLOOKUP($A$1&amp;"-"&amp;ROW(AB49),基本資料填寫!$A:$DN,COLUMN(基本資料填寫!CB50),0),"")</f>
        <v/>
      </c>
      <c r="P50" s="47" t="str">
        <f>IFERROR(VLOOKUP($A$1&amp;"-"&amp;ROW(AC49),基本資料填寫!$A:$DN,COLUMN(基本資料填寫!CC50),0),"")</f>
        <v/>
      </c>
      <c r="Q50" s="47" t="str">
        <f>IFERROR(VLOOKUP($A$1&amp;"-"&amp;ROW(AD49),基本資料填寫!$A:$DN,COLUMN(基本資料填寫!CD50),0),"")</f>
        <v/>
      </c>
      <c r="R50" s="47" t="str">
        <f>IFERROR(VLOOKUP($A$1&amp;"-"&amp;ROW(AE49),基本資料填寫!$A:$DN,COLUMN(基本資料填寫!CE50),0),"")</f>
        <v/>
      </c>
      <c r="S50" s="47" t="str">
        <f>IFERROR(VLOOKUP($A$1&amp;"-"&amp;ROW(AF49),基本資料填寫!$A:$DN,COLUMN(基本資料填寫!CF50),0),"")</f>
        <v/>
      </c>
      <c r="T50" s="47" t="str">
        <f>IFERROR(VLOOKUP($A$1&amp;"-"&amp;ROW(AG49),基本資料填寫!$A:$DN,COLUMN(基本資料填寫!CG50),0),"")</f>
        <v/>
      </c>
      <c r="U50" s="47" t="str">
        <f>IFERROR(VLOOKUP($A$1&amp;"-"&amp;ROW(AH49),基本資料填寫!$A:$DN,COLUMN(基本資料填寫!CH50),0),"")</f>
        <v/>
      </c>
      <c r="V50" s="47" t="str">
        <f>IFERROR(VLOOKUP($A$1&amp;"-"&amp;ROW(AI49),基本資料填寫!$A:$DN,COLUMN(基本資料填寫!CI50),0),"")</f>
        <v/>
      </c>
      <c r="W50" s="47" t="str">
        <f>IFERROR(VLOOKUP($A$1&amp;"-"&amp;ROW(E49),基本資料填寫!$A:$DN,COLUMN(基本資料填寫!O50),0),"")</f>
        <v/>
      </c>
      <c r="X50" s="47" t="str">
        <f>IFERROR(VLOOKUP($A$1&amp;"-"&amp;ROW(AJ49),基本資料填寫!$A:$DN,COLUMN(基本資料填寫!CJ50),0),"")</f>
        <v/>
      </c>
      <c r="Y50" s="47" t="str">
        <f>IFERROR(VLOOKUP($A$1&amp;"-"&amp;ROW(AK49),基本資料填寫!$A:$DN,COLUMN(基本資料填寫!CK50),0),"")</f>
        <v/>
      </c>
      <c r="Z50" s="47" t="str">
        <f>IFERROR(VLOOKUP($A$1&amp;"-"&amp;ROW(AM49),基本資料填寫!$A:$DN,COLUMN(基本資料填寫!CN50),0),"")</f>
        <v/>
      </c>
      <c r="AA50" s="47" t="str">
        <f>IFERROR(VLOOKUP($A$1&amp;"-"&amp;ROW(AN49),基本資料填寫!$A:$DN,COLUMN(基本資料填寫!CO50),0),"")</f>
        <v/>
      </c>
      <c r="AB50" s="47" t="str">
        <f>IFERROR(VLOOKUP($A$1&amp;"-"&amp;ROW(AO49),基本資料填寫!$A:$DN,COLUMN(基本資料填寫!CP50),0),"")</f>
        <v/>
      </c>
    </row>
    <row r="51" spans="2:28" x14ac:dyDescent="0.3">
      <c r="B51" s="2" t="str">
        <f>IF(C51="","",COUNTA($C$2:C51))</f>
        <v/>
      </c>
      <c r="C51" s="47" t="str">
        <f>IFERROR(VLOOKUP($A$1&amp;"-"&amp;ROW(C50),基本資料填寫!$A:$DN,COLUMN(基本資料填寫!S51),0),"")</f>
        <v/>
      </c>
      <c r="D51" s="47" t="str">
        <f>IFERROR(VLOOKUP($A$1&amp;"-"&amp;ROW(D50),基本資料填寫!$A:$DN,COLUMN(基本資料填寫!V51),0),"")</f>
        <v/>
      </c>
      <c r="E51" s="47" t="str">
        <f>IFERROR(VLOOKUP($A$1&amp;"-"&amp;ROW(E50),基本資料填寫!$A:$DN,COLUMN(基本資料填寫!BW51),0),"")</f>
        <v/>
      </c>
      <c r="F51" s="47" t="str">
        <f>IFERROR(VLOOKUP($A$1&amp;"-"&amp;ROW(F50),基本資料填寫!$A:$DN,COLUMN(基本資料填寫!AN51),0),"")</f>
        <v/>
      </c>
      <c r="G51" s="47" t="str">
        <f>IFERROR(VLOOKUP($A$1&amp;"-"&amp;ROW(H50),基本資料填寫!$A:$DN,COLUMN(基本資料填寫!R51),0),"")</f>
        <v/>
      </c>
      <c r="H51" s="47" t="str">
        <f>IFERROR(VLOOKUP($A$1&amp;"-"&amp;ROW(X50),基本資料填寫!$A:$DN,COLUMN(基本資料填寫!BX51),0),"")</f>
        <v/>
      </c>
      <c r="I51" s="47" t="str">
        <f>IFERROR(VLOOKUP($A$1&amp;"-"&amp;ROW(P50),基本資料填寫!$A:$DN,COLUMN(基本資料填寫!Z51),0),"")</f>
        <v/>
      </c>
      <c r="J51" s="47" t="str">
        <f>IFERROR(VLOOKUP($A$1&amp;"-"&amp;ROW(Q50),基本資料填寫!$A:$DN,COLUMN(基本資料填寫!AA51),0),"")</f>
        <v/>
      </c>
      <c r="K51" s="47" t="str">
        <f>IFERROR(VLOOKUP($A$1&amp;"-"&amp;ROW(Y50),基本資料填寫!$A:$DN,COLUMN(基本資料填寫!BY51),0),"")</f>
        <v/>
      </c>
      <c r="L51" s="47" t="str">
        <f>IFERROR(VLOOKUP($A$1&amp;"-"&amp;ROW(Z50),基本資料填寫!$A:$DN,COLUMN(基本資料填寫!BZ51),0),"")</f>
        <v/>
      </c>
      <c r="M51" s="47" t="str">
        <f>IFERROR(VLOOKUP($A$1&amp;"-"&amp;ROW(AA50),基本資料填寫!$A:$DN,COLUMN(基本資料填寫!CA51),0),"")</f>
        <v/>
      </c>
      <c r="N51" s="47" t="str">
        <f>IFERROR(VLOOKUP($A$1&amp;"-"&amp;ROW(G50),基本資料填寫!$A:$DN,COLUMN(基本資料填寫!AO51),0),"")</f>
        <v/>
      </c>
      <c r="O51" s="47" t="str">
        <f>IFERROR(VLOOKUP($A$1&amp;"-"&amp;ROW(AB50),基本資料填寫!$A:$DN,COLUMN(基本資料填寫!CB51),0),"")</f>
        <v/>
      </c>
      <c r="P51" s="47" t="str">
        <f>IFERROR(VLOOKUP($A$1&amp;"-"&amp;ROW(AC50),基本資料填寫!$A:$DN,COLUMN(基本資料填寫!CC51),0),"")</f>
        <v/>
      </c>
      <c r="Q51" s="47" t="str">
        <f>IFERROR(VLOOKUP($A$1&amp;"-"&amp;ROW(AD50),基本資料填寫!$A:$DN,COLUMN(基本資料填寫!CD51),0),"")</f>
        <v/>
      </c>
      <c r="R51" s="47" t="str">
        <f>IFERROR(VLOOKUP($A$1&amp;"-"&amp;ROW(AE50),基本資料填寫!$A:$DN,COLUMN(基本資料填寫!CE51),0),"")</f>
        <v/>
      </c>
      <c r="S51" s="47" t="str">
        <f>IFERROR(VLOOKUP($A$1&amp;"-"&amp;ROW(AF50),基本資料填寫!$A:$DN,COLUMN(基本資料填寫!CF51),0),"")</f>
        <v/>
      </c>
      <c r="T51" s="47" t="str">
        <f>IFERROR(VLOOKUP($A$1&amp;"-"&amp;ROW(AG50),基本資料填寫!$A:$DN,COLUMN(基本資料填寫!CG51),0),"")</f>
        <v/>
      </c>
      <c r="U51" s="47" t="str">
        <f>IFERROR(VLOOKUP($A$1&amp;"-"&amp;ROW(AH50),基本資料填寫!$A:$DN,COLUMN(基本資料填寫!CH51),0),"")</f>
        <v/>
      </c>
      <c r="V51" s="47" t="str">
        <f>IFERROR(VLOOKUP($A$1&amp;"-"&amp;ROW(AI50),基本資料填寫!$A:$DN,COLUMN(基本資料填寫!CI51),0),"")</f>
        <v/>
      </c>
      <c r="W51" s="47" t="str">
        <f>IFERROR(VLOOKUP($A$1&amp;"-"&amp;ROW(E50),基本資料填寫!$A:$DN,COLUMN(基本資料填寫!O51),0),"")</f>
        <v/>
      </c>
      <c r="X51" s="47" t="str">
        <f>IFERROR(VLOOKUP($A$1&amp;"-"&amp;ROW(AJ50),基本資料填寫!$A:$DN,COLUMN(基本資料填寫!CJ51),0),"")</f>
        <v/>
      </c>
      <c r="Y51" s="47" t="str">
        <f>IFERROR(VLOOKUP($A$1&amp;"-"&amp;ROW(AK50),基本資料填寫!$A:$DN,COLUMN(基本資料填寫!CK51),0),"")</f>
        <v/>
      </c>
      <c r="Z51" s="47" t="str">
        <f>IFERROR(VLOOKUP($A$1&amp;"-"&amp;ROW(AM50),基本資料填寫!$A:$DN,COLUMN(基本資料填寫!CN51),0),"")</f>
        <v/>
      </c>
      <c r="AA51" s="47" t="str">
        <f>IFERROR(VLOOKUP($A$1&amp;"-"&amp;ROW(AN50),基本資料填寫!$A:$DN,COLUMN(基本資料填寫!CO51),0),"")</f>
        <v/>
      </c>
      <c r="AB51" s="47" t="str">
        <f>IFERROR(VLOOKUP($A$1&amp;"-"&amp;ROW(AO50),基本資料填寫!$A:$DN,COLUMN(基本資料填寫!CP51),0),"")</f>
        <v/>
      </c>
    </row>
    <row r="52" spans="2:28" x14ac:dyDescent="0.3">
      <c r="B52" s="2" t="str">
        <f>IF(C52="","",COUNTA($C$2:C52))</f>
        <v/>
      </c>
      <c r="C52" s="47" t="str">
        <f>IFERROR(VLOOKUP($A$1&amp;"-"&amp;ROW(C51),基本資料填寫!$A:$DN,COLUMN(基本資料填寫!S52),0),"")</f>
        <v/>
      </c>
      <c r="D52" s="47" t="str">
        <f>IFERROR(VLOOKUP($A$1&amp;"-"&amp;ROW(D51),基本資料填寫!$A:$DN,COLUMN(基本資料填寫!V52),0),"")</f>
        <v/>
      </c>
      <c r="E52" s="47" t="str">
        <f>IFERROR(VLOOKUP($A$1&amp;"-"&amp;ROW(E51),基本資料填寫!$A:$DN,COLUMN(基本資料填寫!BW52),0),"")</f>
        <v/>
      </c>
      <c r="F52" s="47" t="str">
        <f>IFERROR(VLOOKUP($A$1&amp;"-"&amp;ROW(F51),基本資料填寫!$A:$DN,COLUMN(基本資料填寫!AN52),0),"")</f>
        <v/>
      </c>
      <c r="G52" s="47" t="str">
        <f>IFERROR(VLOOKUP($A$1&amp;"-"&amp;ROW(H51),基本資料填寫!$A:$DN,COLUMN(基本資料填寫!R52),0),"")</f>
        <v/>
      </c>
      <c r="H52" s="47" t="str">
        <f>IFERROR(VLOOKUP($A$1&amp;"-"&amp;ROW(X51),基本資料填寫!$A:$DN,COLUMN(基本資料填寫!BX52),0),"")</f>
        <v/>
      </c>
      <c r="I52" s="47" t="str">
        <f>IFERROR(VLOOKUP($A$1&amp;"-"&amp;ROW(P51),基本資料填寫!$A:$DN,COLUMN(基本資料填寫!Z52),0),"")</f>
        <v/>
      </c>
      <c r="J52" s="47" t="str">
        <f>IFERROR(VLOOKUP($A$1&amp;"-"&amp;ROW(Q51),基本資料填寫!$A:$DN,COLUMN(基本資料填寫!AA52),0),"")</f>
        <v/>
      </c>
      <c r="K52" s="47" t="str">
        <f>IFERROR(VLOOKUP($A$1&amp;"-"&amp;ROW(Y51),基本資料填寫!$A:$DN,COLUMN(基本資料填寫!BY52),0),"")</f>
        <v/>
      </c>
      <c r="L52" s="47" t="str">
        <f>IFERROR(VLOOKUP($A$1&amp;"-"&amp;ROW(Z51),基本資料填寫!$A:$DN,COLUMN(基本資料填寫!BZ52),0),"")</f>
        <v/>
      </c>
      <c r="M52" s="47" t="str">
        <f>IFERROR(VLOOKUP($A$1&amp;"-"&amp;ROW(AA51),基本資料填寫!$A:$DN,COLUMN(基本資料填寫!CA52),0),"")</f>
        <v/>
      </c>
      <c r="N52" s="47" t="str">
        <f>IFERROR(VLOOKUP($A$1&amp;"-"&amp;ROW(G51),基本資料填寫!$A:$DN,COLUMN(基本資料填寫!AO52),0),"")</f>
        <v/>
      </c>
      <c r="O52" s="47" t="str">
        <f>IFERROR(VLOOKUP($A$1&amp;"-"&amp;ROW(AB51),基本資料填寫!$A:$DN,COLUMN(基本資料填寫!CB52),0),"")</f>
        <v/>
      </c>
      <c r="P52" s="47" t="str">
        <f>IFERROR(VLOOKUP($A$1&amp;"-"&amp;ROW(AC51),基本資料填寫!$A:$DN,COLUMN(基本資料填寫!CC52),0),"")</f>
        <v/>
      </c>
      <c r="Q52" s="47" t="str">
        <f>IFERROR(VLOOKUP($A$1&amp;"-"&amp;ROW(AD51),基本資料填寫!$A:$DN,COLUMN(基本資料填寫!CD52),0),"")</f>
        <v/>
      </c>
      <c r="R52" s="47" t="str">
        <f>IFERROR(VLOOKUP($A$1&amp;"-"&amp;ROW(AE51),基本資料填寫!$A:$DN,COLUMN(基本資料填寫!CE52),0),"")</f>
        <v/>
      </c>
      <c r="S52" s="47" t="str">
        <f>IFERROR(VLOOKUP($A$1&amp;"-"&amp;ROW(AF51),基本資料填寫!$A:$DN,COLUMN(基本資料填寫!CF52),0),"")</f>
        <v/>
      </c>
      <c r="T52" s="47" t="str">
        <f>IFERROR(VLOOKUP($A$1&amp;"-"&amp;ROW(AG51),基本資料填寫!$A:$DN,COLUMN(基本資料填寫!CG52),0),"")</f>
        <v/>
      </c>
      <c r="U52" s="47" t="str">
        <f>IFERROR(VLOOKUP($A$1&amp;"-"&amp;ROW(AH51),基本資料填寫!$A:$DN,COLUMN(基本資料填寫!CH52),0),"")</f>
        <v/>
      </c>
      <c r="V52" s="47" t="str">
        <f>IFERROR(VLOOKUP($A$1&amp;"-"&amp;ROW(AI51),基本資料填寫!$A:$DN,COLUMN(基本資料填寫!CI52),0),"")</f>
        <v/>
      </c>
      <c r="W52" s="47" t="str">
        <f>IFERROR(VLOOKUP($A$1&amp;"-"&amp;ROW(E51),基本資料填寫!$A:$DN,COLUMN(基本資料填寫!O52),0),"")</f>
        <v/>
      </c>
      <c r="X52" s="47" t="str">
        <f>IFERROR(VLOOKUP($A$1&amp;"-"&amp;ROW(AJ51),基本資料填寫!$A:$DN,COLUMN(基本資料填寫!CJ52),0),"")</f>
        <v/>
      </c>
      <c r="Y52" s="47" t="str">
        <f>IFERROR(VLOOKUP($A$1&amp;"-"&amp;ROW(AK51),基本資料填寫!$A:$DN,COLUMN(基本資料填寫!CK52),0),"")</f>
        <v/>
      </c>
      <c r="Z52" s="47" t="str">
        <f>IFERROR(VLOOKUP($A$1&amp;"-"&amp;ROW(AM51),基本資料填寫!$A:$DN,COLUMN(基本資料填寫!CN52),0),"")</f>
        <v/>
      </c>
      <c r="AA52" s="47" t="str">
        <f>IFERROR(VLOOKUP($A$1&amp;"-"&amp;ROW(AN51),基本資料填寫!$A:$DN,COLUMN(基本資料填寫!CO52),0),"")</f>
        <v/>
      </c>
      <c r="AB52" s="47" t="str">
        <f>IFERROR(VLOOKUP($A$1&amp;"-"&amp;ROW(AO51),基本資料填寫!$A:$DN,COLUMN(基本資料填寫!CP52),0),"")</f>
        <v/>
      </c>
    </row>
    <row r="53" spans="2:28" x14ac:dyDescent="0.3">
      <c r="B53" s="2" t="str">
        <f>IF(C53="","",COUNTA($C$2:C53))</f>
        <v/>
      </c>
      <c r="C53" s="47" t="str">
        <f>IFERROR(VLOOKUP($A$1&amp;"-"&amp;ROW(C52),基本資料填寫!$A:$DN,COLUMN(基本資料填寫!S53),0),"")</f>
        <v/>
      </c>
      <c r="D53" s="47" t="str">
        <f>IFERROR(VLOOKUP($A$1&amp;"-"&amp;ROW(D52),基本資料填寫!$A:$DN,COLUMN(基本資料填寫!V53),0),"")</f>
        <v/>
      </c>
      <c r="E53" s="47" t="str">
        <f>IFERROR(VLOOKUP($A$1&amp;"-"&amp;ROW(E52),基本資料填寫!$A:$DN,COLUMN(基本資料填寫!BW53),0),"")</f>
        <v/>
      </c>
      <c r="F53" s="47" t="str">
        <f>IFERROR(VLOOKUP($A$1&amp;"-"&amp;ROW(F52),基本資料填寫!$A:$DN,COLUMN(基本資料填寫!AN53),0),"")</f>
        <v/>
      </c>
      <c r="G53" s="47" t="str">
        <f>IFERROR(VLOOKUP($A$1&amp;"-"&amp;ROW(H52),基本資料填寫!$A:$DN,COLUMN(基本資料填寫!R53),0),"")</f>
        <v/>
      </c>
      <c r="H53" s="47" t="str">
        <f>IFERROR(VLOOKUP($A$1&amp;"-"&amp;ROW(X52),基本資料填寫!$A:$DN,COLUMN(基本資料填寫!BX53),0),"")</f>
        <v/>
      </c>
      <c r="I53" s="47" t="str">
        <f>IFERROR(VLOOKUP($A$1&amp;"-"&amp;ROW(P52),基本資料填寫!$A:$DN,COLUMN(基本資料填寫!Z53),0),"")</f>
        <v/>
      </c>
      <c r="J53" s="47" t="str">
        <f>IFERROR(VLOOKUP($A$1&amp;"-"&amp;ROW(Q52),基本資料填寫!$A:$DN,COLUMN(基本資料填寫!AA53),0),"")</f>
        <v/>
      </c>
      <c r="K53" s="47" t="str">
        <f>IFERROR(VLOOKUP($A$1&amp;"-"&amp;ROW(Y52),基本資料填寫!$A:$DN,COLUMN(基本資料填寫!BY53),0),"")</f>
        <v/>
      </c>
      <c r="L53" s="47" t="str">
        <f>IFERROR(VLOOKUP($A$1&amp;"-"&amp;ROW(Z52),基本資料填寫!$A:$DN,COLUMN(基本資料填寫!BZ53),0),"")</f>
        <v/>
      </c>
      <c r="M53" s="47" t="str">
        <f>IFERROR(VLOOKUP($A$1&amp;"-"&amp;ROW(AA52),基本資料填寫!$A:$DN,COLUMN(基本資料填寫!CA53),0),"")</f>
        <v/>
      </c>
      <c r="N53" s="47" t="str">
        <f>IFERROR(VLOOKUP($A$1&amp;"-"&amp;ROW(G52),基本資料填寫!$A:$DN,COLUMN(基本資料填寫!AO53),0),"")</f>
        <v/>
      </c>
      <c r="O53" s="47" t="str">
        <f>IFERROR(VLOOKUP($A$1&amp;"-"&amp;ROW(AB52),基本資料填寫!$A:$DN,COLUMN(基本資料填寫!CB53),0),"")</f>
        <v/>
      </c>
      <c r="P53" s="47" t="str">
        <f>IFERROR(VLOOKUP($A$1&amp;"-"&amp;ROW(AC52),基本資料填寫!$A:$DN,COLUMN(基本資料填寫!CC53),0),"")</f>
        <v/>
      </c>
      <c r="Q53" s="47" t="str">
        <f>IFERROR(VLOOKUP($A$1&amp;"-"&amp;ROW(AD52),基本資料填寫!$A:$DN,COLUMN(基本資料填寫!CD53),0),"")</f>
        <v/>
      </c>
      <c r="R53" s="47" t="str">
        <f>IFERROR(VLOOKUP($A$1&amp;"-"&amp;ROW(AE52),基本資料填寫!$A:$DN,COLUMN(基本資料填寫!CE53),0),"")</f>
        <v/>
      </c>
      <c r="S53" s="47" t="str">
        <f>IFERROR(VLOOKUP($A$1&amp;"-"&amp;ROW(AF52),基本資料填寫!$A:$DN,COLUMN(基本資料填寫!CF53),0),"")</f>
        <v/>
      </c>
      <c r="T53" s="47" t="str">
        <f>IFERROR(VLOOKUP($A$1&amp;"-"&amp;ROW(AG52),基本資料填寫!$A:$DN,COLUMN(基本資料填寫!CG53),0),"")</f>
        <v/>
      </c>
      <c r="U53" s="47" t="str">
        <f>IFERROR(VLOOKUP($A$1&amp;"-"&amp;ROW(AH52),基本資料填寫!$A:$DN,COLUMN(基本資料填寫!CH53),0),"")</f>
        <v/>
      </c>
      <c r="V53" s="47" t="str">
        <f>IFERROR(VLOOKUP($A$1&amp;"-"&amp;ROW(AI52),基本資料填寫!$A:$DN,COLUMN(基本資料填寫!CI53),0),"")</f>
        <v/>
      </c>
      <c r="W53" s="47" t="str">
        <f>IFERROR(VLOOKUP($A$1&amp;"-"&amp;ROW(E52),基本資料填寫!$A:$DN,COLUMN(基本資料填寫!O53),0),"")</f>
        <v/>
      </c>
      <c r="X53" s="47" t="str">
        <f>IFERROR(VLOOKUP($A$1&amp;"-"&amp;ROW(AJ52),基本資料填寫!$A:$DN,COLUMN(基本資料填寫!CJ53),0),"")</f>
        <v/>
      </c>
      <c r="Y53" s="47" t="str">
        <f>IFERROR(VLOOKUP($A$1&amp;"-"&amp;ROW(AK52),基本資料填寫!$A:$DN,COLUMN(基本資料填寫!CK53),0),"")</f>
        <v/>
      </c>
      <c r="Z53" s="47" t="str">
        <f>IFERROR(VLOOKUP($A$1&amp;"-"&amp;ROW(AM52),基本資料填寫!$A:$DN,COLUMN(基本資料填寫!CN53),0),"")</f>
        <v/>
      </c>
      <c r="AA53" s="47" t="str">
        <f>IFERROR(VLOOKUP($A$1&amp;"-"&amp;ROW(AN52),基本資料填寫!$A:$DN,COLUMN(基本資料填寫!CO53),0),"")</f>
        <v/>
      </c>
      <c r="AB53" s="47" t="str">
        <f>IFERROR(VLOOKUP($A$1&amp;"-"&amp;ROW(AO52),基本資料填寫!$A:$DN,COLUMN(基本資料填寫!CP53),0),"")</f>
        <v/>
      </c>
    </row>
    <row r="54" spans="2:28" x14ac:dyDescent="0.3">
      <c r="B54" s="2" t="str">
        <f>IF(C54="","",COUNTA($C$2:C54))</f>
        <v/>
      </c>
      <c r="C54" s="47" t="str">
        <f>IFERROR(VLOOKUP($A$1&amp;"-"&amp;ROW(C53),基本資料填寫!$A:$DN,COLUMN(基本資料填寫!S54),0),"")</f>
        <v/>
      </c>
      <c r="D54" s="47" t="str">
        <f>IFERROR(VLOOKUP($A$1&amp;"-"&amp;ROW(D53),基本資料填寫!$A:$DN,COLUMN(基本資料填寫!V54),0),"")</f>
        <v/>
      </c>
      <c r="E54" s="47" t="str">
        <f>IFERROR(VLOOKUP($A$1&amp;"-"&amp;ROW(E53),基本資料填寫!$A:$DN,COLUMN(基本資料填寫!BW54),0),"")</f>
        <v/>
      </c>
      <c r="F54" s="47" t="str">
        <f>IFERROR(VLOOKUP($A$1&amp;"-"&amp;ROW(F53),基本資料填寫!$A:$DN,COLUMN(基本資料填寫!AN54),0),"")</f>
        <v/>
      </c>
      <c r="G54" s="47" t="str">
        <f>IFERROR(VLOOKUP($A$1&amp;"-"&amp;ROW(H53),基本資料填寫!$A:$DN,COLUMN(基本資料填寫!R54),0),"")</f>
        <v/>
      </c>
      <c r="H54" s="47" t="str">
        <f>IFERROR(VLOOKUP($A$1&amp;"-"&amp;ROW(X53),基本資料填寫!$A:$DN,COLUMN(基本資料填寫!BX54),0),"")</f>
        <v/>
      </c>
      <c r="I54" s="47" t="str">
        <f>IFERROR(VLOOKUP($A$1&amp;"-"&amp;ROW(P53),基本資料填寫!$A:$DN,COLUMN(基本資料填寫!Z54),0),"")</f>
        <v/>
      </c>
      <c r="J54" s="47" t="str">
        <f>IFERROR(VLOOKUP($A$1&amp;"-"&amp;ROW(Q53),基本資料填寫!$A:$DN,COLUMN(基本資料填寫!AA54),0),"")</f>
        <v/>
      </c>
      <c r="K54" s="47" t="str">
        <f>IFERROR(VLOOKUP($A$1&amp;"-"&amp;ROW(Y53),基本資料填寫!$A:$DN,COLUMN(基本資料填寫!BY54),0),"")</f>
        <v/>
      </c>
      <c r="L54" s="47" t="str">
        <f>IFERROR(VLOOKUP($A$1&amp;"-"&amp;ROW(Z53),基本資料填寫!$A:$DN,COLUMN(基本資料填寫!BZ54),0),"")</f>
        <v/>
      </c>
      <c r="M54" s="47" t="str">
        <f>IFERROR(VLOOKUP($A$1&amp;"-"&amp;ROW(AA53),基本資料填寫!$A:$DN,COLUMN(基本資料填寫!CA54),0),"")</f>
        <v/>
      </c>
      <c r="N54" s="47" t="str">
        <f>IFERROR(VLOOKUP($A$1&amp;"-"&amp;ROW(G53),基本資料填寫!$A:$DN,COLUMN(基本資料填寫!AO54),0),"")</f>
        <v/>
      </c>
      <c r="O54" s="47" t="str">
        <f>IFERROR(VLOOKUP($A$1&amp;"-"&amp;ROW(AB53),基本資料填寫!$A:$DN,COLUMN(基本資料填寫!CB54),0),"")</f>
        <v/>
      </c>
      <c r="P54" s="47" t="str">
        <f>IFERROR(VLOOKUP($A$1&amp;"-"&amp;ROW(AC53),基本資料填寫!$A:$DN,COLUMN(基本資料填寫!CC54),0),"")</f>
        <v/>
      </c>
      <c r="Q54" s="47" t="str">
        <f>IFERROR(VLOOKUP($A$1&amp;"-"&amp;ROW(AD53),基本資料填寫!$A:$DN,COLUMN(基本資料填寫!CD54),0),"")</f>
        <v/>
      </c>
      <c r="R54" s="47" t="str">
        <f>IFERROR(VLOOKUP($A$1&amp;"-"&amp;ROW(AE53),基本資料填寫!$A:$DN,COLUMN(基本資料填寫!CE54),0),"")</f>
        <v/>
      </c>
      <c r="S54" s="47" t="str">
        <f>IFERROR(VLOOKUP($A$1&amp;"-"&amp;ROW(AF53),基本資料填寫!$A:$DN,COLUMN(基本資料填寫!CF54),0),"")</f>
        <v/>
      </c>
      <c r="T54" s="47" t="str">
        <f>IFERROR(VLOOKUP($A$1&amp;"-"&amp;ROW(AG53),基本資料填寫!$A:$DN,COLUMN(基本資料填寫!CG54),0),"")</f>
        <v/>
      </c>
      <c r="U54" s="47" t="str">
        <f>IFERROR(VLOOKUP($A$1&amp;"-"&amp;ROW(AH53),基本資料填寫!$A:$DN,COLUMN(基本資料填寫!CH54),0),"")</f>
        <v/>
      </c>
      <c r="V54" s="47" t="str">
        <f>IFERROR(VLOOKUP($A$1&amp;"-"&amp;ROW(AI53),基本資料填寫!$A:$DN,COLUMN(基本資料填寫!CI54),0),"")</f>
        <v/>
      </c>
      <c r="W54" s="47" t="str">
        <f>IFERROR(VLOOKUP($A$1&amp;"-"&amp;ROW(E53),基本資料填寫!$A:$DN,COLUMN(基本資料填寫!O54),0),"")</f>
        <v/>
      </c>
      <c r="X54" s="47" t="str">
        <f>IFERROR(VLOOKUP($A$1&amp;"-"&amp;ROW(AJ53),基本資料填寫!$A:$DN,COLUMN(基本資料填寫!CJ54),0),"")</f>
        <v/>
      </c>
      <c r="Y54" s="47" t="str">
        <f>IFERROR(VLOOKUP($A$1&amp;"-"&amp;ROW(AK53),基本資料填寫!$A:$DN,COLUMN(基本資料填寫!CK54),0),"")</f>
        <v/>
      </c>
      <c r="Z54" s="47" t="str">
        <f>IFERROR(VLOOKUP($A$1&amp;"-"&amp;ROW(AM53),基本資料填寫!$A:$DN,COLUMN(基本資料填寫!CN54),0),"")</f>
        <v/>
      </c>
      <c r="AA54" s="47" t="str">
        <f>IFERROR(VLOOKUP($A$1&amp;"-"&amp;ROW(AN53),基本資料填寫!$A:$DN,COLUMN(基本資料填寫!CO54),0),"")</f>
        <v/>
      </c>
      <c r="AB54" s="47" t="str">
        <f>IFERROR(VLOOKUP($A$1&amp;"-"&amp;ROW(AO53),基本資料填寫!$A:$DN,COLUMN(基本資料填寫!CP54),0),"")</f>
        <v/>
      </c>
    </row>
    <row r="55" spans="2:28" x14ac:dyDescent="0.3">
      <c r="B55" s="2" t="str">
        <f>IF(C55="","",COUNTA($C$2:C55))</f>
        <v/>
      </c>
      <c r="C55" s="47" t="str">
        <f>IFERROR(VLOOKUP($A$1&amp;"-"&amp;ROW(C54),基本資料填寫!$A:$DN,COLUMN(基本資料填寫!S55),0),"")</f>
        <v/>
      </c>
      <c r="D55" s="47" t="str">
        <f>IFERROR(VLOOKUP($A$1&amp;"-"&amp;ROW(D54),基本資料填寫!$A:$DN,COLUMN(基本資料填寫!V55),0),"")</f>
        <v/>
      </c>
      <c r="E55" s="47" t="str">
        <f>IFERROR(VLOOKUP($A$1&amp;"-"&amp;ROW(E54),基本資料填寫!$A:$DN,COLUMN(基本資料填寫!BW55),0),"")</f>
        <v/>
      </c>
      <c r="F55" s="47" t="str">
        <f>IFERROR(VLOOKUP($A$1&amp;"-"&amp;ROW(F54),基本資料填寫!$A:$DN,COLUMN(基本資料填寫!AN55),0),"")</f>
        <v/>
      </c>
      <c r="G55" s="47" t="str">
        <f>IFERROR(VLOOKUP($A$1&amp;"-"&amp;ROW(H54),基本資料填寫!$A:$DN,COLUMN(基本資料填寫!R55),0),"")</f>
        <v/>
      </c>
      <c r="H55" s="47" t="str">
        <f>IFERROR(VLOOKUP($A$1&amp;"-"&amp;ROW(X54),基本資料填寫!$A:$DN,COLUMN(基本資料填寫!BX55),0),"")</f>
        <v/>
      </c>
      <c r="I55" s="47" t="str">
        <f>IFERROR(VLOOKUP($A$1&amp;"-"&amp;ROW(P54),基本資料填寫!$A:$DN,COLUMN(基本資料填寫!Z55),0),"")</f>
        <v/>
      </c>
      <c r="J55" s="47" t="str">
        <f>IFERROR(VLOOKUP($A$1&amp;"-"&amp;ROW(Q54),基本資料填寫!$A:$DN,COLUMN(基本資料填寫!AA55),0),"")</f>
        <v/>
      </c>
      <c r="K55" s="47" t="str">
        <f>IFERROR(VLOOKUP($A$1&amp;"-"&amp;ROW(Y54),基本資料填寫!$A:$DN,COLUMN(基本資料填寫!BY55),0),"")</f>
        <v/>
      </c>
      <c r="L55" s="47" t="str">
        <f>IFERROR(VLOOKUP($A$1&amp;"-"&amp;ROW(Z54),基本資料填寫!$A:$DN,COLUMN(基本資料填寫!BZ55),0),"")</f>
        <v/>
      </c>
      <c r="M55" s="47" t="str">
        <f>IFERROR(VLOOKUP($A$1&amp;"-"&amp;ROW(AA54),基本資料填寫!$A:$DN,COLUMN(基本資料填寫!CA55),0),"")</f>
        <v/>
      </c>
      <c r="N55" s="47" t="str">
        <f>IFERROR(VLOOKUP($A$1&amp;"-"&amp;ROW(G54),基本資料填寫!$A:$DN,COLUMN(基本資料填寫!AO55),0),"")</f>
        <v/>
      </c>
      <c r="O55" s="47" t="str">
        <f>IFERROR(VLOOKUP($A$1&amp;"-"&amp;ROW(AB54),基本資料填寫!$A:$DN,COLUMN(基本資料填寫!CB55),0),"")</f>
        <v/>
      </c>
      <c r="P55" s="47" t="str">
        <f>IFERROR(VLOOKUP($A$1&amp;"-"&amp;ROW(AC54),基本資料填寫!$A:$DN,COLUMN(基本資料填寫!CC55),0),"")</f>
        <v/>
      </c>
      <c r="Q55" s="47" t="str">
        <f>IFERROR(VLOOKUP($A$1&amp;"-"&amp;ROW(AD54),基本資料填寫!$A:$DN,COLUMN(基本資料填寫!CD55),0),"")</f>
        <v/>
      </c>
      <c r="R55" s="47" t="str">
        <f>IFERROR(VLOOKUP($A$1&amp;"-"&amp;ROW(AE54),基本資料填寫!$A:$DN,COLUMN(基本資料填寫!CE55),0),"")</f>
        <v/>
      </c>
      <c r="S55" s="47" t="str">
        <f>IFERROR(VLOOKUP($A$1&amp;"-"&amp;ROW(AF54),基本資料填寫!$A:$DN,COLUMN(基本資料填寫!CF55),0),"")</f>
        <v/>
      </c>
      <c r="T55" s="47" t="str">
        <f>IFERROR(VLOOKUP($A$1&amp;"-"&amp;ROW(AG54),基本資料填寫!$A:$DN,COLUMN(基本資料填寫!CG55),0),"")</f>
        <v/>
      </c>
      <c r="U55" s="47" t="str">
        <f>IFERROR(VLOOKUP($A$1&amp;"-"&amp;ROW(AH54),基本資料填寫!$A:$DN,COLUMN(基本資料填寫!CH55),0),"")</f>
        <v/>
      </c>
      <c r="V55" s="47" t="str">
        <f>IFERROR(VLOOKUP($A$1&amp;"-"&amp;ROW(AI54),基本資料填寫!$A:$DN,COLUMN(基本資料填寫!CI55),0),"")</f>
        <v/>
      </c>
      <c r="W55" s="47" t="str">
        <f>IFERROR(VLOOKUP($A$1&amp;"-"&amp;ROW(E54),基本資料填寫!$A:$DN,COLUMN(基本資料填寫!O55),0),"")</f>
        <v/>
      </c>
      <c r="X55" s="47" t="str">
        <f>IFERROR(VLOOKUP($A$1&amp;"-"&amp;ROW(AJ54),基本資料填寫!$A:$DN,COLUMN(基本資料填寫!CJ55),0),"")</f>
        <v/>
      </c>
      <c r="Y55" s="47" t="str">
        <f>IFERROR(VLOOKUP($A$1&amp;"-"&amp;ROW(AK54),基本資料填寫!$A:$DN,COLUMN(基本資料填寫!CK55),0),"")</f>
        <v/>
      </c>
      <c r="Z55" s="47" t="str">
        <f>IFERROR(VLOOKUP($A$1&amp;"-"&amp;ROW(AM54),基本資料填寫!$A:$DN,COLUMN(基本資料填寫!CN55),0),"")</f>
        <v/>
      </c>
      <c r="AA55" s="47" t="str">
        <f>IFERROR(VLOOKUP($A$1&amp;"-"&amp;ROW(AN54),基本資料填寫!$A:$DN,COLUMN(基本資料填寫!CO55),0),"")</f>
        <v/>
      </c>
      <c r="AB55" s="47" t="str">
        <f>IFERROR(VLOOKUP($A$1&amp;"-"&amp;ROW(AO54),基本資料填寫!$A:$DN,COLUMN(基本資料填寫!CP55),0),"")</f>
        <v/>
      </c>
    </row>
    <row r="56" spans="2:28" x14ac:dyDescent="0.3">
      <c r="B56" s="2" t="str">
        <f>IF(C56="","",COUNTA($C$2:C56))</f>
        <v/>
      </c>
      <c r="C56" s="47" t="str">
        <f>IFERROR(VLOOKUP($A$1&amp;"-"&amp;ROW(C55),基本資料填寫!$A:$DN,COLUMN(基本資料填寫!S56),0),"")</f>
        <v/>
      </c>
      <c r="D56" s="47" t="str">
        <f>IFERROR(VLOOKUP($A$1&amp;"-"&amp;ROW(D55),基本資料填寫!$A:$DN,COLUMN(基本資料填寫!V56),0),"")</f>
        <v/>
      </c>
      <c r="E56" s="47" t="str">
        <f>IFERROR(VLOOKUP($A$1&amp;"-"&amp;ROW(E55),基本資料填寫!$A:$DN,COLUMN(基本資料填寫!BW56),0),"")</f>
        <v/>
      </c>
      <c r="F56" s="47" t="str">
        <f>IFERROR(VLOOKUP($A$1&amp;"-"&amp;ROW(F55),基本資料填寫!$A:$DN,COLUMN(基本資料填寫!AN56),0),"")</f>
        <v/>
      </c>
      <c r="G56" s="47" t="str">
        <f>IFERROR(VLOOKUP($A$1&amp;"-"&amp;ROW(H55),基本資料填寫!$A:$DN,COLUMN(基本資料填寫!R56),0),"")</f>
        <v/>
      </c>
      <c r="H56" s="47" t="str">
        <f>IFERROR(VLOOKUP($A$1&amp;"-"&amp;ROW(X55),基本資料填寫!$A:$DN,COLUMN(基本資料填寫!BX56),0),"")</f>
        <v/>
      </c>
      <c r="I56" s="47" t="str">
        <f>IFERROR(VLOOKUP($A$1&amp;"-"&amp;ROW(P55),基本資料填寫!$A:$DN,COLUMN(基本資料填寫!Z56),0),"")</f>
        <v/>
      </c>
      <c r="J56" s="47" t="str">
        <f>IFERROR(VLOOKUP($A$1&amp;"-"&amp;ROW(Q55),基本資料填寫!$A:$DN,COLUMN(基本資料填寫!AA56),0),"")</f>
        <v/>
      </c>
      <c r="K56" s="47" t="str">
        <f>IFERROR(VLOOKUP($A$1&amp;"-"&amp;ROW(Y55),基本資料填寫!$A:$DN,COLUMN(基本資料填寫!BY56),0),"")</f>
        <v/>
      </c>
      <c r="L56" s="47" t="str">
        <f>IFERROR(VLOOKUP($A$1&amp;"-"&amp;ROW(Z55),基本資料填寫!$A:$DN,COLUMN(基本資料填寫!BZ56),0),"")</f>
        <v/>
      </c>
      <c r="M56" s="47" t="str">
        <f>IFERROR(VLOOKUP($A$1&amp;"-"&amp;ROW(AA55),基本資料填寫!$A:$DN,COLUMN(基本資料填寫!CA56),0),"")</f>
        <v/>
      </c>
      <c r="N56" s="47" t="str">
        <f>IFERROR(VLOOKUP($A$1&amp;"-"&amp;ROW(G55),基本資料填寫!$A:$DN,COLUMN(基本資料填寫!AO56),0),"")</f>
        <v/>
      </c>
      <c r="O56" s="47" t="str">
        <f>IFERROR(VLOOKUP($A$1&amp;"-"&amp;ROW(AB55),基本資料填寫!$A:$DN,COLUMN(基本資料填寫!CB56),0),"")</f>
        <v/>
      </c>
      <c r="P56" s="47" t="str">
        <f>IFERROR(VLOOKUP($A$1&amp;"-"&amp;ROW(AC55),基本資料填寫!$A:$DN,COLUMN(基本資料填寫!CC56),0),"")</f>
        <v/>
      </c>
      <c r="Q56" s="47" t="str">
        <f>IFERROR(VLOOKUP($A$1&amp;"-"&amp;ROW(AD55),基本資料填寫!$A:$DN,COLUMN(基本資料填寫!CD56),0),"")</f>
        <v/>
      </c>
      <c r="R56" s="47" t="str">
        <f>IFERROR(VLOOKUP($A$1&amp;"-"&amp;ROW(AE55),基本資料填寫!$A:$DN,COLUMN(基本資料填寫!CE56),0),"")</f>
        <v/>
      </c>
      <c r="S56" s="47" t="str">
        <f>IFERROR(VLOOKUP($A$1&amp;"-"&amp;ROW(AF55),基本資料填寫!$A:$DN,COLUMN(基本資料填寫!CF56),0),"")</f>
        <v/>
      </c>
      <c r="T56" s="47" t="str">
        <f>IFERROR(VLOOKUP($A$1&amp;"-"&amp;ROW(AG55),基本資料填寫!$A:$DN,COLUMN(基本資料填寫!CG56),0),"")</f>
        <v/>
      </c>
      <c r="U56" s="47" t="str">
        <f>IFERROR(VLOOKUP($A$1&amp;"-"&amp;ROW(AH55),基本資料填寫!$A:$DN,COLUMN(基本資料填寫!CH56),0),"")</f>
        <v/>
      </c>
      <c r="V56" s="47" t="str">
        <f>IFERROR(VLOOKUP($A$1&amp;"-"&amp;ROW(AI55),基本資料填寫!$A:$DN,COLUMN(基本資料填寫!CI56),0),"")</f>
        <v/>
      </c>
      <c r="W56" s="47" t="str">
        <f>IFERROR(VLOOKUP($A$1&amp;"-"&amp;ROW(E55),基本資料填寫!$A:$DN,COLUMN(基本資料填寫!O56),0),"")</f>
        <v/>
      </c>
      <c r="X56" s="47" t="str">
        <f>IFERROR(VLOOKUP($A$1&amp;"-"&amp;ROW(AJ55),基本資料填寫!$A:$DN,COLUMN(基本資料填寫!CJ56),0),"")</f>
        <v/>
      </c>
      <c r="Y56" s="47" t="str">
        <f>IFERROR(VLOOKUP($A$1&amp;"-"&amp;ROW(AK55),基本資料填寫!$A:$DN,COLUMN(基本資料填寫!CK56),0),"")</f>
        <v/>
      </c>
      <c r="Z56" s="47" t="str">
        <f>IFERROR(VLOOKUP($A$1&amp;"-"&amp;ROW(AM55),基本資料填寫!$A:$DN,COLUMN(基本資料填寫!CN56),0),"")</f>
        <v/>
      </c>
      <c r="AA56" s="47" t="str">
        <f>IFERROR(VLOOKUP($A$1&amp;"-"&amp;ROW(AN55),基本資料填寫!$A:$DN,COLUMN(基本資料填寫!CO56),0),"")</f>
        <v/>
      </c>
      <c r="AB56" s="47" t="str">
        <f>IFERROR(VLOOKUP($A$1&amp;"-"&amp;ROW(AO55),基本資料填寫!$A:$DN,COLUMN(基本資料填寫!CP56),0),"")</f>
        <v/>
      </c>
    </row>
    <row r="57" spans="2:28" x14ac:dyDescent="0.3">
      <c r="B57" s="2" t="str">
        <f>IF(C57="","",COUNTA($C$2:C57))</f>
        <v/>
      </c>
      <c r="C57" s="47" t="str">
        <f>IFERROR(VLOOKUP($A$1&amp;"-"&amp;ROW(C56),基本資料填寫!$A:$DN,COLUMN(基本資料填寫!S57),0),"")</f>
        <v/>
      </c>
      <c r="D57" s="47" t="str">
        <f>IFERROR(VLOOKUP($A$1&amp;"-"&amp;ROW(D56),基本資料填寫!$A:$DN,COLUMN(基本資料填寫!V57),0),"")</f>
        <v/>
      </c>
      <c r="E57" s="47" t="str">
        <f>IFERROR(VLOOKUP($A$1&amp;"-"&amp;ROW(E56),基本資料填寫!$A:$DN,COLUMN(基本資料填寫!BW57),0),"")</f>
        <v/>
      </c>
      <c r="F57" s="47" t="str">
        <f>IFERROR(VLOOKUP($A$1&amp;"-"&amp;ROW(F56),基本資料填寫!$A:$DN,COLUMN(基本資料填寫!AN57),0),"")</f>
        <v/>
      </c>
      <c r="G57" s="47" t="str">
        <f>IFERROR(VLOOKUP($A$1&amp;"-"&amp;ROW(H56),基本資料填寫!$A:$DN,COLUMN(基本資料填寫!R57),0),"")</f>
        <v/>
      </c>
      <c r="H57" s="47" t="str">
        <f>IFERROR(VLOOKUP($A$1&amp;"-"&amp;ROW(X56),基本資料填寫!$A:$DN,COLUMN(基本資料填寫!BX57),0),"")</f>
        <v/>
      </c>
      <c r="I57" s="47" t="str">
        <f>IFERROR(VLOOKUP($A$1&amp;"-"&amp;ROW(P56),基本資料填寫!$A:$DN,COLUMN(基本資料填寫!Z57),0),"")</f>
        <v/>
      </c>
      <c r="J57" s="47" t="str">
        <f>IFERROR(VLOOKUP($A$1&amp;"-"&amp;ROW(Q56),基本資料填寫!$A:$DN,COLUMN(基本資料填寫!AA57),0),"")</f>
        <v/>
      </c>
      <c r="K57" s="47" t="str">
        <f>IFERROR(VLOOKUP($A$1&amp;"-"&amp;ROW(Y56),基本資料填寫!$A:$DN,COLUMN(基本資料填寫!BY57),0),"")</f>
        <v/>
      </c>
      <c r="L57" s="47" t="str">
        <f>IFERROR(VLOOKUP($A$1&amp;"-"&amp;ROW(Z56),基本資料填寫!$A:$DN,COLUMN(基本資料填寫!BZ57),0),"")</f>
        <v/>
      </c>
      <c r="M57" s="47" t="str">
        <f>IFERROR(VLOOKUP($A$1&amp;"-"&amp;ROW(AA56),基本資料填寫!$A:$DN,COLUMN(基本資料填寫!CA57),0),"")</f>
        <v/>
      </c>
      <c r="N57" s="47" t="str">
        <f>IFERROR(VLOOKUP($A$1&amp;"-"&amp;ROW(G56),基本資料填寫!$A:$DN,COLUMN(基本資料填寫!AO57),0),"")</f>
        <v/>
      </c>
      <c r="O57" s="47" t="str">
        <f>IFERROR(VLOOKUP($A$1&amp;"-"&amp;ROW(AB56),基本資料填寫!$A:$DN,COLUMN(基本資料填寫!CB57),0),"")</f>
        <v/>
      </c>
      <c r="P57" s="47" t="str">
        <f>IFERROR(VLOOKUP($A$1&amp;"-"&amp;ROW(AC56),基本資料填寫!$A:$DN,COLUMN(基本資料填寫!CC57),0),"")</f>
        <v/>
      </c>
      <c r="Q57" s="47" t="str">
        <f>IFERROR(VLOOKUP($A$1&amp;"-"&amp;ROW(AD56),基本資料填寫!$A:$DN,COLUMN(基本資料填寫!CD57),0),"")</f>
        <v/>
      </c>
      <c r="R57" s="47" t="str">
        <f>IFERROR(VLOOKUP($A$1&amp;"-"&amp;ROW(AE56),基本資料填寫!$A:$DN,COLUMN(基本資料填寫!CE57),0),"")</f>
        <v/>
      </c>
      <c r="S57" s="47" t="str">
        <f>IFERROR(VLOOKUP($A$1&amp;"-"&amp;ROW(AF56),基本資料填寫!$A:$DN,COLUMN(基本資料填寫!CF57),0),"")</f>
        <v/>
      </c>
      <c r="T57" s="47" t="str">
        <f>IFERROR(VLOOKUP($A$1&amp;"-"&amp;ROW(AG56),基本資料填寫!$A:$DN,COLUMN(基本資料填寫!CG57),0),"")</f>
        <v/>
      </c>
      <c r="U57" s="47" t="str">
        <f>IFERROR(VLOOKUP($A$1&amp;"-"&amp;ROW(AH56),基本資料填寫!$A:$DN,COLUMN(基本資料填寫!CH57),0),"")</f>
        <v/>
      </c>
      <c r="V57" s="47" t="str">
        <f>IFERROR(VLOOKUP($A$1&amp;"-"&amp;ROW(AI56),基本資料填寫!$A:$DN,COLUMN(基本資料填寫!CI57),0),"")</f>
        <v/>
      </c>
      <c r="W57" s="47" t="str">
        <f>IFERROR(VLOOKUP($A$1&amp;"-"&amp;ROW(E56),基本資料填寫!$A:$DN,COLUMN(基本資料填寫!O57),0),"")</f>
        <v/>
      </c>
      <c r="X57" s="47" t="str">
        <f>IFERROR(VLOOKUP($A$1&amp;"-"&amp;ROW(AJ56),基本資料填寫!$A:$DN,COLUMN(基本資料填寫!CJ57),0),"")</f>
        <v/>
      </c>
      <c r="Y57" s="47" t="str">
        <f>IFERROR(VLOOKUP($A$1&amp;"-"&amp;ROW(AK56),基本資料填寫!$A:$DN,COLUMN(基本資料填寫!CK57),0),"")</f>
        <v/>
      </c>
      <c r="Z57" s="47" t="str">
        <f>IFERROR(VLOOKUP($A$1&amp;"-"&amp;ROW(AM56),基本資料填寫!$A:$DN,COLUMN(基本資料填寫!CN57),0),"")</f>
        <v/>
      </c>
      <c r="AA57" s="47" t="str">
        <f>IFERROR(VLOOKUP($A$1&amp;"-"&amp;ROW(AN56),基本資料填寫!$A:$DN,COLUMN(基本資料填寫!CO57),0),"")</f>
        <v/>
      </c>
      <c r="AB57" s="47" t="str">
        <f>IFERROR(VLOOKUP($A$1&amp;"-"&amp;ROW(AO56),基本資料填寫!$A:$DN,COLUMN(基本資料填寫!CP57),0),"")</f>
        <v/>
      </c>
    </row>
    <row r="58" spans="2:28" x14ac:dyDescent="0.3">
      <c r="B58" s="2" t="str">
        <f>IF(C58="","",COUNTA($C$2:C58))</f>
        <v/>
      </c>
      <c r="C58" s="47" t="str">
        <f>IFERROR(VLOOKUP($A$1&amp;"-"&amp;ROW(C57),基本資料填寫!$A:$DN,COLUMN(基本資料填寫!S58),0),"")</f>
        <v/>
      </c>
      <c r="D58" s="47" t="str">
        <f>IFERROR(VLOOKUP($A$1&amp;"-"&amp;ROW(D57),基本資料填寫!$A:$DN,COLUMN(基本資料填寫!V58),0),"")</f>
        <v/>
      </c>
      <c r="E58" s="47" t="str">
        <f>IFERROR(VLOOKUP($A$1&amp;"-"&amp;ROW(E57),基本資料填寫!$A:$DN,COLUMN(基本資料填寫!BW58),0),"")</f>
        <v/>
      </c>
      <c r="F58" s="47" t="str">
        <f>IFERROR(VLOOKUP($A$1&amp;"-"&amp;ROW(F57),基本資料填寫!$A:$DN,COLUMN(基本資料填寫!AN58),0),"")</f>
        <v/>
      </c>
      <c r="G58" s="47" t="str">
        <f>IFERROR(VLOOKUP($A$1&amp;"-"&amp;ROW(H57),基本資料填寫!$A:$DN,COLUMN(基本資料填寫!R58),0),"")</f>
        <v/>
      </c>
      <c r="H58" s="47" t="str">
        <f>IFERROR(VLOOKUP($A$1&amp;"-"&amp;ROW(X57),基本資料填寫!$A:$DN,COLUMN(基本資料填寫!BX58),0),"")</f>
        <v/>
      </c>
      <c r="I58" s="47" t="str">
        <f>IFERROR(VLOOKUP($A$1&amp;"-"&amp;ROW(P57),基本資料填寫!$A:$DN,COLUMN(基本資料填寫!Z58),0),"")</f>
        <v/>
      </c>
      <c r="J58" s="47" t="str">
        <f>IFERROR(VLOOKUP($A$1&amp;"-"&amp;ROW(Q57),基本資料填寫!$A:$DN,COLUMN(基本資料填寫!AA58),0),"")</f>
        <v/>
      </c>
      <c r="K58" s="47" t="str">
        <f>IFERROR(VLOOKUP($A$1&amp;"-"&amp;ROW(Y57),基本資料填寫!$A:$DN,COLUMN(基本資料填寫!BY58),0),"")</f>
        <v/>
      </c>
      <c r="L58" s="47" t="str">
        <f>IFERROR(VLOOKUP($A$1&amp;"-"&amp;ROW(Z57),基本資料填寫!$A:$DN,COLUMN(基本資料填寫!BZ58),0),"")</f>
        <v/>
      </c>
      <c r="M58" s="47" t="str">
        <f>IFERROR(VLOOKUP($A$1&amp;"-"&amp;ROW(AA57),基本資料填寫!$A:$DN,COLUMN(基本資料填寫!CA58),0),"")</f>
        <v/>
      </c>
      <c r="N58" s="47" t="str">
        <f>IFERROR(VLOOKUP($A$1&amp;"-"&amp;ROW(G57),基本資料填寫!$A:$DN,COLUMN(基本資料填寫!AO58),0),"")</f>
        <v/>
      </c>
      <c r="O58" s="47" t="str">
        <f>IFERROR(VLOOKUP($A$1&amp;"-"&amp;ROW(AB57),基本資料填寫!$A:$DN,COLUMN(基本資料填寫!CB58),0),"")</f>
        <v/>
      </c>
      <c r="P58" s="47" t="str">
        <f>IFERROR(VLOOKUP($A$1&amp;"-"&amp;ROW(AC57),基本資料填寫!$A:$DN,COLUMN(基本資料填寫!CC58),0),"")</f>
        <v/>
      </c>
      <c r="Q58" s="47" t="str">
        <f>IFERROR(VLOOKUP($A$1&amp;"-"&amp;ROW(AD57),基本資料填寫!$A:$DN,COLUMN(基本資料填寫!CD58),0),"")</f>
        <v/>
      </c>
      <c r="R58" s="47" t="str">
        <f>IFERROR(VLOOKUP($A$1&amp;"-"&amp;ROW(AE57),基本資料填寫!$A:$DN,COLUMN(基本資料填寫!CE58),0),"")</f>
        <v/>
      </c>
      <c r="S58" s="47" t="str">
        <f>IFERROR(VLOOKUP($A$1&amp;"-"&amp;ROW(AF57),基本資料填寫!$A:$DN,COLUMN(基本資料填寫!CF58),0),"")</f>
        <v/>
      </c>
      <c r="T58" s="47" t="str">
        <f>IFERROR(VLOOKUP($A$1&amp;"-"&amp;ROW(AG57),基本資料填寫!$A:$DN,COLUMN(基本資料填寫!CG58),0),"")</f>
        <v/>
      </c>
      <c r="U58" s="47" t="str">
        <f>IFERROR(VLOOKUP($A$1&amp;"-"&amp;ROW(AH57),基本資料填寫!$A:$DN,COLUMN(基本資料填寫!CH58),0),"")</f>
        <v/>
      </c>
      <c r="V58" s="47" t="str">
        <f>IFERROR(VLOOKUP($A$1&amp;"-"&amp;ROW(AI57),基本資料填寫!$A:$DN,COLUMN(基本資料填寫!CI58),0),"")</f>
        <v/>
      </c>
      <c r="W58" s="47" t="str">
        <f>IFERROR(VLOOKUP($A$1&amp;"-"&amp;ROW(E57),基本資料填寫!$A:$DN,COLUMN(基本資料填寫!O58),0),"")</f>
        <v/>
      </c>
      <c r="X58" s="47" t="str">
        <f>IFERROR(VLOOKUP($A$1&amp;"-"&amp;ROW(AJ57),基本資料填寫!$A:$DN,COLUMN(基本資料填寫!CJ58),0),"")</f>
        <v/>
      </c>
      <c r="Y58" s="47" t="str">
        <f>IFERROR(VLOOKUP($A$1&amp;"-"&amp;ROW(AK57),基本資料填寫!$A:$DN,COLUMN(基本資料填寫!CK58),0),"")</f>
        <v/>
      </c>
      <c r="Z58" s="47" t="str">
        <f>IFERROR(VLOOKUP($A$1&amp;"-"&amp;ROW(AM57),基本資料填寫!$A:$DN,COLUMN(基本資料填寫!CN58),0),"")</f>
        <v/>
      </c>
      <c r="AA58" s="47" t="str">
        <f>IFERROR(VLOOKUP($A$1&amp;"-"&amp;ROW(AN57),基本資料填寫!$A:$DN,COLUMN(基本資料填寫!CO58),0),"")</f>
        <v/>
      </c>
      <c r="AB58" s="47" t="str">
        <f>IFERROR(VLOOKUP($A$1&amp;"-"&amp;ROW(AO57),基本資料填寫!$A:$DN,COLUMN(基本資料填寫!CP58),0),"")</f>
        <v/>
      </c>
    </row>
    <row r="59" spans="2:28" x14ac:dyDescent="0.3">
      <c r="B59" s="2" t="str">
        <f>IF(C59="","",COUNTA($C$2:C59))</f>
        <v/>
      </c>
      <c r="C59" s="47" t="str">
        <f>IFERROR(VLOOKUP($A$1&amp;"-"&amp;ROW(C58),基本資料填寫!$A:$DN,COLUMN(基本資料填寫!S59),0),"")</f>
        <v/>
      </c>
      <c r="D59" s="47" t="str">
        <f>IFERROR(VLOOKUP($A$1&amp;"-"&amp;ROW(D58),基本資料填寫!$A:$DN,COLUMN(基本資料填寫!V59),0),"")</f>
        <v/>
      </c>
      <c r="E59" s="47" t="str">
        <f>IFERROR(VLOOKUP($A$1&amp;"-"&amp;ROW(E58),基本資料填寫!$A:$DN,COLUMN(基本資料填寫!BW59),0),"")</f>
        <v/>
      </c>
      <c r="F59" s="47" t="str">
        <f>IFERROR(VLOOKUP($A$1&amp;"-"&amp;ROW(F58),基本資料填寫!$A:$DN,COLUMN(基本資料填寫!AN59),0),"")</f>
        <v/>
      </c>
      <c r="G59" s="47" t="str">
        <f>IFERROR(VLOOKUP($A$1&amp;"-"&amp;ROW(H58),基本資料填寫!$A:$DN,COLUMN(基本資料填寫!R59),0),"")</f>
        <v/>
      </c>
      <c r="H59" s="47" t="str">
        <f>IFERROR(VLOOKUP($A$1&amp;"-"&amp;ROW(X58),基本資料填寫!$A:$DN,COLUMN(基本資料填寫!BX59),0),"")</f>
        <v/>
      </c>
      <c r="I59" s="47" t="str">
        <f>IFERROR(VLOOKUP($A$1&amp;"-"&amp;ROW(P58),基本資料填寫!$A:$DN,COLUMN(基本資料填寫!Z59),0),"")</f>
        <v/>
      </c>
      <c r="J59" s="47" t="str">
        <f>IFERROR(VLOOKUP($A$1&amp;"-"&amp;ROW(Q58),基本資料填寫!$A:$DN,COLUMN(基本資料填寫!AA59),0),"")</f>
        <v/>
      </c>
      <c r="K59" s="47" t="str">
        <f>IFERROR(VLOOKUP($A$1&amp;"-"&amp;ROW(Y58),基本資料填寫!$A:$DN,COLUMN(基本資料填寫!BY59),0),"")</f>
        <v/>
      </c>
      <c r="L59" s="47" t="str">
        <f>IFERROR(VLOOKUP($A$1&amp;"-"&amp;ROW(Z58),基本資料填寫!$A:$DN,COLUMN(基本資料填寫!BZ59),0),"")</f>
        <v/>
      </c>
      <c r="M59" s="47" t="str">
        <f>IFERROR(VLOOKUP($A$1&amp;"-"&amp;ROW(AA58),基本資料填寫!$A:$DN,COLUMN(基本資料填寫!CA59),0),"")</f>
        <v/>
      </c>
      <c r="N59" s="47" t="str">
        <f>IFERROR(VLOOKUP($A$1&amp;"-"&amp;ROW(G58),基本資料填寫!$A:$DN,COLUMN(基本資料填寫!AO59),0),"")</f>
        <v/>
      </c>
      <c r="O59" s="47" t="str">
        <f>IFERROR(VLOOKUP($A$1&amp;"-"&amp;ROW(AB58),基本資料填寫!$A:$DN,COLUMN(基本資料填寫!CB59),0),"")</f>
        <v/>
      </c>
      <c r="P59" s="47" t="str">
        <f>IFERROR(VLOOKUP($A$1&amp;"-"&amp;ROW(AC58),基本資料填寫!$A:$DN,COLUMN(基本資料填寫!CC59),0),"")</f>
        <v/>
      </c>
      <c r="Q59" s="47" t="str">
        <f>IFERROR(VLOOKUP($A$1&amp;"-"&amp;ROW(AD58),基本資料填寫!$A:$DN,COLUMN(基本資料填寫!CD59),0),"")</f>
        <v/>
      </c>
      <c r="R59" s="47" t="str">
        <f>IFERROR(VLOOKUP($A$1&amp;"-"&amp;ROW(AE58),基本資料填寫!$A:$DN,COLUMN(基本資料填寫!CE59),0),"")</f>
        <v/>
      </c>
      <c r="S59" s="47" t="str">
        <f>IFERROR(VLOOKUP($A$1&amp;"-"&amp;ROW(AF58),基本資料填寫!$A:$DN,COLUMN(基本資料填寫!CF59),0),"")</f>
        <v/>
      </c>
      <c r="T59" s="47" t="str">
        <f>IFERROR(VLOOKUP($A$1&amp;"-"&amp;ROW(AG58),基本資料填寫!$A:$DN,COLUMN(基本資料填寫!CG59),0),"")</f>
        <v/>
      </c>
      <c r="U59" s="47" t="str">
        <f>IFERROR(VLOOKUP($A$1&amp;"-"&amp;ROW(AH58),基本資料填寫!$A:$DN,COLUMN(基本資料填寫!CH59),0),"")</f>
        <v/>
      </c>
      <c r="V59" s="47" t="str">
        <f>IFERROR(VLOOKUP($A$1&amp;"-"&amp;ROW(AI58),基本資料填寫!$A:$DN,COLUMN(基本資料填寫!CI59),0),"")</f>
        <v/>
      </c>
      <c r="W59" s="47" t="str">
        <f>IFERROR(VLOOKUP($A$1&amp;"-"&amp;ROW(E58),基本資料填寫!$A:$DN,COLUMN(基本資料填寫!O59),0),"")</f>
        <v/>
      </c>
      <c r="X59" s="47" t="str">
        <f>IFERROR(VLOOKUP($A$1&amp;"-"&amp;ROW(AJ58),基本資料填寫!$A:$DN,COLUMN(基本資料填寫!CJ59),0),"")</f>
        <v/>
      </c>
      <c r="Y59" s="47" t="str">
        <f>IFERROR(VLOOKUP($A$1&amp;"-"&amp;ROW(AK58),基本資料填寫!$A:$DN,COLUMN(基本資料填寫!CK59),0),"")</f>
        <v/>
      </c>
      <c r="Z59" s="47" t="str">
        <f>IFERROR(VLOOKUP($A$1&amp;"-"&amp;ROW(AM58),基本資料填寫!$A:$DN,COLUMN(基本資料填寫!CN59),0),"")</f>
        <v/>
      </c>
      <c r="AA59" s="47" t="str">
        <f>IFERROR(VLOOKUP($A$1&amp;"-"&amp;ROW(AN58),基本資料填寫!$A:$DN,COLUMN(基本資料填寫!CO59),0),"")</f>
        <v/>
      </c>
      <c r="AB59" s="47" t="str">
        <f>IFERROR(VLOOKUP($A$1&amp;"-"&amp;ROW(AO58),基本資料填寫!$A:$DN,COLUMN(基本資料填寫!CP59),0),"")</f>
        <v/>
      </c>
    </row>
    <row r="60" spans="2:28" x14ac:dyDescent="0.3">
      <c r="B60" s="2" t="str">
        <f>IF(C60="","",COUNTA($C$2:C60))</f>
        <v/>
      </c>
      <c r="C60" s="47" t="str">
        <f>IFERROR(VLOOKUP($A$1&amp;"-"&amp;ROW(C59),基本資料填寫!$A:$DN,COLUMN(基本資料填寫!S60),0),"")</f>
        <v/>
      </c>
      <c r="D60" s="47" t="str">
        <f>IFERROR(VLOOKUP($A$1&amp;"-"&amp;ROW(D59),基本資料填寫!$A:$DN,COLUMN(基本資料填寫!V60),0),"")</f>
        <v/>
      </c>
      <c r="E60" s="47" t="str">
        <f>IFERROR(VLOOKUP($A$1&amp;"-"&amp;ROW(E59),基本資料填寫!$A:$DN,COLUMN(基本資料填寫!BW60),0),"")</f>
        <v/>
      </c>
      <c r="F60" s="47" t="str">
        <f>IFERROR(VLOOKUP($A$1&amp;"-"&amp;ROW(F59),基本資料填寫!$A:$DN,COLUMN(基本資料填寫!AN60),0),"")</f>
        <v/>
      </c>
      <c r="G60" s="47" t="str">
        <f>IFERROR(VLOOKUP($A$1&amp;"-"&amp;ROW(H59),基本資料填寫!$A:$DN,COLUMN(基本資料填寫!R60),0),"")</f>
        <v/>
      </c>
      <c r="H60" s="47" t="str">
        <f>IFERROR(VLOOKUP($A$1&amp;"-"&amp;ROW(X59),基本資料填寫!$A:$DN,COLUMN(基本資料填寫!BX60),0),"")</f>
        <v/>
      </c>
      <c r="I60" s="47" t="str">
        <f>IFERROR(VLOOKUP($A$1&amp;"-"&amp;ROW(P59),基本資料填寫!$A:$DN,COLUMN(基本資料填寫!Z60),0),"")</f>
        <v/>
      </c>
      <c r="J60" s="47" t="str">
        <f>IFERROR(VLOOKUP($A$1&amp;"-"&amp;ROW(Q59),基本資料填寫!$A:$DN,COLUMN(基本資料填寫!AA60),0),"")</f>
        <v/>
      </c>
      <c r="K60" s="47" t="str">
        <f>IFERROR(VLOOKUP($A$1&amp;"-"&amp;ROW(Y59),基本資料填寫!$A:$DN,COLUMN(基本資料填寫!BY60),0),"")</f>
        <v/>
      </c>
      <c r="L60" s="47" t="str">
        <f>IFERROR(VLOOKUP($A$1&amp;"-"&amp;ROW(Z59),基本資料填寫!$A:$DN,COLUMN(基本資料填寫!BZ60),0),"")</f>
        <v/>
      </c>
      <c r="M60" s="47" t="str">
        <f>IFERROR(VLOOKUP($A$1&amp;"-"&amp;ROW(AA59),基本資料填寫!$A:$DN,COLUMN(基本資料填寫!CA60),0),"")</f>
        <v/>
      </c>
      <c r="N60" s="47" t="str">
        <f>IFERROR(VLOOKUP($A$1&amp;"-"&amp;ROW(G59),基本資料填寫!$A:$DN,COLUMN(基本資料填寫!AO60),0),"")</f>
        <v/>
      </c>
      <c r="O60" s="47" t="str">
        <f>IFERROR(VLOOKUP($A$1&amp;"-"&amp;ROW(AB59),基本資料填寫!$A:$DN,COLUMN(基本資料填寫!CB60),0),"")</f>
        <v/>
      </c>
      <c r="P60" s="47" t="str">
        <f>IFERROR(VLOOKUP($A$1&amp;"-"&amp;ROW(AC59),基本資料填寫!$A:$DN,COLUMN(基本資料填寫!CC60),0),"")</f>
        <v/>
      </c>
      <c r="Q60" s="47" t="str">
        <f>IFERROR(VLOOKUP($A$1&amp;"-"&amp;ROW(AD59),基本資料填寫!$A:$DN,COLUMN(基本資料填寫!CD60),0),"")</f>
        <v/>
      </c>
      <c r="R60" s="47" t="str">
        <f>IFERROR(VLOOKUP($A$1&amp;"-"&amp;ROW(AE59),基本資料填寫!$A:$DN,COLUMN(基本資料填寫!CE60),0),"")</f>
        <v/>
      </c>
      <c r="S60" s="47" t="str">
        <f>IFERROR(VLOOKUP($A$1&amp;"-"&amp;ROW(AF59),基本資料填寫!$A:$DN,COLUMN(基本資料填寫!CF60),0),"")</f>
        <v/>
      </c>
      <c r="T60" s="47" t="str">
        <f>IFERROR(VLOOKUP($A$1&amp;"-"&amp;ROW(AG59),基本資料填寫!$A:$DN,COLUMN(基本資料填寫!CG60),0),"")</f>
        <v/>
      </c>
      <c r="U60" s="47" t="str">
        <f>IFERROR(VLOOKUP($A$1&amp;"-"&amp;ROW(AH59),基本資料填寫!$A:$DN,COLUMN(基本資料填寫!CH60),0),"")</f>
        <v/>
      </c>
      <c r="V60" s="47" t="str">
        <f>IFERROR(VLOOKUP($A$1&amp;"-"&amp;ROW(AI59),基本資料填寫!$A:$DN,COLUMN(基本資料填寫!CI60),0),"")</f>
        <v/>
      </c>
      <c r="W60" s="47" t="str">
        <f>IFERROR(VLOOKUP($A$1&amp;"-"&amp;ROW(E59),基本資料填寫!$A:$DN,COLUMN(基本資料填寫!O60),0),"")</f>
        <v/>
      </c>
      <c r="X60" s="47" t="str">
        <f>IFERROR(VLOOKUP($A$1&amp;"-"&amp;ROW(AJ59),基本資料填寫!$A:$DN,COLUMN(基本資料填寫!CJ60),0),"")</f>
        <v/>
      </c>
      <c r="Y60" s="47" t="str">
        <f>IFERROR(VLOOKUP($A$1&amp;"-"&amp;ROW(AK59),基本資料填寫!$A:$DN,COLUMN(基本資料填寫!CK60),0),"")</f>
        <v/>
      </c>
      <c r="Z60" s="47" t="str">
        <f>IFERROR(VLOOKUP($A$1&amp;"-"&amp;ROW(AM59),基本資料填寫!$A:$DN,COLUMN(基本資料填寫!CN60),0),"")</f>
        <v/>
      </c>
      <c r="AA60" s="47" t="str">
        <f>IFERROR(VLOOKUP($A$1&amp;"-"&amp;ROW(AN59),基本資料填寫!$A:$DN,COLUMN(基本資料填寫!CO60),0),"")</f>
        <v/>
      </c>
      <c r="AB60" s="47" t="str">
        <f>IFERROR(VLOOKUP($A$1&amp;"-"&amp;ROW(AO59),基本資料填寫!$A:$DN,COLUMN(基本資料填寫!CP60),0),"")</f>
        <v/>
      </c>
    </row>
    <row r="61" spans="2:28" x14ac:dyDescent="0.3">
      <c r="B61" s="2" t="str">
        <f>IF(C61="","",COUNTA($C$2:C61))</f>
        <v/>
      </c>
      <c r="C61" s="47" t="str">
        <f>IFERROR(VLOOKUP($A$1&amp;"-"&amp;ROW(C60),基本資料填寫!$A:$DN,COLUMN(基本資料填寫!S61),0),"")</f>
        <v/>
      </c>
      <c r="D61" s="47" t="str">
        <f>IFERROR(VLOOKUP($A$1&amp;"-"&amp;ROW(D60),基本資料填寫!$A:$DN,COLUMN(基本資料填寫!V61),0),"")</f>
        <v/>
      </c>
      <c r="E61" s="47" t="str">
        <f>IFERROR(VLOOKUP($A$1&amp;"-"&amp;ROW(E60),基本資料填寫!$A:$DN,COLUMN(基本資料填寫!BW61),0),"")</f>
        <v/>
      </c>
      <c r="F61" s="47" t="str">
        <f>IFERROR(VLOOKUP($A$1&amp;"-"&amp;ROW(F60),基本資料填寫!$A:$DN,COLUMN(基本資料填寫!AN61),0),"")</f>
        <v/>
      </c>
      <c r="G61" s="47" t="str">
        <f>IFERROR(VLOOKUP($A$1&amp;"-"&amp;ROW(H60),基本資料填寫!$A:$DN,COLUMN(基本資料填寫!R61),0),"")</f>
        <v/>
      </c>
      <c r="H61" s="47" t="str">
        <f>IFERROR(VLOOKUP($A$1&amp;"-"&amp;ROW(X60),基本資料填寫!$A:$DN,COLUMN(基本資料填寫!BX61),0),"")</f>
        <v/>
      </c>
      <c r="I61" s="47" t="str">
        <f>IFERROR(VLOOKUP($A$1&amp;"-"&amp;ROW(P60),基本資料填寫!$A:$DN,COLUMN(基本資料填寫!Z61),0),"")</f>
        <v/>
      </c>
      <c r="J61" s="47" t="str">
        <f>IFERROR(VLOOKUP($A$1&amp;"-"&amp;ROW(Q60),基本資料填寫!$A:$DN,COLUMN(基本資料填寫!AA61),0),"")</f>
        <v/>
      </c>
      <c r="K61" s="47" t="str">
        <f>IFERROR(VLOOKUP($A$1&amp;"-"&amp;ROW(Y60),基本資料填寫!$A:$DN,COLUMN(基本資料填寫!BY61),0),"")</f>
        <v/>
      </c>
      <c r="L61" s="47" t="str">
        <f>IFERROR(VLOOKUP($A$1&amp;"-"&amp;ROW(Z60),基本資料填寫!$A:$DN,COLUMN(基本資料填寫!BZ61),0),"")</f>
        <v/>
      </c>
      <c r="M61" s="47" t="str">
        <f>IFERROR(VLOOKUP($A$1&amp;"-"&amp;ROW(AA60),基本資料填寫!$A:$DN,COLUMN(基本資料填寫!CA61),0),"")</f>
        <v/>
      </c>
      <c r="N61" s="47" t="str">
        <f>IFERROR(VLOOKUP($A$1&amp;"-"&amp;ROW(G60),基本資料填寫!$A:$DN,COLUMN(基本資料填寫!AO61),0),"")</f>
        <v/>
      </c>
      <c r="O61" s="47" t="str">
        <f>IFERROR(VLOOKUP($A$1&amp;"-"&amp;ROW(AB60),基本資料填寫!$A:$DN,COLUMN(基本資料填寫!CB61),0),"")</f>
        <v/>
      </c>
      <c r="P61" s="47" t="str">
        <f>IFERROR(VLOOKUP($A$1&amp;"-"&amp;ROW(AC60),基本資料填寫!$A:$DN,COLUMN(基本資料填寫!CC61),0),"")</f>
        <v/>
      </c>
      <c r="Q61" s="47" t="str">
        <f>IFERROR(VLOOKUP($A$1&amp;"-"&amp;ROW(AD60),基本資料填寫!$A:$DN,COLUMN(基本資料填寫!CD61),0),"")</f>
        <v/>
      </c>
      <c r="R61" s="47" t="str">
        <f>IFERROR(VLOOKUP($A$1&amp;"-"&amp;ROW(AE60),基本資料填寫!$A:$DN,COLUMN(基本資料填寫!CE61),0),"")</f>
        <v/>
      </c>
      <c r="S61" s="47" t="str">
        <f>IFERROR(VLOOKUP($A$1&amp;"-"&amp;ROW(AF60),基本資料填寫!$A:$DN,COLUMN(基本資料填寫!CF61),0),"")</f>
        <v/>
      </c>
      <c r="T61" s="47" t="str">
        <f>IFERROR(VLOOKUP($A$1&amp;"-"&amp;ROW(AG60),基本資料填寫!$A:$DN,COLUMN(基本資料填寫!CG61),0),"")</f>
        <v/>
      </c>
      <c r="U61" s="47" t="str">
        <f>IFERROR(VLOOKUP($A$1&amp;"-"&amp;ROW(AH60),基本資料填寫!$A:$DN,COLUMN(基本資料填寫!CH61),0),"")</f>
        <v/>
      </c>
      <c r="V61" s="47" t="str">
        <f>IFERROR(VLOOKUP($A$1&amp;"-"&amp;ROW(AI60),基本資料填寫!$A:$DN,COLUMN(基本資料填寫!CI61),0),"")</f>
        <v/>
      </c>
      <c r="W61" s="47" t="str">
        <f>IFERROR(VLOOKUP($A$1&amp;"-"&amp;ROW(E60),基本資料填寫!$A:$DN,COLUMN(基本資料填寫!O61),0),"")</f>
        <v/>
      </c>
      <c r="X61" s="47" t="str">
        <f>IFERROR(VLOOKUP($A$1&amp;"-"&amp;ROW(AJ60),基本資料填寫!$A:$DN,COLUMN(基本資料填寫!CJ61),0),"")</f>
        <v/>
      </c>
      <c r="Y61" s="47" t="str">
        <f>IFERROR(VLOOKUP($A$1&amp;"-"&amp;ROW(AK60),基本資料填寫!$A:$DN,COLUMN(基本資料填寫!CK61),0),"")</f>
        <v/>
      </c>
      <c r="Z61" s="47" t="str">
        <f>IFERROR(VLOOKUP($A$1&amp;"-"&amp;ROW(AM60),基本資料填寫!$A:$DN,COLUMN(基本資料填寫!CN61),0),"")</f>
        <v/>
      </c>
      <c r="AA61" s="47" t="str">
        <f>IFERROR(VLOOKUP($A$1&amp;"-"&amp;ROW(AN60),基本資料填寫!$A:$DN,COLUMN(基本資料填寫!CO61),0),"")</f>
        <v/>
      </c>
      <c r="AB61" s="47" t="str">
        <f>IFERROR(VLOOKUP($A$1&amp;"-"&amp;ROW(AO60),基本資料填寫!$A:$DN,COLUMN(基本資料填寫!CP61),0),"")</f>
        <v/>
      </c>
    </row>
    <row r="62" spans="2:28" x14ac:dyDescent="0.3">
      <c r="B62" s="2" t="str">
        <f>IF(C62="","",COUNTA($C$2:C62))</f>
        <v/>
      </c>
      <c r="C62" s="47" t="str">
        <f>IFERROR(VLOOKUP($A$1&amp;"-"&amp;ROW(C61),基本資料填寫!$A:$DN,COLUMN(基本資料填寫!S62),0),"")</f>
        <v/>
      </c>
      <c r="D62" s="47" t="str">
        <f>IFERROR(VLOOKUP($A$1&amp;"-"&amp;ROW(D61),基本資料填寫!$A:$DN,COLUMN(基本資料填寫!V62),0),"")</f>
        <v/>
      </c>
      <c r="E62" s="47" t="str">
        <f>IFERROR(VLOOKUP($A$1&amp;"-"&amp;ROW(E61),基本資料填寫!$A:$DN,COLUMN(基本資料填寫!BW62),0),"")</f>
        <v/>
      </c>
      <c r="F62" s="47" t="str">
        <f>IFERROR(VLOOKUP($A$1&amp;"-"&amp;ROW(F61),基本資料填寫!$A:$DN,COLUMN(基本資料填寫!AN62),0),"")</f>
        <v/>
      </c>
      <c r="G62" s="47" t="str">
        <f>IFERROR(VLOOKUP($A$1&amp;"-"&amp;ROW(H61),基本資料填寫!$A:$DN,COLUMN(基本資料填寫!R62),0),"")</f>
        <v/>
      </c>
      <c r="H62" s="47" t="str">
        <f>IFERROR(VLOOKUP($A$1&amp;"-"&amp;ROW(X61),基本資料填寫!$A:$DN,COLUMN(基本資料填寫!BX62),0),"")</f>
        <v/>
      </c>
      <c r="I62" s="47" t="str">
        <f>IFERROR(VLOOKUP($A$1&amp;"-"&amp;ROW(P61),基本資料填寫!$A:$DN,COLUMN(基本資料填寫!Z62),0),"")</f>
        <v/>
      </c>
      <c r="J62" s="47" t="str">
        <f>IFERROR(VLOOKUP($A$1&amp;"-"&amp;ROW(Q61),基本資料填寫!$A:$DN,COLUMN(基本資料填寫!AA62),0),"")</f>
        <v/>
      </c>
      <c r="K62" s="47" t="str">
        <f>IFERROR(VLOOKUP($A$1&amp;"-"&amp;ROW(Y61),基本資料填寫!$A:$DN,COLUMN(基本資料填寫!BY62),0),"")</f>
        <v/>
      </c>
      <c r="L62" s="47" t="str">
        <f>IFERROR(VLOOKUP($A$1&amp;"-"&amp;ROW(Z61),基本資料填寫!$A:$DN,COLUMN(基本資料填寫!BZ62),0),"")</f>
        <v/>
      </c>
      <c r="M62" s="47" t="str">
        <f>IFERROR(VLOOKUP($A$1&amp;"-"&amp;ROW(AA61),基本資料填寫!$A:$DN,COLUMN(基本資料填寫!CA62),0),"")</f>
        <v/>
      </c>
      <c r="N62" s="47" t="str">
        <f>IFERROR(VLOOKUP($A$1&amp;"-"&amp;ROW(G61),基本資料填寫!$A:$DN,COLUMN(基本資料填寫!AO62),0),"")</f>
        <v/>
      </c>
      <c r="O62" s="47" t="str">
        <f>IFERROR(VLOOKUP($A$1&amp;"-"&amp;ROW(AB61),基本資料填寫!$A:$DN,COLUMN(基本資料填寫!CB62),0),"")</f>
        <v/>
      </c>
      <c r="P62" s="47" t="str">
        <f>IFERROR(VLOOKUP($A$1&amp;"-"&amp;ROW(AC61),基本資料填寫!$A:$DN,COLUMN(基本資料填寫!CC62),0),"")</f>
        <v/>
      </c>
      <c r="Q62" s="47" t="str">
        <f>IFERROR(VLOOKUP($A$1&amp;"-"&amp;ROW(AD61),基本資料填寫!$A:$DN,COLUMN(基本資料填寫!CD62),0),"")</f>
        <v/>
      </c>
      <c r="R62" s="47" t="str">
        <f>IFERROR(VLOOKUP($A$1&amp;"-"&amp;ROW(AE61),基本資料填寫!$A:$DN,COLUMN(基本資料填寫!CE62),0),"")</f>
        <v/>
      </c>
      <c r="S62" s="47" t="str">
        <f>IFERROR(VLOOKUP($A$1&amp;"-"&amp;ROW(AF61),基本資料填寫!$A:$DN,COLUMN(基本資料填寫!CF62),0),"")</f>
        <v/>
      </c>
      <c r="T62" s="47" t="str">
        <f>IFERROR(VLOOKUP($A$1&amp;"-"&amp;ROW(AG61),基本資料填寫!$A:$DN,COLUMN(基本資料填寫!CG62),0),"")</f>
        <v/>
      </c>
      <c r="U62" s="47" t="str">
        <f>IFERROR(VLOOKUP($A$1&amp;"-"&amp;ROW(AH61),基本資料填寫!$A:$DN,COLUMN(基本資料填寫!CH62),0),"")</f>
        <v/>
      </c>
      <c r="V62" s="47" t="str">
        <f>IFERROR(VLOOKUP($A$1&amp;"-"&amp;ROW(AI61),基本資料填寫!$A:$DN,COLUMN(基本資料填寫!CI62),0),"")</f>
        <v/>
      </c>
      <c r="W62" s="47" t="str">
        <f>IFERROR(VLOOKUP($A$1&amp;"-"&amp;ROW(E61),基本資料填寫!$A:$DN,COLUMN(基本資料填寫!O62),0),"")</f>
        <v/>
      </c>
      <c r="X62" s="47" t="str">
        <f>IFERROR(VLOOKUP($A$1&amp;"-"&amp;ROW(AJ61),基本資料填寫!$A:$DN,COLUMN(基本資料填寫!CJ62),0),"")</f>
        <v/>
      </c>
      <c r="Y62" s="47" t="str">
        <f>IFERROR(VLOOKUP($A$1&amp;"-"&amp;ROW(AK61),基本資料填寫!$A:$DN,COLUMN(基本資料填寫!CK62),0),"")</f>
        <v/>
      </c>
      <c r="Z62" s="47" t="str">
        <f>IFERROR(VLOOKUP($A$1&amp;"-"&amp;ROW(AM61),基本資料填寫!$A:$DN,COLUMN(基本資料填寫!CN62),0),"")</f>
        <v/>
      </c>
      <c r="AA62" s="47" t="str">
        <f>IFERROR(VLOOKUP($A$1&amp;"-"&amp;ROW(AN61),基本資料填寫!$A:$DN,COLUMN(基本資料填寫!CO62),0),"")</f>
        <v/>
      </c>
      <c r="AB62" s="47" t="str">
        <f>IFERROR(VLOOKUP($A$1&amp;"-"&amp;ROW(AO61),基本資料填寫!$A:$DN,COLUMN(基本資料填寫!CP62),0),"")</f>
        <v/>
      </c>
    </row>
    <row r="63" spans="2:28" x14ac:dyDescent="0.3">
      <c r="B63" s="2" t="str">
        <f>IF(C63="","",COUNTA($C$2:C63))</f>
        <v/>
      </c>
      <c r="C63" s="47" t="str">
        <f>IFERROR(VLOOKUP($A$1&amp;"-"&amp;ROW(C62),基本資料填寫!$A:$DN,COLUMN(基本資料填寫!S63),0),"")</f>
        <v/>
      </c>
      <c r="D63" s="47" t="str">
        <f>IFERROR(VLOOKUP($A$1&amp;"-"&amp;ROW(D62),基本資料填寫!$A:$DN,COLUMN(基本資料填寫!V63),0),"")</f>
        <v/>
      </c>
      <c r="E63" s="47" t="str">
        <f>IFERROR(VLOOKUP($A$1&amp;"-"&amp;ROW(E62),基本資料填寫!$A:$DN,COLUMN(基本資料填寫!BW63),0),"")</f>
        <v/>
      </c>
      <c r="F63" s="47" t="str">
        <f>IFERROR(VLOOKUP($A$1&amp;"-"&amp;ROW(F62),基本資料填寫!$A:$DN,COLUMN(基本資料填寫!AN63),0),"")</f>
        <v/>
      </c>
      <c r="G63" s="47" t="str">
        <f>IFERROR(VLOOKUP($A$1&amp;"-"&amp;ROW(H62),基本資料填寫!$A:$DN,COLUMN(基本資料填寫!R63),0),"")</f>
        <v/>
      </c>
      <c r="H63" s="47" t="str">
        <f>IFERROR(VLOOKUP($A$1&amp;"-"&amp;ROW(X62),基本資料填寫!$A:$DN,COLUMN(基本資料填寫!BX63),0),"")</f>
        <v/>
      </c>
      <c r="I63" s="47" t="str">
        <f>IFERROR(VLOOKUP($A$1&amp;"-"&amp;ROW(P62),基本資料填寫!$A:$DN,COLUMN(基本資料填寫!Z63),0),"")</f>
        <v/>
      </c>
      <c r="J63" s="47" t="str">
        <f>IFERROR(VLOOKUP($A$1&amp;"-"&amp;ROW(Q62),基本資料填寫!$A:$DN,COLUMN(基本資料填寫!AA63),0),"")</f>
        <v/>
      </c>
      <c r="K63" s="47" t="str">
        <f>IFERROR(VLOOKUP($A$1&amp;"-"&amp;ROW(Y62),基本資料填寫!$A:$DN,COLUMN(基本資料填寫!BY63),0),"")</f>
        <v/>
      </c>
      <c r="L63" s="47" t="str">
        <f>IFERROR(VLOOKUP($A$1&amp;"-"&amp;ROW(Z62),基本資料填寫!$A:$DN,COLUMN(基本資料填寫!BZ63),0),"")</f>
        <v/>
      </c>
      <c r="M63" s="47" t="str">
        <f>IFERROR(VLOOKUP($A$1&amp;"-"&amp;ROW(AA62),基本資料填寫!$A:$DN,COLUMN(基本資料填寫!CA63),0),"")</f>
        <v/>
      </c>
      <c r="N63" s="47" t="str">
        <f>IFERROR(VLOOKUP($A$1&amp;"-"&amp;ROW(G62),基本資料填寫!$A:$DN,COLUMN(基本資料填寫!AO63),0),"")</f>
        <v/>
      </c>
      <c r="O63" s="47" t="str">
        <f>IFERROR(VLOOKUP($A$1&amp;"-"&amp;ROW(AB62),基本資料填寫!$A:$DN,COLUMN(基本資料填寫!CB63),0),"")</f>
        <v/>
      </c>
      <c r="P63" s="47" t="str">
        <f>IFERROR(VLOOKUP($A$1&amp;"-"&amp;ROW(AC62),基本資料填寫!$A:$DN,COLUMN(基本資料填寫!CC63),0),"")</f>
        <v/>
      </c>
      <c r="Q63" s="47" t="str">
        <f>IFERROR(VLOOKUP($A$1&amp;"-"&amp;ROW(AD62),基本資料填寫!$A:$DN,COLUMN(基本資料填寫!CD63),0),"")</f>
        <v/>
      </c>
      <c r="R63" s="47" t="str">
        <f>IFERROR(VLOOKUP($A$1&amp;"-"&amp;ROW(AE62),基本資料填寫!$A:$DN,COLUMN(基本資料填寫!CE63),0),"")</f>
        <v/>
      </c>
      <c r="S63" s="47" t="str">
        <f>IFERROR(VLOOKUP($A$1&amp;"-"&amp;ROW(AF62),基本資料填寫!$A:$DN,COLUMN(基本資料填寫!CF63),0),"")</f>
        <v/>
      </c>
      <c r="T63" s="47" t="str">
        <f>IFERROR(VLOOKUP($A$1&amp;"-"&amp;ROW(AG62),基本資料填寫!$A:$DN,COLUMN(基本資料填寫!CG63),0),"")</f>
        <v/>
      </c>
      <c r="U63" s="47" t="str">
        <f>IFERROR(VLOOKUP($A$1&amp;"-"&amp;ROW(AH62),基本資料填寫!$A:$DN,COLUMN(基本資料填寫!CH63),0),"")</f>
        <v/>
      </c>
      <c r="V63" s="47" t="str">
        <f>IFERROR(VLOOKUP($A$1&amp;"-"&amp;ROW(AI62),基本資料填寫!$A:$DN,COLUMN(基本資料填寫!CI63),0),"")</f>
        <v/>
      </c>
      <c r="W63" s="47" t="str">
        <f>IFERROR(VLOOKUP($A$1&amp;"-"&amp;ROW(E62),基本資料填寫!$A:$DN,COLUMN(基本資料填寫!O63),0),"")</f>
        <v/>
      </c>
      <c r="X63" s="47" t="str">
        <f>IFERROR(VLOOKUP($A$1&amp;"-"&amp;ROW(AJ62),基本資料填寫!$A:$DN,COLUMN(基本資料填寫!CJ63),0),"")</f>
        <v/>
      </c>
      <c r="Y63" s="47" t="str">
        <f>IFERROR(VLOOKUP($A$1&amp;"-"&amp;ROW(AK62),基本資料填寫!$A:$DN,COLUMN(基本資料填寫!CK63),0),"")</f>
        <v/>
      </c>
      <c r="Z63" s="47" t="str">
        <f>IFERROR(VLOOKUP($A$1&amp;"-"&amp;ROW(AM62),基本資料填寫!$A:$DN,COLUMN(基本資料填寫!CN63),0),"")</f>
        <v/>
      </c>
      <c r="AA63" s="47" t="str">
        <f>IFERROR(VLOOKUP($A$1&amp;"-"&amp;ROW(AN62),基本資料填寫!$A:$DN,COLUMN(基本資料填寫!CO63),0),"")</f>
        <v/>
      </c>
      <c r="AB63" s="47" t="str">
        <f>IFERROR(VLOOKUP($A$1&amp;"-"&amp;ROW(AO62),基本資料填寫!$A:$DN,COLUMN(基本資料填寫!CP63),0),"")</f>
        <v/>
      </c>
    </row>
    <row r="64" spans="2:28" x14ac:dyDescent="0.3">
      <c r="B64" s="2" t="str">
        <f>IF(C64="","",COUNTA($C$2:C64))</f>
        <v/>
      </c>
      <c r="C64" s="47" t="str">
        <f>IFERROR(VLOOKUP($A$1&amp;"-"&amp;ROW(C63),基本資料填寫!$A:$DN,COLUMN(基本資料填寫!S64),0),"")</f>
        <v/>
      </c>
      <c r="D64" s="47" t="str">
        <f>IFERROR(VLOOKUP($A$1&amp;"-"&amp;ROW(D63),基本資料填寫!$A:$DN,COLUMN(基本資料填寫!V64),0),"")</f>
        <v/>
      </c>
      <c r="E64" s="47" t="str">
        <f>IFERROR(VLOOKUP($A$1&amp;"-"&amp;ROW(E63),基本資料填寫!$A:$DN,COLUMN(基本資料填寫!BW64),0),"")</f>
        <v/>
      </c>
      <c r="F64" s="47" t="str">
        <f>IFERROR(VLOOKUP($A$1&amp;"-"&amp;ROW(F63),基本資料填寫!$A:$DN,COLUMN(基本資料填寫!AN64),0),"")</f>
        <v/>
      </c>
      <c r="G64" s="47" t="str">
        <f>IFERROR(VLOOKUP($A$1&amp;"-"&amp;ROW(H63),基本資料填寫!$A:$DN,COLUMN(基本資料填寫!R64),0),"")</f>
        <v/>
      </c>
      <c r="H64" s="47" t="str">
        <f>IFERROR(VLOOKUP($A$1&amp;"-"&amp;ROW(X63),基本資料填寫!$A:$DN,COLUMN(基本資料填寫!BX64),0),"")</f>
        <v/>
      </c>
      <c r="I64" s="47" t="str">
        <f>IFERROR(VLOOKUP($A$1&amp;"-"&amp;ROW(P63),基本資料填寫!$A:$DN,COLUMN(基本資料填寫!Z64),0),"")</f>
        <v/>
      </c>
      <c r="J64" s="47" t="str">
        <f>IFERROR(VLOOKUP($A$1&amp;"-"&amp;ROW(Q63),基本資料填寫!$A:$DN,COLUMN(基本資料填寫!AA64),0),"")</f>
        <v/>
      </c>
      <c r="K64" s="47" t="str">
        <f>IFERROR(VLOOKUP($A$1&amp;"-"&amp;ROW(Y63),基本資料填寫!$A:$DN,COLUMN(基本資料填寫!BY64),0),"")</f>
        <v/>
      </c>
      <c r="L64" s="47" t="str">
        <f>IFERROR(VLOOKUP($A$1&amp;"-"&amp;ROW(Z63),基本資料填寫!$A:$DN,COLUMN(基本資料填寫!BZ64),0),"")</f>
        <v/>
      </c>
      <c r="M64" s="47" t="str">
        <f>IFERROR(VLOOKUP($A$1&amp;"-"&amp;ROW(AA63),基本資料填寫!$A:$DN,COLUMN(基本資料填寫!CA64),0),"")</f>
        <v/>
      </c>
      <c r="N64" s="47" t="str">
        <f>IFERROR(VLOOKUP($A$1&amp;"-"&amp;ROW(G63),基本資料填寫!$A:$DN,COLUMN(基本資料填寫!AO64),0),"")</f>
        <v/>
      </c>
      <c r="O64" s="47" t="str">
        <f>IFERROR(VLOOKUP($A$1&amp;"-"&amp;ROW(AB63),基本資料填寫!$A:$DN,COLUMN(基本資料填寫!CB64),0),"")</f>
        <v/>
      </c>
      <c r="P64" s="47" t="str">
        <f>IFERROR(VLOOKUP($A$1&amp;"-"&amp;ROW(AC63),基本資料填寫!$A:$DN,COLUMN(基本資料填寫!CC64),0),"")</f>
        <v/>
      </c>
      <c r="Q64" s="47" t="str">
        <f>IFERROR(VLOOKUP($A$1&amp;"-"&amp;ROW(AD63),基本資料填寫!$A:$DN,COLUMN(基本資料填寫!CD64),0),"")</f>
        <v/>
      </c>
      <c r="R64" s="47" t="str">
        <f>IFERROR(VLOOKUP($A$1&amp;"-"&amp;ROW(AE63),基本資料填寫!$A:$DN,COLUMN(基本資料填寫!CE64),0),"")</f>
        <v/>
      </c>
      <c r="S64" s="47" t="str">
        <f>IFERROR(VLOOKUP($A$1&amp;"-"&amp;ROW(AF63),基本資料填寫!$A:$DN,COLUMN(基本資料填寫!CF64),0),"")</f>
        <v/>
      </c>
      <c r="T64" s="47" t="str">
        <f>IFERROR(VLOOKUP($A$1&amp;"-"&amp;ROW(AG63),基本資料填寫!$A:$DN,COLUMN(基本資料填寫!CG64),0),"")</f>
        <v/>
      </c>
      <c r="U64" s="47" t="str">
        <f>IFERROR(VLOOKUP($A$1&amp;"-"&amp;ROW(AH63),基本資料填寫!$A:$DN,COLUMN(基本資料填寫!CH64),0),"")</f>
        <v/>
      </c>
      <c r="V64" s="47" t="str">
        <f>IFERROR(VLOOKUP($A$1&amp;"-"&amp;ROW(AI63),基本資料填寫!$A:$DN,COLUMN(基本資料填寫!CI64),0),"")</f>
        <v/>
      </c>
      <c r="W64" s="47" t="str">
        <f>IFERROR(VLOOKUP($A$1&amp;"-"&amp;ROW(E63),基本資料填寫!$A:$DN,COLUMN(基本資料填寫!O64),0),"")</f>
        <v/>
      </c>
      <c r="X64" s="47" t="str">
        <f>IFERROR(VLOOKUP($A$1&amp;"-"&amp;ROW(AJ63),基本資料填寫!$A:$DN,COLUMN(基本資料填寫!CJ64),0),"")</f>
        <v/>
      </c>
      <c r="Y64" s="47" t="str">
        <f>IFERROR(VLOOKUP($A$1&amp;"-"&amp;ROW(AK63),基本資料填寫!$A:$DN,COLUMN(基本資料填寫!CK64),0),"")</f>
        <v/>
      </c>
      <c r="Z64" s="47" t="str">
        <f>IFERROR(VLOOKUP($A$1&amp;"-"&amp;ROW(AM63),基本資料填寫!$A:$DN,COLUMN(基本資料填寫!CN64),0),"")</f>
        <v/>
      </c>
      <c r="AA64" s="47" t="str">
        <f>IFERROR(VLOOKUP($A$1&amp;"-"&amp;ROW(AN63),基本資料填寫!$A:$DN,COLUMN(基本資料填寫!CO64),0),"")</f>
        <v/>
      </c>
      <c r="AB64" s="47" t="str">
        <f>IFERROR(VLOOKUP($A$1&amp;"-"&amp;ROW(AO63),基本資料填寫!$A:$DN,COLUMN(基本資料填寫!CP64),0),"")</f>
        <v/>
      </c>
    </row>
    <row r="65" spans="2:28" x14ac:dyDescent="0.3">
      <c r="B65" s="2" t="str">
        <f>IF(C65="","",COUNTA($C$2:C65))</f>
        <v/>
      </c>
      <c r="C65" s="47" t="str">
        <f>IFERROR(VLOOKUP($A$1&amp;"-"&amp;ROW(C64),基本資料填寫!$A:$DN,COLUMN(基本資料填寫!S65),0),"")</f>
        <v/>
      </c>
      <c r="D65" s="47" t="str">
        <f>IFERROR(VLOOKUP($A$1&amp;"-"&amp;ROW(D64),基本資料填寫!$A:$DN,COLUMN(基本資料填寫!V65),0),"")</f>
        <v/>
      </c>
      <c r="E65" s="47" t="str">
        <f>IFERROR(VLOOKUP($A$1&amp;"-"&amp;ROW(E64),基本資料填寫!$A:$DN,COLUMN(基本資料填寫!BW65),0),"")</f>
        <v/>
      </c>
      <c r="F65" s="47" t="str">
        <f>IFERROR(VLOOKUP($A$1&amp;"-"&amp;ROW(F64),基本資料填寫!$A:$DN,COLUMN(基本資料填寫!AN65),0),"")</f>
        <v/>
      </c>
      <c r="G65" s="47" t="str">
        <f>IFERROR(VLOOKUP($A$1&amp;"-"&amp;ROW(H64),基本資料填寫!$A:$DN,COLUMN(基本資料填寫!R65),0),"")</f>
        <v/>
      </c>
      <c r="H65" s="47" t="str">
        <f>IFERROR(VLOOKUP($A$1&amp;"-"&amp;ROW(X64),基本資料填寫!$A:$DN,COLUMN(基本資料填寫!BX65),0),"")</f>
        <v/>
      </c>
      <c r="I65" s="47" t="str">
        <f>IFERROR(VLOOKUP($A$1&amp;"-"&amp;ROW(P64),基本資料填寫!$A:$DN,COLUMN(基本資料填寫!Z65),0),"")</f>
        <v/>
      </c>
      <c r="J65" s="47" t="str">
        <f>IFERROR(VLOOKUP($A$1&amp;"-"&amp;ROW(Q64),基本資料填寫!$A:$DN,COLUMN(基本資料填寫!AA65),0),"")</f>
        <v/>
      </c>
      <c r="K65" s="47" t="str">
        <f>IFERROR(VLOOKUP($A$1&amp;"-"&amp;ROW(Y64),基本資料填寫!$A:$DN,COLUMN(基本資料填寫!BY65),0),"")</f>
        <v/>
      </c>
      <c r="L65" s="47" t="str">
        <f>IFERROR(VLOOKUP($A$1&amp;"-"&amp;ROW(Z64),基本資料填寫!$A:$DN,COLUMN(基本資料填寫!BZ65),0),"")</f>
        <v/>
      </c>
      <c r="M65" s="47" t="str">
        <f>IFERROR(VLOOKUP($A$1&amp;"-"&amp;ROW(AA64),基本資料填寫!$A:$DN,COLUMN(基本資料填寫!CA65),0),"")</f>
        <v/>
      </c>
      <c r="N65" s="47" t="str">
        <f>IFERROR(VLOOKUP($A$1&amp;"-"&amp;ROW(G64),基本資料填寫!$A:$DN,COLUMN(基本資料填寫!AO65),0),"")</f>
        <v/>
      </c>
      <c r="O65" s="47" t="str">
        <f>IFERROR(VLOOKUP($A$1&amp;"-"&amp;ROW(AB64),基本資料填寫!$A:$DN,COLUMN(基本資料填寫!CB65),0),"")</f>
        <v/>
      </c>
      <c r="P65" s="47" t="str">
        <f>IFERROR(VLOOKUP($A$1&amp;"-"&amp;ROW(AC64),基本資料填寫!$A:$DN,COLUMN(基本資料填寫!CC65),0),"")</f>
        <v/>
      </c>
      <c r="Q65" s="47" t="str">
        <f>IFERROR(VLOOKUP($A$1&amp;"-"&amp;ROW(AD64),基本資料填寫!$A:$DN,COLUMN(基本資料填寫!CD65),0),"")</f>
        <v/>
      </c>
      <c r="R65" s="47" t="str">
        <f>IFERROR(VLOOKUP($A$1&amp;"-"&amp;ROW(AE64),基本資料填寫!$A:$DN,COLUMN(基本資料填寫!CE65),0),"")</f>
        <v/>
      </c>
      <c r="S65" s="47" t="str">
        <f>IFERROR(VLOOKUP($A$1&amp;"-"&amp;ROW(AF64),基本資料填寫!$A:$DN,COLUMN(基本資料填寫!CF65),0),"")</f>
        <v/>
      </c>
      <c r="T65" s="47" t="str">
        <f>IFERROR(VLOOKUP($A$1&amp;"-"&amp;ROW(AG64),基本資料填寫!$A:$DN,COLUMN(基本資料填寫!CG65),0),"")</f>
        <v/>
      </c>
      <c r="U65" s="47" t="str">
        <f>IFERROR(VLOOKUP($A$1&amp;"-"&amp;ROW(AH64),基本資料填寫!$A:$DN,COLUMN(基本資料填寫!CH65),0),"")</f>
        <v/>
      </c>
      <c r="V65" s="47" t="str">
        <f>IFERROR(VLOOKUP($A$1&amp;"-"&amp;ROW(AI64),基本資料填寫!$A:$DN,COLUMN(基本資料填寫!CI65),0),"")</f>
        <v/>
      </c>
      <c r="W65" s="47" t="str">
        <f>IFERROR(VLOOKUP($A$1&amp;"-"&amp;ROW(E64),基本資料填寫!$A:$DN,COLUMN(基本資料填寫!O65),0),"")</f>
        <v/>
      </c>
      <c r="X65" s="47" t="str">
        <f>IFERROR(VLOOKUP($A$1&amp;"-"&amp;ROW(AJ64),基本資料填寫!$A:$DN,COLUMN(基本資料填寫!CJ65),0),"")</f>
        <v/>
      </c>
      <c r="Y65" s="47" t="str">
        <f>IFERROR(VLOOKUP($A$1&amp;"-"&amp;ROW(AK64),基本資料填寫!$A:$DN,COLUMN(基本資料填寫!CK65),0),"")</f>
        <v/>
      </c>
      <c r="Z65" s="47" t="str">
        <f>IFERROR(VLOOKUP($A$1&amp;"-"&amp;ROW(AM64),基本資料填寫!$A:$DN,COLUMN(基本資料填寫!CN65),0),"")</f>
        <v/>
      </c>
      <c r="AA65" s="47" t="str">
        <f>IFERROR(VLOOKUP($A$1&amp;"-"&amp;ROW(AN64),基本資料填寫!$A:$DN,COLUMN(基本資料填寫!CO65),0),"")</f>
        <v/>
      </c>
      <c r="AB65" s="47" t="str">
        <f>IFERROR(VLOOKUP($A$1&amp;"-"&amp;ROW(AO64),基本資料填寫!$A:$DN,COLUMN(基本資料填寫!CP65),0),"")</f>
        <v/>
      </c>
    </row>
    <row r="66" spans="2:28" x14ac:dyDescent="0.3">
      <c r="B66" s="2" t="str">
        <f>IF(C66="","",COUNTA($C$2:C66))</f>
        <v/>
      </c>
      <c r="C66" s="47" t="str">
        <f>IFERROR(VLOOKUP($A$1&amp;"-"&amp;ROW(C65),基本資料填寫!$A:$DN,COLUMN(基本資料填寫!S66),0),"")</f>
        <v/>
      </c>
      <c r="D66" s="47" t="str">
        <f>IFERROR(VLOOKUP($A$1&amp;"-"&amp;ROW(D65),基本資料填寫!$A:$DN,COLUMN(基本資料填寫!V66),0),"")</f>
        <v/>
      </c>
      <c r="E66" s="47" t="str">
        <f>IFERROR(VLOOKUP($A$1&amp;"-"&amp;ROW(E65),基本資料填寫!$A:$DN,COLUMN(基本資料填寫!BW66),0),"")</f>
        <v/>
      </c>
      <c r="F66" s="47" t="str">
        <f>IFERROR(VLOOKUP($A$1&amp;"-"&amp;ROW(F65),基本資料填寫!$A:$DN,COLUMN(基本資料填寫!AN66),0),"")</f>
        <v/>
      </c>
      <c r="G66" s="47" t="str">
        <f>IFERROR(VLOOKUP($A$1&amp;"-"&amp;ROW(H65),基本資料填寫!$A:$DN,COLUMN(基本資料填寫!R66),0),"")</f>
        <v/>
      </c>
      <c r="H66" s="47" t="str">
        <f>IFERROR(VLOOKUP($A$1&amp;"-"&amp;ROW(X65),基本資料填寫!$A:$DN,COLUMN(基本資料填寫!BX66),0),"")</f>
        <v/>
      </c>
      <c r="I66" s="47" t="str">
        <f>IFERROR(VLOOKUP($A$1&amp;"-"&amp;ROW(P65),基本資料填寫!$A:$DN,COLUMN(基本資料填寫!Z66),0),"")</f>
        <v/>
      </c>
      <c r="J66" s="47" t="str">
        <f>IFERROR(VLOOKUP($A$1&amp;"-"&amp;ROW(Q65),基本資料填寫!$A:$DN,COLUMN(基本資料填寫!AA66),0),"")</f>
        <v/>
      </c>
      <c r="K66" s="47" t="str">
        <f>IFERROR(VLOOKUP($A$1&amp;"-"&amp;ROW(Y65),基本資料填寫!$A:$DN,COLUMN(基本資料填寫!BY66),0),"")</f>
        <v/>
      </c>
      <c r="L66" s="47" t="str">
        <f>IFERROR(VLOOKUP($A$1&amp;"-"&amp;ROW(Z65),基本資料填寫!$A:$DN,COLUMN(基本資料填寫!BZ66),0),"")</f>
        <v/>
      </c>
      <c r="M66" s="47" t="str">
        <f>IFERROR(VLOOKUP($A$1&amp;"-"&amp;ROW(AA65),基本資料填寫!$A:$DN,COLUMN(基本資料填寫!CA66),0),"")</f>
        <v/>
      </c>
      <c r="N66" s="47" t="str">
        <f>IFERROR(VLOOKUP($A$1&amp;"-"&amp;ROW(G65),基本資料填寫!$A:$DN,COLUMN(基本資料填寫!AO66),0),"")</f>
        <v/>
      </c>
      <c r="O66" s="47" t="str">
        <f>IFERROR(VLOOKUP($A$1&amp;"-"&amp;ROW(AB65),基本資料填寫!$A:$DN,COLUMN(基本資料填寫!CB66),0),"")</f>
        <v/>
      </c>
      <c r="P66" s="47" t="str">
        <f>IFERROR(VLOOKUP($A$1&amp;"-"&amp;ROW(AC65),基本資料填寫!$A:$DN,COLUMN(基本資料填寫!CC66),0),"")</f>
        <v/>
      </c>
      <c r="Q66" s="47" t="str">
        <f>IFERROR(VLOOKUP($A$1&amp;"-"&amp;ROW(AD65),基本資料填寫!$A:$DN,COLUMN(基本資料填寫!CD66),0),"")</f>
        <v/>
      </c>
      <c r="R66" s="47" t="str">
        <f>IFERROR(VLOOKUP($A$1&amp;"-"&amp;ROW(AE65),基本資料填寫!$A:$DN,COLUMN(基本資料填寫!CE66),0),"")</f>
        <v/>
      </c>
      <c r="S66" s="47" t="str">
        <f>IFERROR(VLOOKUP($A$1&amp;"-"&amp;ROW(AF65),基本資料填寫!$A:$DN,COLUMN(基本資料填寫!CF66),0),"")</f>
        <v/>
      </c>
      <c r="T66" s="47" t="str">
        <f>IFERROR(VLOOKUP($A$1&amp;"-"&amp;ROW(AG65),基本資料填寫!$A:$DN,COLUMN(基本資料填寫!CG66),0),"")</f>
        <v/>
      </c>
      <c r="U66" s="47" t="str">
        <f>IFERROR(VLOOKUP($A$1&amp;"-"&amp;ROW(AH65),基本資料填寫!$A:$DN,COLUMN(基本資料填寫!CH66),0),"")</f>
        <v/>
      </c>
      <c r="V66" s="47" t="str">
        <f>IFERROR(VLOOKUP($A$1&amp;"-"&amp;ROW(AI65),基本資料填寫!$A:$DN,COLUMN(基本資料填寫!CI66),0),"")</f>
        <v/>
      </c>
      <c r="W66" s="47" t="str">
        <f>IFERROR(VLOOKUP($A$1&amp;"-"&amp;ROW(E65),基本資料填寫!$A:$DN,COLUMN(基本資料填寫!O66),0),"")</f>
        <v/>
      </c>
      <c r="X66" s="47" t="str">
        <f>IFERROR(VLOOKUP($A$1&amp;"-"&amp;ROW(AJ65),基本資料填寫!$A:$DN,COLUMN(基本資料填寫!CJ66),0),"")</f>
        <v/>
      </c>
      <c r="Y66" s="47" t="str">
        <f>IFERROR(VLOOKUP($A$1&amp;"-"&amp;ROW(AK65),基本資料填寫!$A:$DN,COLUMN(基本資料填寫!CK66),0),"")</f>
        <v/>
      </c>
      <c r="Z66" s="47" t="str">
        <f>IFERROR(VLOOKUP($A$1&amp;"-"&amp;ROW(AM65),基本資料填寫!$A:$DN,COLUMN(基本資料填寫!CN66),0),"")</f>
        <v/>
      </c>
      <c r="AA66" s="47" t="str">
        <f>IFERROR(VLOOKUP($A$1&amp;"-"&amp;ROW(AN65),基本資料填寫!$A:$DN,COLUMN(基本資料填寫!CO66),0),"")</f>
        <v/>
      </c>
      <c r="AB66" s="47" t="str">
        <f>IFERROR(VLOOKUP($A$1&amp;"-"&amp;ROW(AO65),基本資料填寫!$A:$DN,COLUMN(基本資料填寫!CP66),0),"")</f>
        <v/>
      </c>
    </row>
    <row r="67" spans="2:28" x14ac:dyDescent="0.3">
      <c r="B67" s="2" t="str">
        <f>IF(C67="","",COUNTA($C$2:C67))</f>
        <v/>
      </c>
      <c r="C67" s="47" t="str">
        <f>IFERROR(VLOOKUP($A$1&amp;"-"&amp;ROW(C66),基本資料填寫!$A:$DN,COLUMN(基本資料填寫!S67),0),"")</f>
        <v/>
      </c>
      <c r="D67" s="47" t="str">
        <f>IFERROR(VLOOKUP($A$1&amp;"-"&amp;ROW(D66),基本資料填寫!$A:$DN,COLUMN(基本資料填寫!V67),0),"")</f>
        <v/>
      </c>
      <c r="E67" s="47" t="str">
        <f>IFERROR(VLOOKUP($A$1&amp;"-"&amp;ROW(E66),基本資料填寫!$A:$DN,COLUMN(基本資料填寫!BW67),0),"")</f>
        <v/>
      </c>
      <c r="F67" s="47" t="str">
        <f>IFERROR(VLOOKUP($A$1&amp;"-"&amp;ROW(F66),基本資料填寫!$A:$DN,COLUMN(基本資料填寫!AN67),0),"")</f>
        <v/>
      </c>
      <c r="G67" s="47" t="str">
        <f>IFERROR(VLOOKUP($A$1&amp;"-"&amp;ROW(H66),基本資料填寫!$A:$DN,COLUMN(基本資料填寫!R67),0),"")</f>
        <v/>
      </c>
      <c r="H67" s="47" t="str">
        <f>IFERROR(VLOOKUP($A$1&amp;"-"&amp;ROW(X66),基本資料填寫!$A:$DN,COLUMN(基本資料填寫!BX67),0),"")</f>
        <v/>
      </c>
      <c r="I67" s="47" t="str">
        <f>IFERROR(VLOOKUP($A$1&amp;"-"&amp;ROW(P66),基本資料填寫!$A:$DN,COLUMN(基本資料填寫!Z67),0),"")</f>
        <v/>
      </c>
      <c r="J67" s="47" t="str">
        <f>IFERROR(VLOOKUP($A$1&amp;"-"&amp;ROW(Q66),基本資料填寫!$A:$DN,COLUMN(基本資料填寫!AA67),0),"")</f>
        <v/>
      </c>
      <c r="K67" s="47" t="str">
        <f>IFERROR(VLOOKUP($A$1&amp;"-"&amp;ROW(Y66),基本資料填寫!$A:$DN,COLUMN(基本資料填寫!BY67),0),"")</f>
        <v/>
      </c>
      <c r="L67" s="47" t="str">
        <f>IFERROR(VLOOKUP($A$1&amp;"-"&amp;ROW(Z66),基本資料填寫!$A:$DN,COLUMN(基本資料填寫!BZ67),0),"")</f>
        <v/>
      </c>
      <c r="M67" s="47" t="str">
        <f>IFERROR(VLOOKUP($A$1&amp;"-"&amp;ROW(AA66),基本資料填寫!$A:$DN,COLUMN(基本資料填寫!CA67),0),"")</f>
        <v/>
      </c>
      <c r="N67" s="47" t="str">
        <f>IFERROR(VLOOKUP($A$1&amp;"-"&amp;ROW(G66),基本資料填寫!$A:$DN,COLUMN(基本資料填寫!AO67),0),"")</f>
        <v/>
      </c>
      <c r="O67" s="47" t="str">
        <f>IFERROR(VLOOKUP($A$1&amp;"-"&amp;ROW(AB66),基本資料填寫!$A:$DN,COLUMN(基本資料填寫!CB67),0),"")</f>
        <v/>
      </c>
      <c r="P67" s="47" t="str">
        <f>IFERROR(VLOOKUP($A$1&amp;"-"&amp;ROW(AC66),基本資料填寫!$A:$DN,COLUMN(基本資料填寫!CC67),0),"")</f>
        <v/>
      </c>
      <c r="Q67" s="47" t="str">
        <f>IFERROR(VLOOKUP($A$1&amp;"-"&amp;ROW(AD66),基本資料填寫!$A:$DN,COLUMN(基本資料填寫!CD67),0),"")</f>
        <v/>
      </c>
      <c r="R67" s="47" t="str">
        <f>IFERROR(VLOOKUP($A$1&amp;"-"&amp;ROW(AE66),基本資料填寫!$A:$DN,COLUMN(基本資料填寫!CE67),0),"")</f>
        <v/>
      </c>
      <c r="S67" s="47" t="str">
        <f>IFERROR(VLOOKUP($A$1&amp;"-"&amp;ROW(AF66),基本資料填寫!$A:$DN,COLUMN(基本資料填寫!CF67),0),"")</f>
        <v/>
      </c>
      <c r="T67" s="47" t="str">
        <f>IFERROR(VLOOKUP($A$1&amp;"-"&amp;ROW(AG66),基本資料填寫!$A:$DN,COLUMN(基本資料填寫!CG67),0),"")</f>
        <v/>
      </c>
      <c r="U67" s="47" t="str">
        <f>IFERROR(VLOOKUP($A$1&amp;"-"&amp;ROW(AH66),基本資料填寫!$A:$DN,COLUMN(基本資料填寫!CH67),0),"")</f>
        <v/>
      </c>
      <c r="V67" s="47" t="str">
        <f>IFERROR(VLOOKUP($A$1&amp;"-"&amp;ROW(AI66),基本資料填寫!$A:$DN,COLUMN(基本資料填寫!CI67),0),"")</f>
        <v/>
      </c>
      <c r="W67" s="47" t="str">
        <f>IFERROR(VLOOKUP($A$1&amp;"-"&amp;ROW(E66),基本資料填寫!$A:$DN,COLUMN(基本資料填寫!O67),0),"")</f>
        <v/>
      </c>
      <c r="X67" s="47" t="str">
        <f>IFERROR(VLOOKUP($A$1&amp;"-"&amp;ROW(AJ66),基本資料填寫!$A:$DN,COLUMN(基本資料填寫!CJ67),0),"")</f>
        <v/>
      </c>
      <c r="Y67" s="47" t="str">
        <f>IFERROR(VLOOKUP($A$1&amp;"-"&amp;ROW(AK66),基本資料填寫!$A:$DN,COLUMN(基本資料填寫!CK67),0),"")</f>
        <v/>
      </c>
      <c r="Z67" s="47" t="str">
        <f>IFERROR(VLOOKUP($A$1&amp;"-"&amp;ROW(AM66),基本資料填寫!$A:$DN,COLUMN(基本資料填寫!CN67),0),"")</f>
        <v/>
      </c>
      <c r="AA67" s="47" t="str">
        <f>IFERROR(VLOOKUP($A$1&amp;"-"&amp;ROW(AN66),基本資料填寫!$A:$DN,COLUMN(基本資料填寫!CO67),0),"")</f>
        <v/>
      </c>
      <c r="AB67" s="47" t="str">
        <f>IFERROR(VLOOKUP($A$1&amp;"-"&amp;ROW(AO66),基本資料填寫!$A:$DN,COLUMN(基本資料填寫!CP67),0),"")</f>
        <v/>
      </c>
    </row>
    <row r="68" spans="2:28" x14ac:dyDescent="0.3">
      <c r="B68" s="2" t="str">
        <f>IF(C68="","",COUNTA($C$2:C68))</f>
        <v/>
      </c>
      <c r="C68" s="47" t="str">
        <f>IFERROR(VLOOKUP($A$1&amp;"-"&amp;ROW(C67),基本資料填寫!$A:$DN,COLUMN(基本資料填寫!S68),0),"")</f>
        <v/>
      </c>
      <c r="D68" s="47" t="str">
        <f>IFERROR(VLOOKUP($A$1&amp;"-"&amp;ROW(D67),基本資料填寫!$A:$DN,COLUMN(基本資料填寫!V68),0),"")</f>
        <v/>
      </c>
      <c r="E68" s="47" t="str">
        <f>IFERROR(VLOOKUP($A$1&amp;"-"&amp;ROW(E67),基本資料填寫!$A:$DN,COLUMN(基本資料填寫!BW68),0),"")</f>
        <v/>
      </c>
      <c r="F68" s="47" t="str">
        <f>IFERROR(VLOOKUP($A$1&amp;"-"&amp;ROW(F67),基本資料填寫!$A:$DN,COLUMN(基本資料填寫!AN68),0),"")</f>
        <v/>
      </c>
      <c r="G68" s="47" t="str">
        <f>IFERROR(VLOOKUP($A$1&amp;"-"&amp;ROW(H67),基本資料填寫!$A:$DN,COLUMN(基本資料填寫!R68),0),"")</f>
        <v/>
      </c>
      <c r="H68" s="47" t="str">
        <f>IFERROR(VLOOKUP($A$1&amp;"-"&amp;ROW(X67),基本資料填寫!$A:$DN,COLUMN(基本資料填寫!BX68),0),"")</f>
        <v/>
      </c>
      <c r="I68" s="47" t="str">
        <f>IFERROR(VLOOKUP($A$1&amp;"-"&amp;ROW(P67),基本資料填寫!$A:$DN,COLUMN(基本資料填寫!Z68),0),"")</f>
        <v/>
      </c>
      <c r="J68" s="47" t="str">
        <f>IFERROR(VLOOKUP($A$1&amp;"-"&amp;ROW(Q67),基本資料填寫!$A:$DN,COLUMN(基本資料填寫!AA68),0),"")</f>
        <v/>
      </c>
      <c r="K68" s="47" t="str">
        <f>IFERROR(VLOOKUP($A$1&amp;"-"&amp;ROW(Y67),基本資料填寫!$A:$DN,COLUMN(基本資料填寫!BY68),0),"")</f>
        <v/>
      </c>
      <c r="L68" s="47" t="str">
        <f>IFERROR(VLOOKUP($A$1&amp;"-"&amp;ROW(Z67),基本資料填寫!$A:$DN,COLUMN(基本資料填寫!BZ68),0),"")</f>
        <v/>
      </c>
      <c r="M68" s="47" t="str">
        <f>IFERROR(VLOOKUP($A$1&amp;"-"&amp;ROW(AA67),基本資料填寫!$A:$DN,COLUMN(基本資料填寫!CA68),0),"")</f>
        <v/>
      </c>
      <c r="N68" s="47" t="str">
        <f>IFERROR(VLOOKUP($A$1&amp;"-"&amp;ROW(G67),基本資料填寫!$A:$DN,COLUMN(基本資料填寫!AO68),0),"")</f>
        <v/>
      </c>
      <c r="O68" s="47" t="str">
        <f>IFERROR(VLOOKUP($A$1&amp;"-"&amp;ROW(AB67),基本資料填寫!$A:$DN,COLUMN(基本資料填寫!CB68),0),"")</f>
        <v/>
      </c>
      <c r="P68" s="47" t="str">
        <f>IFERROR(VLOOKUP($A$1&amp;"-"&amp;ROW(AC67),基本資料填寫!$A:$DN,COLUMN(基本資料填寫!CC68),0),"")</f>
        <v/>
      </c>
      <c r="Q68" s="47" t="str">
        <f>IFERROR(VLOOKUP($A$1&amp;"-"&amp;ROW(AD67),基本資料填寫!$A:$DN,COLUMN(基本資料填寫!CD68),0),"")</f>
        <v/>
      </c>
      <c r="R68" s="47" t="str">
        <f>IFERROR(VLOOKUP($A$1&amp;"-"&amp;ROW(AE67),基本資料填寫!$A:$DN,COLUMN(基本資料填寫!CE68),0),"")</f>
        <v/>
      </c>
      <c r="S68" s="47" t="str">
        <f>IFERROR(VLOOKUP($A$1&amp;"-"&amp;ROW(AF67),基本資料填寫!$A:$DN,COLUMN(基本資料填寫!CF68),0),"")</f>
        <v/>
      </c>
      <c r="T68" s="47" t="str">
        <f>IFERROR(VLOOKUP($A$1&amp;"-"&amp;ROW(AG67),基本資料填寫!$A:$DN,COLUMN(基本資料填寫!CG68),0),"")</f>
        <v/>
      </c>
      <c r="U68" s="47" t="str">
        <f>IFERROR(VLOOKUP($A$1&amp;"-"&amp;ROW(AH67),基本資料填寫!$A:$DN,COLUMN(基本資料填寫!CH68),0),"")</f>
        <v/>
      </c>
      <c r="V68" s="47" t="str">
        <f>IFERROR(VLOOKUP($A$1&amp;"-"&amp;ROW(AI67),基本資料填寫!$A:$DN,COLUMN(基本資料填寫!CI68),0),"")</f>
        <v/>
      </c>
      <c r="W68" s="47" t="str">
        <f>IFERROR(VLOOKUP($A$1&amp;"-"&amp;ROW(E67),基本資料填寫!$A:$DN,COLUMN(基本資料填寫!O68),0),"")</f>
        <v/>
      </c>
      <c r="X68" s="47" t="str">
        <f>IFERROR(VLOOKUP($A$1&amp;"-"&amp;ROW(AJ67),基本資料填寫!$A:$DN,COLUMN(基本資料填寫!CJ68),0),"")</f>
        <v/>
      </c>
      <c r="Y68" s="47" t="str">
        <f>IFERROR(VLOOKUP($A$1&amp;"-"&amp;ROW(AK67),基本資料填寫!$A:$DN,COLUMN(基本資料填寫!CK68),0),"")</f>
        <v/>
      </c>
      <c r="Z68" s="47" t="str">
        <f>IFERROR(VLOOKUP($A$1&amp;"-"&amp;ROW(AM67),基本資料填寫!$A:$DN,COLUMN(基本資料填寫!CN68),0),"")</f>
        <v/>
      </c>
      <c r="AA68" s="47" t="str">
        <f>IFERROR(VLOOKUP($A$1&amp;"-"&amp;ROW(AN67),基本資料填寫!$A:$DN,COLUMN(基本資料填寫!CO68),0),"")</f>
        <v/>
      </c>
      <c r="AB68" s="47" t="str">
        <f>IFERROR(VLOOKUP($A$1&amp;"-"&amp;ROW(AO67),基本資料填寫!$A:$DN,COLUMN(基本資料填寫!CP68),0),"")</f>
        <v/>
      </c>
    </row>
    <row r="69" spans="2:28" x14ac:dyDescent="0.3">
      <c r="B69" s="2" t="str">
        <f>IF(C69="","",COUNTA($C$2:C69))</f>
        <v/>
      </c>
      <c r="C69" s="47" t="str">
        <f>IFERROR(VLOOKUP($A$1&amp;"-"&amp;ROW(C68),基本資料填寫!$A:$DN,COLUMN(基本資料填寫!S69),0),"")</f>
        <v/>
      </c>
      <c r="D69" s="47" t="str">
        <f>IFERROR(VLOOKUP($A$1&amp;"-"&amp;ROW(D68),基本資料填寫!$A:$DN,COLUMN(基本資料填寫!V69),0),"")</f>
        <v/>
      </c>
      <c r="E69" s="47" t="str">
        <f>IFERROR(VLOOKUP($A$1&amp;"-"&amp;ROW(E68),基本資料填寫!$A:$DN,COLUMN(基本資料填寫!BW69),0),"")</f>
        <v/>
      </c>
      <c r="F69" s="47" t="str">
        <f>IFERROR(VLOOKUP($A$1&amp;"-"&amp;ROW(F68),基本資料填寫!$A:$DN,COLUMN(基本資料填寫!AN69),0),"")</f>
        <v/>
      </c>
      <c r="G69" s="47" t="str">
        <f>IFERROR(VLOOKUP($A$1&amp;"-"&amp;ROW(H68),基本資料填寫!$A:$DN,COLUMN(基本資料填寫!R69),0),"")</f>
        <v/>
      </c>
      <c r="H69" s="47" t="str">
        <f>IFERROR(VLOOKUP($A$1&amp;"-"&amp;ROW(X68),基本資料填寫!$A:$DN,COLUMN(基本資料填寫!BX69),0),"")</f>
        <v/>
      </c>
      <c r="I69" s="47" t="str">
        <f>IFERROR(VLOOKUP($A$1&amp;"-"&amp;ROW(P68),基本資料填寫!$A:$DN,COLUMN(基本資料填寫!Z69),0),"")</f>
        <v/>
      </c>
      <c r="J69" s="47" t="str">
        <f>IFERROR(VLOOKUP($A$1&amp;"-"&amp;ROW(Q68),基本資料填寫!$A:$DN,COLUMN(基本資料填寫!AA69),0),"")</f>
        <v/>
      </c>
      <c r="K69" s="47" t="str">
        <f>IFERROR(VLOOKUP($A$1&amp;"-"&amp;ROW(Y68),基本資料填寫!$A:$DN,COLUMN(基本資料填寫!BY69),0),"")</f>
        <v/>
      </c>
      <c r="L69" s="47" t="str">
        <f>IFERROR(VLOOKUP($A$1&amp;"-"&amp;ROW(Z68),基本資料填寫!$A:$DN,COLUMN(基本資料填寫!BZ69),0),"")</f>
        <v/>
      </c>
      <c r="M69" s="47" t="str">
        <f>IFERROR(VLOOKUP($A$1&amp;"-"&amp;ROW(AA68),基本資料填寫!$A:$DN,COLUMN(基本資料填寫!CA69),0),"")</f>
        <v/>
      </c>
      <c r="N69" s="47" t="str">
        <f>IFERROR(VLOOKUP($A$1&amp;"-"&amp;ROW(G68),基本資料填寫!$A:$DN,COLUMN(基本資料填寫!AO69),0),"")</f>
        <v/>
      </c>
      <c r="O69" s="47" t="str">
        <f>IFERROR(VLOOKUP($A$1&amp;"-"&amp;ROW(AB68),基本資料填寫!$A:$DN,COLUMN(基本資料填寫!CB69),0),"")</f>
        <v/>
      </c>
      <c r="P69" s="47" t="str">
        <f>IFERROR(VLOOKUP($A$1&amp;"-"&amp;ROW(AC68),基本資料填寫!$A:$DN,COLUMN(基本資料填寫!CC69),0),"")</f>
        <v/>
      </c>
      <c r="Q69" s="47" t="str">
        <f>IFERROR(VLOOKUP($A$1&amp;"-"&amp;ROW(AD68),基本資料填寫!$A:$DN,COLUMN(基本資料填寫!CD69),0),"")</f>
        <v/>
      </c>
      <c r="R69" s="47" t="str">
        <f>IFERROR(VLOOKUP($A$1&amp;"-"&amp;ROW(AE68),基本資料填寫!$A:$DN,COLUMN(基本資料填寫!CE69),0),"")</f>
        <v/>
      </c>
      <c r="S69" s="47" t="str">
        <f>IFERROR(VLOOKUP($A$1&amp;"-"&amp;ROW(AF68),基本資料填寫!$A:$DN,COLUMN(基本資料填寫!CF69),0),"")</f>
        <v/>
      </c>
      <c r="T69" s="47" t="str">
        <f>IFERROR(VLOOKUP($A$1&amp;"-"&amp;ROW(AG68),基本資料填寫!$A:$DN,COLUMN(基本資料填寫!CG69),0),"")</f>
        <v/>
      </c>
      <c r="U69" s="47" t="str">
        <f>IFERROR(VLOOKUP($A$1&amp;"-"&amp;ROW(AH68),基本資料填寫!$A:$DN,COLUMN(基本資料填寫!CH69),0),"")</f>
        <v/>
      </c>
      <c r="V69" s="47" t="str">
        <f>IFERROR(VLOOKUP($A$1&amp;"-"&amp;ROW(AI68),基本資料填寫!$A:$DN,COLUMN(基本資料填寫!CI69),0),"")</f>
        <v/>
      </c>
      <c r="W69" s="47" t="str">
        <f>IFERROR(VLOOKUP($A$1&amp;"-"&amp;ROW(E68),基本資料填寫!$A:$DN,COLUMN(基本資料填寫!O69),0),"")</f>
        <v/>
      </c>
      <c r="X69" s="47" t="str">
        <f>IFERROR(VLOOKUP($A$1&amp;"-"&amp;ROW(AJ68),基本資料填寫!$A:$DN,COLUMN(基本資料填寫!CJ69),0),"")</f>
        <v/>
      </c>
      <c r="Y69" s="47" t="str">
        <f>IFERROR(VLOOKUP($A$1&amp;"-"&amp;ROW(AK68),基本資料填寫!$A:$DN,COLUMN(基本資料填寫!CK69),0),"")</f>
        <v/>
      </c>
      <c r="Z69" s="47" t="str">
        <f>IFERROR(VLOOKUP($A$1&amp;"-"&amp;ROW(AM68),基本資料填寫!$A:$DN,COLUMN(基本資料填寫!CN69),0),"")</f>
        <v/>
      </c>
      <c r="AA69" s="47" t="str">
        <f>IFERROR(VLOOKUP($A$1&amp;"-"&amp;ROW(AN68),基本資料填寫!$A:$DN,COLUMN(基本資料填寫!CO69),0),"")</f>
        <v/>
      </c>
      <c r="AB69" s="47" t="str">
        <f>IFERROR(VLOOKUP($A$1&amp;"-"&amp;ROW(AO68),基本資料填寫!$A:$DN,COLUMN(基本資料填寫!CP69),0),"")</f>
        <v/>
      </c>
    </row>
    <row r="70" spans="2:28" x14ac:dyDescent="0.3">
      <c r="B70" s="2" t="str">
        <f>IF(C70="","",COUNTA($C$2:C70))</f>
        <v/>
      </c>
      <c r="C70" s="47" t="str">
        <f>IFERROR(VLOOKUP($A$1&amp;"-"&amp;ROW(C69),基本資料填寫!$A:$DN,COLUMN(基本資料填寫!S70),0),"")</f>
        <v/>
      </c>
      <c r="D70" s="47" t="str">
        <f>IFERROR(VLOOKUP($A$1&amp;"-"&amp;ROW(D69),基本資料填寫!$A:$DN,COLUMN(基本資料填寫!V70),0),"")</f>
        <v/>
      </c>
      <c r="E70" s="47" t="str">
        <f>IFERROR(VLOOKUP($A$1&amp;"-"&amp;ROW(E69),基本資料填寫!$A:$DN,COLUMN(基本資料填寫!BW70),0),"")</f>
        <v/>
      </c>
      <c r="F70" s="47" t="str">
        <f>IFERROR(VLOOKUP($A$1&amp;"-"&amp;ROW(F69),基本資料填寫!$A:$DN,COLUMN(基本資料填寫!AN70),0),"")</f>
        <v/>
      </c>
      <c r="G70" s="47" t="str">
        <f>IFERROR(VLOOKUP($A$1&amp;"-"&amp;ROW(H69),基本資料填寫!$A:$DN,COLUMN(基本資料填寫!R70),0),"")</f>
        <v/>
      </c>
      <c r="H70" s="47" t="str">
        <f>IFERROR(VLOOKUP($A$1&amp;"-"&amp;ROW(X69),基本資料填寫!$A:$DN,COLUMN(基本資料填寫!BX70),0),"")</f>
        <v/>
      </c>
      <c r="I70" s="47" t="str">
        <f>IFERROR(VLOOKUP($A$1&amp;"-"&amp;ROW(P69),基本資料填寫!$A:$DN,COLUMN(基本資料填寫!Z70),0),"")</f>
        <v/>
      </c>
      <c r="J70" s="47" t="str">
        <f>IFERROR(VLOOKUP($A$1&amp;"-"&amp;ROW(Q69),基本資料填寫!$A:$DN,COLUMN(基本資料填寫!AA70),0),"")</f>
        <v/>
      </c>
      <c r="K70" s="47" t="str">
        <f>IFERROR(VLOOKUP($A$1&amp;"-"&amp;ROW(Y69),基本資料填寫!$A:$DN,COLUMN(基本資料填寫!BY70),0),"")</f>
        <v/>
      </c>
      <c r="L70" s="47" t="str">
        <f>IFERROR(VLOOKUP($A$1&amp;"-"&amp;ROW(Z69),基本資料填寫!$A:$DN,COLUMN(基本資料填寫!BZ70),0),"")</f>
        <v/>
      </c>
      <c r="M70" s="47" t="str">
        <f>IFERROR(VLOOKUP($A$1&amp;"-"&amp;ROW(AA69),基本資料填寫!$A:$DN,COLUMN(基本資料填寫!CA70),0),"")</f>
        <v/>
      </c>
      <c r="N70" s="47" t="str">
        <f>IFERROR(VLOOKUP($A$1&amp;"-"&amp;ROW(G69),基本資料填寫!$A:$DN,COLUMN(基本資料填寫!AO70),0),"")</f>
        <v/>
      </c>
      <c r="O70" s="47" t="str">
        <f>IFERROR(VLOOKUP($A$1&amp;"-"&amp;ROW(AB69),基本資料填寫!$A:$DN,COLUMN(基本資料填寫!CB70),0),"")</f>
        <v/>
      </c>
      <c r="P70" s="47" t="str">
        <f>IFERROR(VLOOKUP($A$1&amp;"-"&amp;ROW(AC69),基本資料填寫!$A:$DN,COLUMN(基本資料填寫!CC70),0),"")</f>
        <v/>
      </c>
      <c r="Q70" s="47" t="str">
        <f>IFERROR(VLOOKUP($A$1&amp;"-"&amp;ROW(AD69),基本資料填寫!$A:$DN,COLUMN(基本資料填寫!CD70),0),"")</f>
        <v/>
      </c>
      <c r="R70" s="47" t="str">
        <f>IFERROR(VLOOKUP($A$1&amp;"-"&amp;ROW(AE69),基本資料填寫!$A:$DN,COLUMN(基本資料填寫!CE70),0),"")</f>
        <v/>
      </c>
      <c r="S70" s="47" t="str">
        <f>IFERROR(VLOOKUP($A$1&amp;"-"&amp;ROW(AF69),基本資料填寫!$A:$DN,COLUMN(基本資料填寫!CF70),0),"")</f>
        <v/>
      </c>
      <c r="T70" s="47" t="str">
        <f>IFERROR(VLOOKUP($A$1&amp;"-"&amp;ROW(AG69),基本資料填寫!$A:$DN,COLUMN(基本資料填寫!CG70),0),"")</f>
        <v/>
      </c>
      <c r="U70" s="47" t="str">
        <f>IFERROR(VLOOKUP($A$1&amp;"-"&amp;ROW(AH69),基本資料填寫!$A:$DN,COLUMN(基本資料填寫!CH70),0),"")</f>
        <v/>
      </c>
      <c r="V70" s="47" t="str">
        <f>IFERROR(VLOOKUP($A$1&amp;"-"&amp;ROW(AI69),基本資料填寫!$A:$DN,COLUMN(基本資料填寫!CI70),0),"")</f>
        <v/>
      </c>
      <c r="W70" s="47" t="str">
        <f>IFERROR(VLOOKUP($A$1&amp;"-"&amp;ROW(E69),基本資料填寫!$A:$DN,COLUMN(基本資料填寫!O70),0),"")</f>
        <v/>
      </c>
      <c r="X70" s="47" t="str">
        <f>IFERROR(VLOOKUP($A$1&amp;"-"&amp;ROW(AJ69),基本資料填寫!$A:$DN,COLUMN(基本資料填寫!CJ70),0),"")</f>
        <v/>
      </c>
      <c r="Y70" s="47" t="str">
        <f>IFERROR(VLOOKUP($A$1&amp;"-"&amp;ROW(AK69),基本資料填寫!$A:$DN,COLUMN(基本資料填寫!CK70),0),"")</f>
        <v/>
      </c>
      <c r="Z70" s="47" t="str">
        <f>IFERROR(VLOOKUP($A$1&amp;"-"&amp;ROW(AM69),基本資料填寫!$A:$DN,COLUMN(基本資料填寫!CN70),0),"")</f>
        <v/>
      </c>
      <c r="AA70" s="47" t="str">
        <f>IFERROR(VLOOKUP($A$1&amp;"-"&amp;ROW(AN69),基本資料填寫!$A:$DN,COLUMN(基本資料填寫!CO70),0),"")</f>
        <v/>
      </c>
      <c r="AB70" s="47" t="str">
        <f>IFERROR(VLOOKUP($A$1&amp;"-"&amp;ROW(AO69),基本資料填寫!$A:$DN,COLUMN(基本資料填寫!CP70),0),"")</f>
        <v/>
      </c>
    </row>
    <row r="71" spans="2:28" x14ac:dyDescent="0.3">
      <c r="B71" s="2" t="str">
        <f>IF(C71="","",COUNTA($C$2:C71))</f>
        <v/>
      </c>
      <c r="C71" s="47" t="str">
        <f>IFERROR(VLOOKUP($A$1&amp;"-"&amp;ROW(C70),基本資料填寫!$A:$DN,COLUMN(基本資料填寫!S71),0),"")</f>
        <v/>
      </c>
      <c r="D71" s="47" t="str">
        <f>IFERROR(VLOOKUP($A$1&amp;"-"&amp;ROW(D70),基本資料填寫!$A:$DN,COLUMN(基本資料填寫!V71),0),"")</f>
        <v/>
      </c>
      <c r="E71" s="47" t="str">
        <f>IFERROR(VLOOKUP($A$1&amp;"-"&amp;ROW(E70),基本資料填寫!$A:$DN,COLUMN(基本資料填寫!BW71),0),"")</f>
        <v/>
      </c>
      <c r="F71" s="47" t="str">
        <f>IFERROR(VLOOKUP($A$1&amp;"-"&amp;ROW(F70),基本資料填寫!$A:$DN,COLUMN(基本資料填寫!AN71),0),"")</f>
        <v/>
      </c>
      <c r="G71" s="47" t="str">
        <f>IFERROR(VLOOKUP($A$1&amp;"-"&amp;ROW(H70),基本資料填寫!$A:$DN,COLUMN(基本資料填寫!R71),0),"")</f>
        <v/>
      </c>
      <c r="H71" s="47" t="str">
        <f>IFERROR(VLOOKUP($A$1&amp;"-"&amp;ROW(X70),基本資料填寫!$A:$DN,COLUMN(基本資料填寫!BX71),0),"")</f>
        <v/>
      </c>
      <c r="I71" s="47" t="str">
        <f>IFERROR(VLOOKUP($A$1&amp;"-"&amp;ROW(P70),基本資料填寫!$A:$DN,COLUMN(基本資料填寫!Z71),0),"")</f>
        <v/>
      </c>
      <c r="J71" s="47" t="str">
        <f>IFERROR(VLOOKUP($A$1&amp;"-"&amp;ROW(Q70),基本資料填寫!$A:$DN,COLUMN(基本資料填寫!AA71),0),"")</f>
        <v/>
      </c>
      <c r="K71" s="47" t="str">
        <f>IFERROR(VLOOKUP($A$1&amp;"-"&amp;ROW(Y70),基本資料填寫!$A:$DN,COLUMN(基本資料填寫!BY71),0),"")</f>
        <v/>
      </c>
      <c r="L71" s="47" t="str">
        <f>IFERROR(VLOOKUP($A$1&amp;"-"&amp;ROW(Z70),基本資料填寫!$A:$DN,COLUMN(基本資料填寫!BZ71),0),"")</f>
        <v/>
      </c>
      <c r="M71" s="47" t="str">
        <f>IFERROR(VLOOKUP($A$1&amp;"-"&amp;ROW(AA70),基本資料填寫!$A:$DN,COLUMN(基本資料填寫!CA71),0),"")</f>
        <v/>
      </c>
      <c r="N71" s="47" t="str">
        <f>IFERROR(VLOOKUP($A$1&amp;"-"&amp;ROW(G70),基本資料填寫!$A:$DN,COLUMN(基本資料填寫!AO71),0),"")</f>
        <v/>
      </c>
      <c r="O71" s="47" t="str">
        <f>IFERROR(VLOOKUP($A$1&amp;"-"&amp;ROW(AB70),基本資料填寫!$A:$DN,COLUMN(基本資料填寫!CB71),0),"")</f>
        <v/>
      </c>
      <c r="P71" s="47" t="str">
        <f>IFERROR(VLOOKUP($A$1&amp;"-"&amp;ROW(AC70),基本資料填寫!$A:$DN,COLUMN(基本資料填寫!CC71),0),"")</f>
        <v/>
      </c>
      <c r="Q71" s="47" t="str">
        <f>IFERROR(VLOOKUP($A$1&amp;"-"&amp;ROW(AD70),基本資料填寫!$A:$DN,COLUMN(基本資料填寫!CD71),0),"")</f>
        <v/>
      </c>
      <c r="R71" s="47" t="str">
        <f>IFERROR(VLOOKUP($A$1&amp;"-"&amp;ROW(AE70),基本資料填寫!$A:$DN,COLUMN(基本資料填寫!CE71),0),"")</f>
        <v/>
      </c>
      <c r="S71" s="47" t="str">
        <f>IFERROR(VLOOKUP($A$1&amp;"-"&amp;ROW(AF70),基本資料填寫!$A:$DN,COLUMN(基本資料填寫!CF71),0),"")</f>
        <v/>
      </c>
      <c r="T71" s="47" t="str">
        <f>IFERROR(VLOOKUP($A$1&amp;"-"&amp;ROW(AG70),基本資料填寫!$A:$DN,COLUMN(基本資料填寫!CG71),0),"")</f>
        <v/>
      </c>
      <c r="U71" s="47" t="str">
        <f>IFERROR(VLOOKUP($A$1&amp;"-"&amp;ROW(AH70),基本資料填寫!$A:$DN,COLUMN(基本資料填寫!CH71),0),"")</f>
        <v/>
      </c>
      <c r="V71" s="47" t="str">
        <f>IFERROR(VLOOKUP($A$1&amp;"-"&amp;ROW(AI70),基本資料填寫!$A:$DN,COLUMN(基本資料填寫!CI71),0),"")</f>
        <v/>
      </c>
      <c r="W71" s="47" t="str">
        <f>IFERROR(VLOOKUP($A$1&amp;"-"&amp;ROW(E70),基本資料填寫!$A:$DN,COLUMN(基本資料填寫!O71),0),"")</f>
        <v/>
      </c>
      <c r="X71" s="47" t="str">
        <f>IFERROR(VLOOKUP($A$1&amp;"-"&amp;ROW(AJ70),基本資料填寫!$A:$DN,COLUMN(基本資料填寫!CJ71),0),"")</f>
        <v/>
      </c>
      <c r="Y71" s="47" t="str">
        <f>IFERROR(VLOOKUP($A$1&amp;"-"&amp;ROW(AK70),基本資料填寫!$A:$DN,COLUMN(基本資料填寫!CK71),0),"")</f>
        <v/>
      </c>
      <c r="Z71" s="47" t="str">
        <f>IFERROR(VLOOKUP($A$1&amp;"-"&amp;ROW(AM70),基本資料填寫!$A:$DN,COLUMN(基本資料填寫!CN71),0),"")</f>
        <v/>
      </c>
      <c r="AA71" s="47" t="str">
        <f>IFERROR(VLOOKUP($A$1&amp;"-"&amp;ROW(AN70),基本資料填寫!$A:$DN,COLUMN(基本資料填寫!CO71),0),"")</f>
        <v/>
      </c>
      <c r="AB71" s="47" t="str">
        <f>IFERROR(VLOOKUP($A$1&amp;"-"&amp;ROW(AO70),基本資料填寫!$A:$DN,COLUMN(基本資料填寫!CP71),0),"")</f>
        <v/>
      </c>
    </row>
    <row r="72" spans="2:28" x14ac:dyDescent="0.3">
      <c r="B72" s="2" t="str">
        <f>IF(C72="","",COUNTA($C$2:C72))</f>
        <v/>
      </c>
      <c r="C72" s="47" t="str">
        <f>IFERROR(VLOOKUP($A$1&amp;"-"&amp;ROW(C71),基本資料填寫!$A:$DN,COLUMN(基本資料填寫!S72),0),"")</f>
        <v/>
      </c>
      <c r="D72" s="47" t="str">
        <f>IFERROR(VLOOKUP($A$1&amp;"-"&amp;ROW(D71),基本資料填寫!$A:$DN,COLUMN(基本資料填寫!V72),0),"")</f>
        <v/>
      </c>
      <c r="E72" s="47" t="str">
        <f>IFERROR(VLOOKUP($A$1&amp;"-"&amp;ROW(E71),基本資料填寫!$A:$DN,COLUMN(基本資料填寫!BW72),0),"")</f>
        <v/>
      </c>
      <c r="F72" s="47" t="str">
        <f>IFERROR(VLOOKUP($A$1&amp;"-"&amp;ROW(F71),基本資料填寫!$A:$DN,COLUMN(基本資料填寫!AN72),0),"")</f>
        <v/>
      </c>
      <c r="G72" s="47" t="str">
        <f>IFERROR(VLOOKUP($A$1&amp;"-"&amp;ROW(H71),基本資料填寫!$A:$DN,COLUMN(基本資料填寫!R72),0),"")</f>
        <v/>
      </c>
      <c r="H72" s="47" t="str">
        <f>IFERROR(VLOOKUP($A$1&amp;"-"&amp;ROW(X71),基本資料填寫!$A:$DN,COLUMN(基本資料填寫!BX72),0),"")</f>
        <v/>
      </c>
      <c r="I72" s="47" t="str">
        <f>IFERROR(VLOOKUP($A$1&amp;"-"&amp;ROW(P71),基本資料填寫!$A:$DN,COLUMN(基本資料填寫!Z72),0),"")</f>
        <v/>
      </c>
      <c r="J72" s="47" t="str">
        <f>IFERROR(VLOOKUP($A$1&amp;"-"&amp;ROW(Q71),基本資料填寫!$A:$DN,COLUMN(基本資料填寫!AA72),0),"")</f>
        <v/>
      </c>
      <c r="K72" s="47" t="str">
        <f>IFERROR(VLOOKUP($A$1&amp;"-"&amp;ROW(Y71),基本資料填寫!$A:$DN,COLUMN(基本資料填寫!BY72),0),"")</f>
        <v/>
      </c>
      <c r="L72" s="47" t="str">
        <f>IFERROR(VLOOKUP($A$1&amp;"-"&amp;ROW(Z71),基本資料填寫!$A:$DN,COLUMN(基本資料填寫!BZ72),0),"")</f>
        <v/>
      </c>
      <c r="M72" s="47" t="str">
        <f>IFERROR(VLOOKUP($A$1&amp;"-"&amp;ROW(AA71),基本資料填寫!$A:$DN,COLUMN(基本資料填寫!CA72),0),"")</f>
        <v/>
      </c>
      <c r="N72" s="47" t="str">
        <f>IFERROR(VLOOKUP($A$1&amp;"-"&amp;ROW(G71),基本資料填寫!$A:$DN,COLUMN(基本資料填寫!AO72),0),"")</f>
        <v/>
      </c>
      <c r="O72" s="47" t="str">
        <f>IFERROR(VLOOKUP($A$1&amp;"-"&amp;ROW(AB71),基本資料填寫!$A:$DN,COLUMN(基本資料填寫!CB72),0),"")</f>
        <v/>
      </c>
      <c r="P72" s="47" t="str">
        <f>IFERROR(VLOOKUP($A$1&amp;"-"&amp;ROW(AC71),基本資料填寫!$A:$DN,COLUMN(基本資料填寫!CC72),0),"")</f>
        <v/>
      </c>
      <c r="Q72" s="47" t="str">
        <f>IFERROR(VLOOKUP($A$1&amp;"-"&amp;ROW(AD71),基本資料填寫!$A:$DN,COLUMN(基本資料填寫!CD72),0),"")</f>
        <v/>
      </c>
      <c r="R72" s="47" t="str">
        <f>IFERROR(VLOOKUP($A$1&amp;"-"&amp;ROW(AE71),基本資料填寫!$A:$DN,COLUMN(基本資料填寫!CE72),0),"")</f>
        <v/>
      </c>
      <c r="S72" s="47" t="str">
        <f>IFERROR(VLOOKUP($A$1&amp;"-"&amp;ROW(AF71),基本資料填寫!$A:$DN,COLUMN(基本資料填寫!CF72),0),"")</f>
        <v/>
      </c>
      <c r="T72" s="47" t="str">
        <f>IFERROR(VLOOKUP($A$1&amp;"-"&amp;ROW(AG71),基本資料填寫!$A:$DN,COLUMN(基本資料填寫!CG72),0),"")</f>
        <v/>
      </c>
      <c r="U72" s="47" t="str">
        <f>IFERROR(VLOOKUP($A$1&amp;"-"&amp;ROW(AH71),基本資料填寫!$A:$DN,COLUMN(基本資料填寫!CH72),0),"")</f>
        <v/>
      </c>
      <c r="V72" s="47" t="str">
        <f>IFERROR(VLOOKUP($A$1&amp;"-"&amp;ROW(AI71),基本資料填寫!$A:$DN,COLUMN(基本資料填寫!CI72),0),"")</f>
        <v/>
      </c>
      <c r="W72" s="47" t="str">
        <f>IFERROR(VLOOKUP($A$1&amp;"-"&amp;ROW(E71),基本資料填寫!$A:$DN,COLUMN(基本資料填寫!O72),0),"")</f>
        <v/>
      </c>
      <c r="X72" s="47" t="str">
        <f>IFERROR(VLOOKUP($A$1&amp;"-"&amp;ROW(AJ71),基本資料填寫!$A:$DN,COLUMN(基本資料填寫!CJ72),0),"")</f>
        <v/>
      </c>
      <c r="Y72" s="47" t="str">
        <f>IFERROR(VLOOKUP($A$1&amp;"-"&amp;ROW(AK71),基本資料填寫!$A:$DN,COLUMN(基本資料填寫!CK72),0),"")</f>
        <v/>
      </c>
      <c r="Z72" s="47" t="str">
        <f>IFERROR(VLOOKUP($A$1&amp;"-"&amp;ROW(AM71),基本資料填寫!$A:$DN,COLUMN(基本資料填寫!CN72),0),"")</f>
        <v/>
      </c>
      <c r="AA72" s="47" t="str">
        <f>IFERROR(VLOOKUP($A$1&amp;"-"&amp;ROW(AN71),基本資料填寫!$A:$DN,COLUMN(基本資料填寫!CO72),0),"")</f>
        <v/>
      </c>
      <c r="AB72" s="47" t="str">
        <f>IFERROR(VLOOKUP($A$1&amp;"-"&amp;ROW(AO71),基本資料填寫!$A:$DN,COLUMN(基本資料填寫!CP72),0),"")</f>
        <v/>
      </c>
    </row>
    <row r="73" spans="2:28" x14ac:dyDescent="0.3">
      <c r="B73" s="2" t="str">
        <f>IF(C73="","",COUNTA($C$2:C73))</f>
        <v/>
      </c>
      <c r="C73" s="47" t="str">
        <f>IFERROR(VLOOKUP($A$1&amp;"-"&amp;ROW(C72),基本資料填寫!$A:$DN,COLUMN(基本資料填寫!S73),0),"")</f>
        <v/>
      </c>
      <c r="D73" s="47" t="str">
        <f>IFERROR(VLOOKUP($A$1&amp;"-"&amp;ROW(D72),基本資料填寫!$A:$DN,COLUMN(基本資料填寫!V73),0),"")</f>
        <v/>
      </c>
      <c r="E73" s="47" t="str">
        <f>IFERROR(VLOOKUP($A$1&amp;"-"&amp;ROW(E72),基本資料填寫!$A:$DN,COLUMN(基本資料填寫!BW73),0),"")</f>
        <v/>
      </c>
      <c r="F73" s="47" t="str">
        <f>IFERROR(VLOOKUP($A$1&amp;"-"&amp;ROW(F72),基本資料填寫!$A:$DN,COLUMN(基本資料填寫!AN73),0),"")</f>
        <v/>
      </c>
      <c r="G73" s="47" t="str">
        <f>IFERROR(VLOOKUP($A$1&amp;"-"&amp;ROW(H72),基本資料填寫!$A:$DN,COLUMN(基本資料填寫!R73),0),"")</f>
        <v/>
      </c>
      <c r="H73" s="47" t="str">
        <f>IFERROR(VLOOKUP($A$1&amp;"-"&amp;ROW(X72),基本資料填寫!$A:$DN,COLUMN(基本資料填寫!BX73),0),"")</f>
        <v/>
      </c>
      <c r="I73" s="47" t="str">
        <f>IFERROR(VLOOKUP($A$1&amp;"-"&amp;ROW(P72),基本資料填寫!$A:$DN,COLUMN(基本資料填寫!Z73),0),"")</f>
        <v/>
      </c>
      <c r="J73" s="47" t="str">
        <f>IFERROR(VLOOKUP($A$1&amp;"-"&amp;ROW(Q72),基本資料填寫!$A:$DN,COLUMN(基本資料填寫!AA73),0),"")</f>
        <v/>
      </c>
      <c r="K73" s="47" t="str">
        <f>IFERROR(VLOOKUP($A$1&amp;"-"&amp;ROW(Y72),基本資料填寫!$A:$DN,COLUMN(基本資料填寫!BY73),0),"")</f>
        <v/>
      </c>
      <c r="L73" s="47" t="str">
        <f>IFERROR(VLOOKUP($A$1&amp;"-"&amp;ROW(Z72),基本資料填寫!$A:$DN,COLUMN(基本資料填寫!BZ73),0),"")</f>
        <v/>
      </c>
      <c r="M73" s="47" t="str">
        <f>IFERROR(VLOOKUP($A$1&amp;"-"&amp;ROW(AA72),基本資料填寫!$A:$DN,COLUMN(基本資料填寫!CA73),0),"")</f>
        <v/>
      </c>
      <c r="N73" s="47" t="str">
        <f>IFERROR(VLOOKUP($A$1&amp;"-"&amp;ROW(G72),基本資料填寫!$A:$DN,COLUMN(基本資料填寫!AO73),0),"")</f>
        <v/>
      </c>
      <c r="O73" s="47" t="str">
        <f>IFERROR(VLOOKUP($A$1&amp;"-"&amp;ROW(AB72),基本資料填寫!$A:$DN,COLUMN(基本資料填寫!CB73),0),"")</f>
        <v/>
      </c>
      <c r="P73" s="47" t="str">
        <f>IFERROR(VLOOKUP($A$1&amp;"-"&amp;ROW(AC72),基本資料填寫!$A:$DN,COLUMN(基本資料填寫!CC73),0),"")</f>
        <v/>
      </c>
      <c r="Q73" s="47" t="str">
        <f>IFERROR(VLOOKUP($A$1&amp;"-"&amp;ROW(AD72),基本資料填寫!$A:$DN,COLUMN(基本資料填寫!CD73),0),"")</f>
        <v/>
      </c>
      <c r="R73" s="47" t="str">
        <f>IFERROR(VLOOKUP($A$1&amp;"-"&amp;ROW(AE72),基本資料填寫!$A:$DN,COLUMN(基本資料填寫!CE73),0),"")</f>
        <v/>
      </c>
      <c r="S73" s="47" t="str">
        <f>IFERROR(VLOOKUP($A$1&amp;"-"&amp;ROW(AF72),基本資料填寫!$A:$DN,COLUMN(基本資料填寫!CF73),0),"")</f>
        <v/>
      </c>
      <c r="T73" s="47" t="str">
        <f>IFERROR(VLOOKUP($A$1&amp;"-"&amp;ROW(AG72),基本資料填寫!$A:$DN,COLUMN(基本資料填寫!CG73),0),"")</f>
        <v/>
      </c>
      <c r="U73" s="47" t="str">
        <f>IFERROR(VLOOKUP($A$1&amp;"-"&amp;ROW(AH72),基本資料填寫!$A:$DN,COLUMN(基本資料填寫!CH73),0),"")</f>
        <v/>
      </c>
      <c r="V73" s="47" t="str">
        <f>IFERROR(VLOOKUP($A$1&amp;"-"&amp;ROW(AI72),基本資料填寫!$A:$DN,COLUMN(基本資料填寫!CI73),0),"")</f>
        <v/>
      </c>
      <c r="W73" s="47" t="str">
        <f>IFERROR(VLOOKUP($A$1&amp;"-"&amp;ROW(E72),基本資料填寫!$A:$DN,COLUMN(基本資料填寫!O73),0),"")</f>
        <v/>
      </c>
      <c r="X73" s="47" t="str">
        <f>IFERROR(VLOOKUP($A$1&amp;"-"&amp;ROW(AJ72),基本資料填寫!$A:$DN,COLUMN(基本資料填寫!CJ73),0),"")</f>
        <v/>
      </c>
      <c r="Y73" s="47" t="str">
        <f>IFERROR(VLOOKUP($A$1&amp;"-"&amp;ROW(AK72),基本資料填寫!$A:$DN,COLUMN(基本資料填寫!CK73),0),"")</f>
        <v/>
      </c>
      <c r="Z73" s="47" t="str">
        <f>IFERROR(VLOOKUP($A$1&amp;"-"&amp;ROW(AM72),基本資料填寫!$A:$DN,COLUMN(基本資料填寫!CN73),0),"")</f>
        <v/>
      </c>
      <c r="AA73" s="47" t="str">
        <f>IFERROR(VLOOKUP($A$1&amp;"-"&amp;ROW(AN72),基本資料填寫!$A:$DN,COLUMN(基本資料填寫!CO73),0),"")</f>
        <v/>
      </c>
      <c r="AB73" s="47" t="str">
        <f>IFERROR(VLOOKUP($A$1&amp;"-"&amp;ROW(AO72),基本資料填寫!$A:$DN,COLUMN(基本資料填寫!CP73),0),"")</f>
        <v/>
      </c>
    </row>
    <row r="74" spans="2:28" x14ac:dyDescent="0.3">
      <c r="B74" s="2" t="str">
        <f>IF(C74="","",COUNTA($C$2:C74))</f>
        <v/>
      </c>
      <c r="C74" s="47" t="str">
        <f>IFERROR(VLOOKUP($A$1&amp;"-"&amp;ROW(C73),基本資料填寫!$A:$DN,COLUMN(基本資料填寫!S74),0),"")</f>
        <v/>
      </c>
      <c r="D74" s="47" t="str">
        <f>IFERROR(VLOOKUP($A$1&amp;"-"&amp;ROW(D73),基本資料填寫!$A:$DN,COLUMN(基本資料填寫!V74),0),"")</f>
        <v/>
      </c>
      <c r="E74" s="47" t="str">
        <f>IFERROR(VLOOKUP($A$1&amp;"-"&amp;ROW(E73),基本資料填寫!$A:$DN,COLUMN(基本資料填寫!BW74),0),"")</f>
        <v/>
      </c>
      <c r="F74" s="47" t="str">
        <f>IFERROR(VLOOKUP($A$1&amp;"-"&amp;ROW(F73),基本資料填寫!$A:$DN,COLUMN(基本資料填寫!AN74),0),"")</f>
        <v/>
      </c>
      <c r="G74" s="47" t="str">
        <f>IFERROR(VLOOKUP($A$1&amp;"-"&amp;ROW(H73),基本資料填寫!$A:$DN,COLUMN(基本資料填寫!R74),0),"")</f>
        <v/>
      </c>
      <c r="H74" s="47" t="str">
        <f>IFERROR(VLOOKUP($A$1&amp;"-"&amp;ROW(X73),基本資料填寫!$A:$DN,COLUMN(基本資料填寫!BX74),0),"")</f>
        <v/>
      </c>
      <c r="I74" s="47" t="str">
        <f>IFERROR(VLOOKUP($A$1&amp;"-"&amp;ROW(P73),基本資料填寫!$A:$DN,COLUMN(基本資料填寫!Z74),0),"")</f>
        <v/>
      </c>
      <c r="J74" s="47" t="str">
        <f>IFERROR(VLOOKUP($A$1&amp;"-"&amp;ROW(Q73),基本資料填寫!$A:$DN,COLUMN(基本資料填寫!AA74),0),"")</f>
        <v/>
      </c>
      <c r="K74" s="47" t="str">
        <f>IFERROR(VLOOKUP($A$1&amp;"-"&amp;ROW(Y73),基本資料填寫!$A:$DN,COLUMN(基本資料填寫!BY74),0),"")</f>
        <v/>
      </c>
      <c r="L74" s="47" t="str">
        <f>IFERROR(VLOOKUP($A$1&amp;"-"&amp;ROW(Z73),基本資料填寫!$A:$DN,COLUMN(基本資料填寫!BZ74),0),"")</f>
        <v/>
      </c>
      <c r="M74" s="47" t="str">
        <f>IFERROR(VLOOKUP($A$1&amp;"-"&amp;ROW(AA73),基本資料填寫!$A:$DN,COLUMN(基本資料填寫!CA74),0),"")</f>
        <v/>
      </c>
      <c r="N74" s="47" t="str">
        <f>IFERROR(VLOOKUP($A$1&amp;"-"&amp;ROW(G73),基本資料填寫!$A:$DN,COLUMN(基本資料填寫!AO74),0),"")</f>
        <v/>
      </c>
      <c r="O74" s="47" t="str">
        <f>IFERROR(VLOOKUP($A$1&amp;"-"&amp;ROW(AB73),基本資料填寫!$A:$DN,COLUMN(基本資料填寫!CB74),0),"")</f>
        <v/>
      </c>
      <c r="P74" s="47" t="str">
        <f>IFERROR(VLOOKUP($A$1&amp;"-"&amp;ROW(AC73),基本資料填寫!$A:$DN,COLUMN(基本資料填寫!CC74),0),"")</f>
        <v/>
      </c>
      <c r="Q74" s="47" t="str">
        <f>IFERROR(VLOOKUP($A$1&amp;"-"&amp;ROW(AD73),基本資料填寫!$A:$DN,COLUMN(基本資料填寫!CD74),0),"")</f>
        <v/>
      </c>
      <c r="R74" s="47" t="str">
        <f>IFERROR(VLOOKUP($A$1&amp;"-"&amp;ROW(AE73),基本資料填寫!$A:$DN,COLUMN(基本資料填寫!CE74),0),"")</f>
        <v/>
      </c>
      <c r="S74" s="47" t="str">
        <f>IFERROR(VLOOKUP($A$1&amp;"-"&amp;ROW(AF73),基本資料填寫!$A:$DN,COLUMN(基本資料填寫!CF74),0),"")</f>
        <v/>
      </c>
      <c r="T74" s="47" t="str">
        <f>IFERROR(VLOOKUP($A$1&amp;"-"&amp;ROW(AG73),基本資料填寫!$A:$DN,COLUMN(基本資料填寫!CG74),0),"")</f>
        <v/>
      </c>
      <c r="U74" s="47" t="str">
        <f>IFERROR(VLOOKUP($A$1&amp;"-"&amp;ROW(AH73),基本資料填寫!$A:$DN,COLUMN(基本資料填寫!CH74),0),"")</f>
        <v/>
      </c>
      <c r="V74" s="47" t="str">
        <f>IFERROR(VLOOKUP($A$1&amp;"-"&amp;ROW(AI73),基本資料填寫!$A:$DN,COLUMN(基本資料填寫!CI74),0),"")</f>
        <v/>
      </c>
      <c r="W74" s="47" t="str">
        <f>IFERROR(VLOOKUP($A$1&amp;"-"&amp;ROW(E73),基本資料填寫!$A:$DN,COLUMN(基本資料填寫!O74),0),"")</f>
        <v/>
      </c>
      <c r="X74" s="47" t="str">
        <f>IFERROR(VLOOKUP($A$1&amp;"-"&amp;ROW(AJ73),基本資料填寫!$A:$DN,COLUMN(基本資料填寫!CJ74),0),"")</f>
        <v/>
      </c>
      <c r="Y74" s="47" t="str">
        <f>IFERROR(VLOOKUP($A$1&amp;"-"&amp;ROW(AK73),基本資料填寫!$A:$DN,COLUMN(基本資料填寫!CK74),0),"")</f>
        <v/>
      </c>
      <c r="Z74" s="47" t="str">
        <f>IFERROR(VLOOKUP($A$1&amp;"-"&amp;ROW(AM73),基本資料填寫!$A:$DN,COLUMN(基本資料填寫!CN74),0),"")</f>
        <v/>
      </c>
      <c r="AA74" s="47" t="str">
        <f>IFERROR(VLOOKUP($A$1&amp;"-"&amp;ROW(AN73),基本資料填寫!$A:$DN,COLUMN(基本資料填寫!CO74),0),"")</f>
        <v/>
      </c>
      <c r="AB74" s="47" t="str">
        <f>IFERROR(VLOOKUP($A$1&amp;"-"&amp;ROW(AO73),基本資料填寫!$A:$DN,COLUMN(基本資料填寫!CP74),0),"")</f>
        <v/>
      </c>
    </row>
    <row r="75" spans="2:28" x14ac:dyDescent="0.3">
      <c r="B75" s="2" t="str">
        <f>IF(C75="","",COUNTA($C$2:C75))</f>
        <v/>
      </c>
      <c r="C75" s="47" t="str">
        <f>IFERROR(VLOOKUP($A$1&amp;"-"&amp;ROW(C74),基本資料填寫!$A:$DN,COLUMN(基本資料填寫!S75),0),"")</f>
        <v/>
      </c>
      <c r="D75" s="47" t="str">
        <f>IFERROR(VLOOKUP($A$1&amp;"-"&amp;ROW(D74),基本資料填寫!$A:$DN,COLUMN(基本資料填寫!V75),0),"")</f>
        <v/>
      </c>
      <c r="E75" s="47" t="str">
        <f>IFERROR(VLOOKUP($A$1&amp;"-"&amp;ROW(E74),基本資料填寫!$A:$DN,COLUMN(基本資料填寫!BW75),0),"")</f>
        <v/>
      </c>
      <c r="F75" s="47" t="str">
        <f>IFERROR(VLOOKUP($A$1&amp;"-"&amp;ROW(F74),基本資料填寫!$A:$DN,COLUMN(基本資料填寫!AN75),0),"")</f>
        <v/>
      </c>
      <c r="G75" s="47" t="str">
        <f>IFERROR(VLOOKUP($A$1&amp;"-"&amp;ROW(H74),基本資料填寫!$A:$DN,COLUMN(基本資料填寫!R75),0),"")</f>
        <v/>
      </c>
      <c r="H75" s="47" t="str">
        <f>IFERROR(VLOOKUP($A$1&amp;"-"&amp;ROW(X74),基本資料填寫!$A:$DN,COLUMN(基本資料填寫!BX75),0),"")</f>
        <v/>
      </c>
      <c r="I75" s="47" t="str">
        <f>IFERROR(VLOOKUP($A$1&amp;"-"&amp;ROW(P74),基本資料填寫!$A:$DN,COLUMN(基本資料填寫!Z75),0),"")</f>
        <v/>
      </c>
      <c r="J75" s="47" t="str">
        <f>IFERROR(VLOOKUP($A$1&amp;"-"&amp;ROW(Q74),基本資料填寫!$A:$DN,COLUMN(基本資料填寫!AA75),0),"")</f>
        <v/>
      </c>
      <c r="K75" s="47" t="str">
        <f>IFERROR(VLOOKUP($A$1&amp;"-"&amp;ROW(Y74),基本資料填寫!$A:$DN,COLUMN(基本資料填寫!BY75),0),"")</f>
        <v/>
      </c>
      <c r="L75" s="47" t="str">
        <f>IFERROR(VLOOKUP($A$1&amp;"-"&amp;ROW(Z74),基本資料填寫!$A:$DN,COLUMN(基本資料填寫!BZ75),0),"")</f>
        <v/>
      </c>
      <c r="M75" s="47" t="str">
        <f>IFERROR(VLOOKUP($A$1&amp;"-"&amp;ROW(AA74),基本資料填寫!$A:$DN,COLUMN(基本資料填寫!CA75),0),"")</f>
        <v/>
      </c>
      <c r="N75" s="47" t="str">
        <f>IFERROR(VLOOKUP($A$1&amp;"-"&amp;ROW(G74),基本資料填寫!$A:$DN,COLUMN(基本資料填寫!AO75),0),"")</f>
        <v/>
      </c>
      <c r="O75" s="47" t="str">
        <f>IFERROR(VLOOKUP($A$1&amp;"-"&amp;ROW(AB74),基本資料填寫!$A:$DN,COLUMN(基本資料填寫!CB75),0),"")</f>
        <v/>
      </c>
      <c r="P75" s="47" t="str">
        <f>IFERROR(VLOOKUP($A$1&amp;"-"&amp;ROW(AC74),基本資料填寫!$A:$DN,COLUMN(基本資料填寫!CC75),0),"")</f>
        <v/>
      </c>
      <c r="Q75" s="47" t="str">
        <f>IFERROR(VLOOKUP($A$1&amp;"-"&amp;ROW(AD74),基本資料填寫!$A:$DN,COLUMN(基本資料填寫!CD75),0),"")</f>
        <v/>
      </c>
      <c r="R75" s="47" t="str">
        <f>IFERROR(VLOOKUP($A$1&amp;"-"&amp;ROW(AE74),基本資料填寫!$A:$DN,COLUMN(基本資料填寫!CE75),0),"")</f>
        <v/>
      </c>
      <c r="S75" s="47" t="str">
        <f>IFERROR(VLOOKUP($A$1&amp;"-"&amp;ROW(AF74),基本資料填寫!$A:$DN,COLUMN(基本資料填寫!CF75),0),"")</f>
        <v/>
      </c>
      <c r="T75" s="47" t="str">
        <f>IFERROR(VLOOKUP($A$1&amp;"-"&amp;ROW(AG74),基本資料填寫!$A:$DN,COLUMN(基本資料填寫!CG75),0),"")</f>
        <v/>
      </c>
      <c r="U75" s="47" t="str">
        <f>IFERROR(VLOOKUP($A$1&amp;"-"&amp;ROW(AH74),基本資料填寫!$A:$DN,COLUMN(基本資料填寫!CH75),0),"")</f>
        <v/>
      </c>
      <c r="V75" s="47" t="str">
        <f>IFERROR(VLOOKUP($A$1&amp;"-"&amp;ROW(AI74),基本資料填寫!$A:$DN,COLUMN(基本資料填寫!CI75),0),"")</f>
        <v/>
      </c>
      <c r="W75" s="47" t="str">
        <f>IFERROR(VLOOKUP($A$1&amp;"-"&amp;ROW(E74),基本資料填寫!$A:$DN,COLUMN(基本資料填寫!O75),0),"")</f>
        <v/>
      </c>
      <c r="X75" s="47" t="str">
        <f>IFERROR(VLOOKUP($A$1&amp;"-"&amp;ROW(AJ74),基本資料填寫!$A:$DN,COLUMN(基本資料填寫!CJ75),0),"")</f>
        <v/>
      </c>
      <c r="Y75" s="47" t="str">
        <f>IFERROR(VLOOKUP($A$1&amp;"-"&amp;ROW(AK74),基本資料填寫!$A:$DN,COLUMN(基本資料填寫!CK75),0),"")</f>
        <v/>
      </c>
      <c r="Z75" s="47" t="str">
        <f>IFERROR(VLOOKUP($A$1&amp;"-"&amp;ROW(AM74),基本資料填寫!$A:$DN,COLUMN(基本資料填寫!CN75),0),"")</f>
        <v/>
      </c>
      <c r="AA75" s="47" t="str">
        <f>IFERROR(VLOOKUP($A$1&amp;"-"&amp;ROW(AN74),基本資料填寫!$A:$DN,COLUMN(基本資料填寫!CO75),0),"")</f>
        <v/>
      </c>
      <c r="AB75" s="47" t="str">
        <f>IFERROR(VLOOKUP($A$1&amp;"-"&amp;ROW(AO74),基本資料填寫!$A:$DN,COLUMN(基本資料填寫!CP75),0),"")</f>
        <v/>
      </c>
    </row>
    <row r="76" spans="2:28" x14ac:dyDescent="0.3">
      <c r="B76" s="2" t="str">
        <f>IF(C76="","",COUNTA($C$2:C76))</f>
        <v/>
      </c>
      <c r="C76" s="47" t="str">
        <f>IFERROR(VLOOKUP($A$1&amp;"-"&amp;ROW(C75),基本資料填寫!$A:$DN,COLUMN(基本資料填寫!S76),0),"")</f>
        <v/>
      </c>
      <c r="D76" s="47" t="str">
        <f>IFERROR(VLOOKUP($A$1&amp;"-"&amp;ROW(D75),基本資料填寫!$A:$DN,COLUMN(基本資料填寫!V76),0),"")</f>
        <v/>
      </c>
      <c r="E76" s="47" t="str">
        <f>IFERROR(VLOOKUP($A$1&amp;"-"&amp;ROW(E75),基本資料填寫!$A:$DN,COLUMN(基本資料填寫!BW76),0),"")</f>
        <v/>
      </c>
      <c r="F76" s="47" t="str">
        <f>IFERROR(VLOOKUP($A$1&amp;"-"&amp;ROW(F75),基本資料填寫!$A:$DN,COLUMN(基本資料填寫!AN76),0),"")</f>
        <v/>
      </c>
      <c r="G76" s="47" t="str">
        <f>IFERROR(VLOOKUP($A$1&amp;"-"&amp;ROW(H75),基本資料填寫!$A:$DN,COLUMN(基本資料填寫!R76),0),"")</f>
        <v/>
      </c>
      <c r="H76" s="47" t="str">
        <f>IFERROR(VLOOKUP($A$1&amp;"-"&amp;ROW(X75),基本資料填寫!$A:$DN,COLUMN(基本資料填寫!BX76),0),"")</f>
        <v/>
      </c>
      <c r="I76" s="47" t="str">
        <f>IFERROR(VLOOKUP($A$1&amp;"-"&amp;ROW(P75),基本資料填寫!$A:$DN,COLUMN(基本資料填寫!Z76),0),"")</f>
        <v/>
      </c>
      <c r="J76" s="47" t="str">
        <f>IFERROR(VLOOKUP($A$1&amp;"-"&amp;ROW(Q75),基本資料填寫!$A:$DN,COLUMN(基本資料填寫!AA76),0),"")</f>
        <v/>
      </c>
      <c r="K76" s="47" t="str">
        <f>IFERROR(VLOOKUP($A$1&amp;"-"&amp;ROW(Y75),基本資料填寫!$A:$DN,COLUMN(基本資料填寫!BY76),0),"")</f>
        <v/>
      </c>
      <c r="L76" s="47" t="str">
        <f>IFERROR(VLOOKUP($A$1&amp;"-"&amp;ROW(Z75),基本資料填寫!$A:$DN,COLUMN(基本資料填寫!BZ76),0),"")</f>
        <v/>
      </c>
      <c r="M76" s="47" t="str">
        <f>IFERROR(VLOOKUP($A$1&amp;"-"&amp;ROW(AA75),基本資料填寫!$A:$DN,COLUMN(基本資料填寫!CA76),0),"")</f>
        <v/>
      </c>
      <c r="N76" s="47" t="str">
        <f>IFERROR(VLOOKUP($A$1&amp;"-"&amp;ROW(G75),基本資料填寫!$A:$DN,COLUMN(基本資料填寫!AO76),0),"")</f>
        <v/>
      </c>
      <c r="O76" s="47" t="str">
        <f>IFERROR(VLOOKUP($A$1&amp;"-"&amp;ROW(AB75),基本資料填寫!$A:$DN,COLUMN(基本資料填寫!CB76),0),"")</f>
        <v/>
      </c>
      <c r="P76" s="47" t="str">
        <f>IFERROR(VLOOKUP($A$1&amp;"-"&amp;ROW(AC75),基本資料填寫!$A:$DN,COLUMN(基本資料填寫!CC76),0),"")</f>
        <v/>
      </c>
      <c r="Q76" s="47" t="str">
        <f>IFERROR(VLOOKUP($A$1&amp;"-"&amp;ROW(AD75),基本資料填寫!$A:$DN,COLUMN(基本資料填寫!CD76),0),"")</f>
        <v/>
      </c>
      <c r="R76" s="47" t="str">
        <f>IFERROR(VLOOKUP($A$1&amp;"-"&amp;ROW(AE75),基本資料填寫!$A:$DN,COLUMN(基本資料填寫!CE76),0),"")</f>
        <v/>
      </c>
      <c r="S76" s="47" t="str">
        <f>IFERROR(VLOOKUP($A$1&amp;"-"&amp;ROW(AF75),基本資料填寫!$A:$DN,COLUMN(基本資料填寫!CF76),0),"")</f>
        <v/>
      </c>
      <c r="T76" s="47" t="str">
        <f>IFERROR(VLOOKUP($A$1&amp;"-"&amp;ROW(AG75),基本資料填寫!$A:$DN,COLUMN(基本資料填寫!CG76),0),"")</f>
        <v/>
      </c>
      <c r="U76" s="47" t="str">
        <f>IFERROR(VLOOKUP($A$1&amp;"-"&amp;ROW(AH75),基本資料填寫!$A:$DN,COLUMN(基本資料填寫!CH76),0),"")</f>
        <v/>
      </c>
      <c r="V76" s="47" t="str">
        <f>IFERROR(VLOOKUP($A$1&amp;"-"&amp;ROW(AI75),基本資料填寫!$A:$DN,COLUMN(基本資料填寫!CI76),0),"")</f>
        <v/>
      </c>
      <c r="W76" s="47" t="str">
        <f>IFERROR(VLOOKUP($A$1&amp;"-"&amp;ROW(E75),基本資料填寫!$A:$DN,COLUMN(基本資料填寫!O76),0),"")</f>
        <v/>
      </c>
      <c r="X76" s="47" t="str">
        <f>IFERROR(VLOOKUP($A$1&amp;"-"&amp;ROW(AJ75),基本資料填寫!$A:$DN,COLUMN(基本資料填寫!CJ76),0),"")</f>
        <v/>
      </c>
      <c r="Y76" s="47" t="str">
        <f>IFERROR(VLOOKUP($A$1&amp;"-"&amp;ROW(AK75),基本資料填寫!$A:$DN,COLUMN(基本資料填寫!CK76),0),"")</f>
        <v/>
      </c>
      <c r="Z76" s="47" t="str">
        <f>IFERROR(VLOOKUP($A$1&amp;"-"&amp;ROW(AM75),基本資料填寫!$A:$DN,COLUMN(基本資料填寫!CN76),0),"")</f>
        <v/>
      </c>
      <c r="AA76" s="47" t="str">
        <f>IFERROR(VLOOKUP($A$1&amp;"-"&amp;ROW(AN75),基本資料填寫!$A:$DN,COLUMN(基本資料填寫!CO76),0),"")</f>
        <v/>
      </c>
      <c r="AB76" s="47" t="str">
        <f>IFERROR(VLOOKUP($A$1&amp;"-"&amp;ROW(AO75),基本資料填寫!$A:$DN,COLUMN(基本資料填寫!CP76),0),"")</f>
        <v/>
      </c>
    </row>
    <row r="77" spans="2:28" x14ac:dyDescent="0.3">
      <c r="B77" s="2" t="str">
        <f>IF(C77="","",COUNTA($C$2:C77))</f>
        <v/>
      </c>
      <c r="C77" s="47" t="str">
        <f>IFERROR(VLOOKUP($A$1&amp;"-"&amp;ROW(C76),基本資料填寫!$A:$DN,COLUMN(基本資料填寫!S77),0),"")</f>
        <v/>
      </c>
      <c r="D77" s="47" t="str">
        <f>IFERROR(VLOOKUP($A$1&amp;"-"&amp;ROW(D76),基本資料填寫!$A:$DN,COLUMN(基本資料填寫!V77),0),"")</f>
        <v/>
      </c>
      <c r="E77" s="47" t="str">
        <f>IFERROR(VLOOKUP($A$1&amp;"-"&amp;ROW(E76),基本資料填寫!$A:$DN,COLUMN(基本資料填寫!BW77),0),"")</f>
        <v/>
      </c>
      <c r="F77" s="47" t="str">
        <f>IFERROR(VLOOKUP($A$1&amp;"-"&amp;ROW(F76),基本資料填寫!$A:$DN,COLUMN(基本資料填寫!AN77),0),"")</f>
        <v/>
      </c>
      <c r="G77" s="47" t="str">
        <f>IFERROR(VLOOKUP($A$1&amp;"-"&amp;ROW(H76),基本資料填寫!$A:$DN,COLUMN(基本資料填寫!R77),0),"")</f>
        <v/>
      </c>
      <c r="H77" s="47" t="str">
        <f>IFERROR(VLOOKUP($A$1&amp;"-"&amp;ROW(X76),基本資料填寫!$A:$DN,COLUMN(基本資料填寫!BX77),0),"")</f>
        <v/>
      </c>
      <c r="I77" s="47" t="str">
        <f>IFERROR(VLOOKUP($A$1&amp;"-"&amp;ROW(P76),基本資料填寫!$A:$DN,COLUMN(基本資料填寫!Z77),0),"")</f>
        <v/>
      </c>
      <c r="J77" s="47" t="str">
        <f>IFERROR(VLOOKUP($A$1&amp;"-"&amp;ROW(Q76),基本資料填寫!$A:$DN,COLUMN(基本資料填寫!AA77),0),"")</f>
        <v/>
      </c>
      <c r="K77" s="47" t="str">
        <f>IFERROR(VLOOKUP($A$1&amp;"-"&amp;ROW(Y76),基本資料填寫!$A:$DN,COLUMN(基本資料填寫!BY77),0),"")</f>
        <v/>
      </c>
      <c r="L77" s="47" t="str">
        <f>IFERROR(VLOOKUP($A$1&amp;"-"&amp;ROW(Z76),基本資料填寫!$A:$DN,COLUMN(基本資料填寫!BZ77),0),"")</f>
        <v/>
      </c>
      <c r="M77" s="47" t="str">
        <f>IFERROR(VLOOKUP($A$1&amp;"-"&amp;ROW(AA76),基本資料填寫!$A:$DN,COLUMN(基本資料填寫!CA77),0),"")</f>
        <v/>
      </c>
      <c r="N77" s="47" t="str">
        <f>IFERROR(VLOOKUP($A$1&amp;"-"&amp;ROW(G76),基本資料填寫!$A:$DN,COLUMN(基本資料填寫!AO77),0),"")</f>
        <v/>
      </c>
      <c r="O77" s="47" t="str">
        <f>IFERROR(VLOOKUP($A$1&amp;"-"&amp;ROW(AB76),基本資料填寫!$A:$DN,COLUMN(基本資料填寫!CB77),0),"")</f>
        <v/>
      </c>
      <c r="P77" s="47" t="str">
        <f>IFERROR(VLOOKUP($A$1&amp;"-"&amp;ROW(AC76),基本資料填寫!$A:$DN,COLUMN(基本資料填寫!CC77),0),"")</f>
        <v/>
      </c>
      <c r="Q77" s="47" t="str">
        <f>IFERROR(VLOOKUP($A$1&amp;"-"&amp;ROW(AD76),基本資料填寫!$A:$DN,COLUMN(基本資料填寫!CD77),0),"")</f>
        <v/>
      </c>
      <c r="R77" s="47" t="str">
        <f>IFERROR(VLOOKUP($A$1&amp;"-"&amp;ROW(AE76),基本資料填寫!$A:$DN,COLUMN(基本資料填寫!CE77),0),"")</f>
        <v/>
      </c>
      <c r="S77" s="47" t="str">
        <f>IFERROR(VLOOKUP($A$1&amp;"-"&amp;ROW(AF76),基本資料填寫!$A:$DN,COLUMN(基本資料填寫!CF77),0),"")</f>
        <v/>
      </c>
      <c r="T77" s="47" t="str">
        <f>IFERROR(VLOOKUP($A$1&amp;"-"&amp;ROW(AG76),基本資料填寫!$A:$DN,COLUMN(基本資料填寫!CG77),0),"")</f>
        <v/>
      </c>
      <c r="U77" s="47" t="str">
        <f>IFERROR(VLOOKUP($A$1&amp;"-"&amp;ROW(AH76),基本資料填寫!$A:$DN,COLUMN(基本資料填寫!CH77),0),"")</f>
        <v/>
      </c>
      <c r="V77" s="47" t="str">
        <f>IFERROR(VLOOKUP($A$1&amp;"-"&amp;ROW(AI76),基本資料填寫!$A:$DN,COLUMN(基本資料填寫!CI77),0),"")</f>
        <v/>
      </c>
      <c r="W77" s="47" t="str">
        <f>IFERROR(VLOOKUP($A$1&amp;"-"&amp;ROW(E76),基本資料填寫!$A:$DN,COLUMN(基本資料填寫!O77),0),"")</f>
        <v/>
      </c>
      <c r="X77" s="47" t="str">
        <f>IFERROR(VLOOKUP($A$1&amp;"-"&amp;ROW(AJ76),基本資料填寫!$A:$DN,COLUMN(基本資料填寫!CJ77),0),"")</f>
        <v/>
      </c>
      <c r="Y77" s="47" t="str">
        <f>IFERROR(VLOOKUP($A$1&amp;"-"&amp;ROW(AK76),基本資料填寫!$A:$DN,COLUMN(基本資料填寫!CK77),0),"")</f>
        <v/>
      </c>
      <c r="Z77" s="47" t="str">
        <f>IFERROR(VLOOKUP($A$1&amp;"-"&amp;ROW(AM76),基本資料填寫!$A:$DN,COLUMN(基本資料填寫!CN77),0),"")</f>
        <v/>
      </c>
      <c r="AA77" s="47" t="str">
        <f>IFERROR(VLOOKUP($A$1&amp;"-"&amp;ROW(AN76),基本資料填寫!$A:$DN,COLUMN(基本資料填寫!CO77),0),"")</f>
        <v/>
      </c>
      <c r="AB77" s="47" t="str">
        <f>IFERROR(VLOOKUP($A$1&amp;"-"&amp;ROW(AO76),基本資料填寫!$A:$DN,COLUMN(基本資料填寫!CP77),0),"")</f>
        <v/>
      </c>
    </row>
    <row r="78" spans="2:28" x14ac:dyDescent="0.3">
      <c r="B78" s="2" t="str">
        <f>IF(C78="","",COUNTA($C$2:C78))</f>
        <v/>
      </c>
      <c r="C78" s="47" t="str">
        <f>IFERROR(VLOOKUP($A$1&amp;"-"&amp;ROW(C77),基本資料填寫!$A:$DN,COLUMN(基本資料填寫!S78),0),"")</f>
        <v/>
      </c>
      <c r="D78" s="47" t="str">
        <f>IFERROR(VLOOKUP($A$1&amp;"-"&amp;ROW(D77),基本資料填寫!$A:$DN,COLUMN(基本資料填寫!V78),0),"")</f>
        <v/>
      </c>
      <c r="E78" s="47" t="str">
        <f>IFERROR(VLOOKUP($A$1&amp;"-"&amp;ROW(E77),基本資料填寫!$A:$DN,COLUMN(基本資料填寫!BW78),0),"")</f>
        <v/>
      </c>
      <c r="F78" s="47" t="str">
        <f>IFERROR(VLOOKUP($A$1&amp;"-"&amp;ROW(F77),基本資料填寫!$A:$DN,COLUMN(基本資料填寫!AN78),0),"")</f>
        <v/>
      </c>
      <c r="G78" s="47" t="str">
        <f>IFERROR(VLOOKUP($A$1&amp;"-"&amp;ROW(H77),基本資料填寫!$A:$DN,COLUMN(基本資料填寫!R78),0),"")</f>
        <v/>
      </c>
      <c r="H78" s="47" t="str">
        <f>IFERROR(VLOOKUP($A$1&amp;"-"&amp;ROW(X77),基本資料填寫!$A:$DN,COLUMN(基本資料填寫!BX78),0),"")</f>
        <v/>
      </c>
      <c r="I78" s="47" t="str">
        <f>IFERROR(VLOOKUP($A$1&amp;"-"&amp;ROW(P77),基本資料填寫!$A:$DN,COLUMN(基本資料填寫!Z78),0),"")</f>
        <v/>
      </c>
      <c r="J78" s="47" t="str">
        <f>IFERROR(VLOOKUP($A$1&amp;"-"&amp;ROW(Q77),基本資料填寫!$A:$DN,COLUMN(基本資料填寫!AA78),0),"")</f>
        <v/>
      </c>
      <c r="K78" s="47" t="str">
        <f>IFERROR(VLOOKUP($A$1&amp;"-"&amp;ROW(Y77),基本資料填寫!$A:$DN,COLUMN(基本資料填寫!BY78),0),"")</f>
        <v/>
      </c>
      <c r="L78" s="47" t="str">
        <f>IFERROR(VLOOKUP($A$1&amp;"-"&amp;ROW(Z77),基本資料填寫!$A:$DN,COLUMN(基本資料填寫!BZ78),0),"")</f>
        <v/>
      </c>
      <c r="M78" s="47" t="str">
        <f>IFERROR(VLOOKUP($A$1&amp;"-"&amp;ROW(AA77),基本資料填寫!$A:$DN,COLUMN(基本資料填寫!CA78),0),"")</f>
        <v/>
      </c>
      <c r="N78" s="47" t="str">
        <f>IFERROR(VLOOKUP($A$1&amp;"-"&amp;ROW(G77),基本資料填寫!$A:$DN,COLUMN(基本資料填寫!AO78),0),"")</f>
        <v/>
      </c>
      <c r="O78" s="47" t="str">
        <f>IFERROR(VLOOKUP($A$1&amp;"-"&amp;ROW(AB77),基本資料填寫!$A:$DN,COLUMN(基本資料填寫!CB78),0),"")</f>
        <v/>
      </c>
      <c r="P78" s="47" t="str">
        <f>IFERROR(VLOOKUP($A$1&amp;"-"&amp;ROW(AC77),基本資料填寫!$A:$DN,COLUMN(基本資料填寫!CC78),0),"")</f>
        <v/>
      </c>
      <c r="Q78" s="47" t="str">
        <f>IFERROR(VLOOKUP($A$1&amp;"-"&amp;ROW(AD77),基本資料填寫!$A:$DN,COLUMN(基本資料填寫!CD78),0),"")</f>
        <v/>
      </c>
      <c r="R78" s="47" t="str">
        <f>IFERROR(VLOOKUP($A$1&amp;"-"&amp;ROW(AE77),基本資料填寫!$A:$DN,COLUMN(基本資料填寫!CE78),0),"")</f>
        <v/>
      </c>
      <c r="S78" s="47" t="str">
        <f>IFERROR(VLOOKUP($A$1&amp;"-"&amp;ROW(AF77),基本資料填寫!$A:$DN,COLUMN(基本資料填寫!CF78),0),"")</f>
        <v/>
      </c>
      <c r="T78" s="47" t="str">
        <f>IFERROR(VLOOKUP($A$1&amp;"-"&amp;ROW(AG77),基本資料填寫!$A:$DN,COLUMN(基本資料填寫!CG78),0),"")</f>
        <v/>
      </c>
      <c r="U78" s="47" t="str">
        <f>IFERROR(VLOOKUP($A$1&amp;"-"&amp;ROW(AH77),基本資料填寫!$A:$DN,COLUMN(基本資料填寫!CH78),0),"")</f>
        <v/>
      </c>
      <c r="V78" s="47" t="str">
        <f>IFERROR(VLOOKUP($A$1&amp;"-"&amp;ROW(AI77),基本資料填寫!$A:$DN,COLUMN(基本資料填寫!CI78),0),"")</f>
        <v/>
      </c>
      <c r="W78" s="47" t="str">
        <f>IFERROR(VLOOKUP($A$1&amp;"-"&amp;ROW(E77),基本資料填寫!$A:$DN,COLUMN(基本資料填寫!O78),0),"")</f>
        <v/>
      </c>
      <c r="X78" s="47" t="str">
        <f>IFERROR(VLOOKUP($A$1&amp;"-"&amp;ROW(AJ77),基本資料填寫!$A:$DN,COLUMN(基本資料填寫!CJ78),0),"")</f>
        <v/>
      </c>
      <c r="Y78" s="47" t="str">
        <f>IFERROR(VLOOKUP($A$1&amp;"-"&amp;ROW(AK77),基本資料填寫!$A:$DN,COLUMN(基本資料填寫!CK78),0),"")</f>
        <v/>
      </c>
      <c r="Z78" s="47" t="str">
        <f>IFERROR(VLOOKUP($A$1&amp;"-"&amp;ROW(AM77),基本資料填寫!$A:$DN,COLUMN(基本資料填寫!CN78),0),"")</f>
        <v/>
      </c>
      <c r="AA78" s="47" t="str">
        <f>IFERROR(VLOOKUP($A$1&amp;"-"&amp;ROW(AN77),基本資料填寫!$A:$DN,COLUMN(基本資料填寫!CO78),0),"")</f>
        <v/>
      </c>
      <c r="AB78" s="47" t="str">
        <f>IFERROR(VLOOKUP($A$1&amp;"-"&amp;ROW(AO77),基本資料填寫!$A:$DN,COLUMN(基本資料填寫!CP78),0),"")</f>
        <v/>
      </c>
    </row>
    <row r="79" spans="2:28" x14ac:dyDescent="0.3">
      <c r="B79" s="2" t="str">
        <f>IF(C79="","",COUNTA($C$2:C79))</f>
        <v/>
      </c>
      <c r="C79" s="47" t="str">
        <f>IFERROR(VLOOKUP($A$1&amp;"-"&amp;ROW(C78),基本資料填寫!$A:$DN,COLUMN(基本資料填寫!S79),0),"")</f>
        <v/>
      </c>
      <c r="D79" s="47" t="str">
        <f>IFERROR(VLOOKUP($A$1&amp;"-"&amp;ROW(D78),基本資料填寫!$A:$DN,COLUMN(基本資料填寫!V79),0),"")</f>
        <v/>
      </c>
      <c r="E79" s="47" t="str">
        <f>IFERROR(VLOOKUP($A$1&amp;"-"&amp;ROW(E78),基本資料填寫!$A:$DN,COLUMN(基本資料填寫!BW79),0),"")</f>
        <v/>
      </c>
      <c r="F79" s="47" t="str">
        <f>IFERROR(VLOOKUP($A$1&amp;"-"&amp;ROW(F78),基本資料填寫!$A:$DN,COLUMN(基本資料填寫!AN79),0),"")</f>
        <v/>
      </c>
      <c r="G79" s="47" t="str">
        <f>IFERROR(VLOOKUP($A$1&amp;"-"&amp;ROW(H78),基本資料填寫!$A:$DN,COLUMN(基本資料填寫!R79),0),"")</f>
        <v/>
      </c>
      <c r="H79" s="47" t="str">
        <f>IFERROR(VLOOKUP($A$1&amp;"-"&amp;ROW(X78),基本資料填寫!$A:$DN,COLUMN(基本資料填寫!BX79),0),"")</f>
        <v/>
      </c>
      <c r="I79" s="47" t="str">
        <f>IFERROR(VLOOKUP($A$1&amp;"-"&amp;ROW(P78),基本資料填寫!$A:$DN,COLUMN(基本資料填寫!Z79),0),"")</f>
        <v/>
      </c>
      <c r="J79" s="47" t="str">
        <f>IFERROR(VLOOKUP($A$1&amp;"-"&amp;ROW(Q78),基本資料填寫!$A:$DN,COLUMN(基本資料填寫!AA79),0),"")</f>
        <v/>
      </c>
      <c r="K79" s="47" t="str">
        <f>IFERROR(VLOOKUP($A$1&amp;"-"&amp;ROW(Y78),基本資料填寫!$A:$DN,COLUMN(基本資料填寫!BY79),0),"")</f>
        <v/>
      </c>
      <c r="L79" s="47" t="str">
        <f>IFERROR(VLOOKUP($A$1&amp;"-"&amp;ROW(Z78),基本資料填寫!$A:$DN,COLUMN(基本資料填寫!BZ79),0),"")</f>
        <v/>
      </c>
      <c r="M79" s="47" t="str">
        <f>IFERROR(VLOOKUP($A$1&amp;"-"&amp;ROW(AA78),基本資料填寫!$A:$DN,COLUMN(基本資料填寫!CA79),0),"")</f>
        <v/>
      </c>
      <c r="N79" s="47" t="str">
        <f>IFERROR(VLOOKUP($A$1&amp;"-"&amp;ROW(G78),基本資料填寫!$A:$DN,COLUMN(基本資料填寫!AO79),0),"")</f>
        <v/>
      </c>
      <c r="O79" s="47" t="str">
        <f>IFERROR(VLOOKUP($A$1&amp;"-"&amp;ROW(AB78),基本資料填寫!$A:$DN,COLUMN(基本資料填寫!CB79),0),"")</f>
        <v/>
      </c>
      <c r="P79" s="47" t="str">
        <f>IFERROR(VLOOKUP($A$1&amp;"-"&amp;ROW(AC78),基本資料填寫!$A:$DN,COLUMN(基本資料填寫!CC79),0),"")</f>
        <v/>
      </c>
      <c r="Q79" s="47" t="str">
        <f>IFERROR(VLOOKUP($A$1&amp;"-"&amp;ROW(AD78),基本資料填寫!$A:$DN,COLUMN(基本資料填寫!CD79),0),"")</f>
        <v/>
      </c>
      <c r="R79" s="47" t="str">
        <f>IFERROR(VLOOKUP($A$1&amp;"-"&amp;ROW(AE78),基本資料填寫!$A:$DN,COLUMN(基本資料填寫!CE79),0),"")</f>
        <v/>
      </c>
      <c r="S79" s="47" t="str">
        <f>IFERROR(VLOOKUP($A$1&amp;"-"&amp;ROW(AF78),基本資料填寫!$A:$DN,COLUMN(基本資料填寫!CF79),0),"")</f>
        <v/>
      </c>
      <c r="T79" s="47" t="str">
        <f>IFERROR(VLOOKUP($A$1&amp;"-"&amp;ROW(AG78),基本資料填寫!$A:$DN,COLUMN(基本資料填寫!CG79),0),"")</f>
        <v/>
      </c>
      <c r="U79" s="47" t="str">
        <f>IFERROR(VLOOKUP($A$1&amp;"-"&amp;ROW(AH78),基本資料填寫!$A:$DN,COLUMN(基本資料填寫!CH79),0),"")</f>
        <v/>
      </c>
      <c r="V79" s="47" t="str">
        <f>IFERROR(VLOOKUP($A$1&amp;"-"&amp;ROW(AI78),基本資料填寫!$A:$DN,COLUMN(基本資料填寫!CI79),0),"")</f>
        <v/>
      </c>
      <c r="W79" s="47" t="str">
        <f>IFERROR(VLOOKUP($A$1&amp;"-"&amp;ROW(E78),基本資料填寫!$A:$DN,COLUMN(基本資料填寫!O79),0),"")</f>
        <v/>
      </c>
      <c r="X79" s="47" t="str">
        <f>IFERROR(VLOOKUP($A$1&amp;"-"&amp;ROW(AJ78),基本資料填寫!$A:$DN,COLUMN(基本資料填寫!CJ79),0),"")</f>
        <v/>
      </c>
      <c r="Y79" s="47" t="str">
        <f>IFERROR(VLOOKUP($A$1&amp;"-"&amp;ROW(AK78),基本資料填寫!$A:$DN,COLUMN(基本資料填寫!CK79),0),"")</f>
        <v/>
      </c>
      <c r="Z79" s="47" t="str">
        <f>IFERROR(VLOOKUP($A$1&amp;"-"&amp;ROW(AM78),基本資料填寫!$A:$DN,COLUMN(基本資料填寫!CN79),0),"")</f>
        <v/>
      </c>
      <c r="AA79" s="47" t="str">
        <f>IFERROR(VLOOKUP($A$1&amp;"-"&amp;ROW(AN78),基本資料填寫!$A:$DN,COLUMN(基本資料填寫!CO79),0),"")</f>
        <v/>
      </c>
      <c r="AB79" s="47" t="str">
        <f>IFERROR(VLOOKUP($A$1&amp;"-"&amp;ROW(AO78),基本資料填寫!$A:$DN,COLUMN(基本資料填寫!CP79),0),"")</f>
        <v/>
      </c>
    </row>
    <row r="80" spans="2:28" x14ac:dyDescent="0.3">
      <c r="B80" s="2" t="str">
        <f>IF(C80="","",COUNTA($C$2:C80))</f>
        <v/>
      </c>
      <c r="C80" s="47" t="str">
        <f>IFERROR(VLOOKUP($A$1&amp;"-"&amp;ROW(C79),基本資料填寫!$A:$DN,COLUMN(基本資料填寫!S80),0),"")</f>
        <v/>
      </c>
      <c r="D80" s="47" t="str">
        <f>IFERROR(VLOOKUP($A$1&amp;"-"&amp;ROW(D79),基本資料填寫!$A:$DN,COLUMN(基本資料填寫!V80),0),"")</f>
        <v/>
      </c>
      <c r="E80" s="47" t="str">
        <f>IFERROR(VLOOKUP($A$1&amp;"-"&amp;ROW(E79),基本資料填寫!$A:$DN,COLUMN(基本資料填寫!BW80),0),"")</f>
        <v/>
      </c>
      <c r="F80" s="47" t="str">
        <f>IFERROR(VLOOKUP($A$1&amp;"-"&amp;ROW(F79),基本資料填寫!$A:$DN,COLUMN(基本資料填寫!AN80),0),"")</f>
        <v/>
      </c>
      <c r="G80" s="47" t="str">
        <f>IFERROR(VLOOKUP($A$1&amp;"-"&amp;ROW(H79),基本資料填寫!$A:$DN,COLUMN(基本資料填寫!R80),0),"")</f>
        <v/>
      </c>
      <c r="H80" s="47" t="str">
        <f>IFERROR(VLOOKUP($A$1&amp;"-"&amp;ROW(X79),基本資料填寫!$A:$DN,COLUMN(基本資料填寫!BX80),0),"")</f>
        <v/>
      </c>
      <c r="I80" s="47" t="str">
        <f>IFERROR(VLOOKUP($A$1&amp;"-"&amp;ROW(P79),基本資料填寫!$A:$DN,COLUMN(基本資料填寫!Z80),0),"")</f>
        <v/>
      </c>
      <c r="J80" s="47" t="str">
        <f>IFERROR(VLOOKUP($A$1&amp;"-"&amp;ROW(Q79),基本資料填寫!$A:$DN,COLUMN(基本資料填寫!AA80),0),"")</f>
        <v/>
      </c>
      <c r="K80" s="47" t="str">
        <f>IFERROR(VLOOKUP($A$1&amp;"-"&amp;ROW(Y79),基本資料填寫!$A:$DN,COLUMN(基本資料填寫!BY80),0),"")</f>
        <v/>
      </c>
      <c r="L80" s="47" t="str">
        <f>IFERROR(VLOOKUP($A$1&amp;"-"&amp;ROW(Z79),基本資料填寫!$A:$DN,COLUMN(基本資料填寫!BZ80),0),"")</f>
        <v/>
      </c>
      <c r="M80" s="47" t="str">
        <f>IFERROR(VLOOKUP($A$1&amp;"-"&amp;ROW(AA79),基本資料填寫!$A:$DN,COLUMN(基本資料填寫!CA80),0),"")</f>
        <v/>
      </c>
      <c r="N80" s="47" t="str">
        <f>IFERROR(VLOOKUP($A$1&amp;"-"&amp;ROW(G79),基本資料填寫!$A:$DN,COLUMN(基本資料填寫!AO80),0),"")</f>
        <v/>
      </c>
      <c r="O80" s="47" t="str">
        <f>IFERROR(VLOOKUP($A$1&amp;"-"&amp;ROW(AB79),基本資料填寫!$A:$DN,COLUMN(基本資料填寫!CB80),0),"")</f>
        <v/>
      </c>
      <c r="P80" s="47" t="str">
        <f>IFERROR(VLOOKUP($A$1&amp;"-"&amp;ROW(AC79),基本資料填寫!$A:$DN,COLUMN(基本資料填寫!CC80),0),"")</f>
        <v/>
      </c>
      <c r="Q80" s="47" t="str">
        <f>IFERROR(VLOOKUP($A$1&amp;"-"&amp;ROW(AD79),基本資料填寫!$A:$DN,COLUMN(基本資料填寫!CD80),0),"")</f>
        <v/>
      </c>
      <c r="R80" s="47" t="str">
        <f>IFERROR(VLOOKUP($A$1&amp;"-"&amp;ROW(AE79),基本資料填寫!$A:$DN,COLUMN(基本資料填寫!CE80),0),"")</f>
        <v/>
      </c>
      <c r="S80" s="47" t="str">
        <f>IFERROR(VLOOKUP($A$1&amp;"-"&amp;ROW(AF79),基本資料填寫!$A:$DN,COLUMN(基本資料填寫!CF80),0),"")</f>
        <v/>
      </c>
      <c r="T80" s="47" t="str">
        <f>IFERROR(VLOOKUP($A$1&amp;"-"&amp;ROW(AG79),基本資料填寫!$A:$DN,COLUMN(基本資料填寫!CG80),0),"")</f>
        <v/>
      </c>
      <c r="U80" s="47" t="str">
        <f>IFERROR(VLOOKUP($A$1&amp;"-"&amp;ROW(AH79),基本資料填寫!$A:$DN,COLUMN(基本資料填寫!CH80),0),"")</f>
        <v/>
      </c>
      <c r="V80" s="47" t="str">
        <f>IFERROR(VLOOKUP($A$1&amp;"-"&amp;ROW(AI79),基本資料填寫!$A:$DN,COLUMN(基本資料填寫!CI80),0),"")</f>
        <v/>
      </c>
      <c r="W80" s="47" t="str">
        <f>IFERROR(VLOOKUP($A$1&amp;"-"&amp;ROW(E79),基本資料填寫!$A:$DN,COLUMN(基本資料填寫!O80),0),"")</f>
        <v/>
      </c>
      <c r="X80" s="47" t="str">
        <f>IFERROR(VLOOKUP($A$1&amp;"-"&amp;ROW(AJ79),基本資料填寫!$A:$DN,COLUMN(基本資料填寫!CJ80),0),"")</f>
        <v/>
      </c>
      <c r="Y80" s="47" t="str">
        <f>IFERROR(VLOOKUP($A$1&amp;"-"&amp;ROW(AK79),基本資料填寫!$A:$DN,COLUMN(基本資料填寫!CK80),0),"")</f>
        <v/>
      </c>
      <c r="Z80" s="47" t="str">
        <f>IFERROR(VLOOKUP($A$1&amp;"-"&amp;ROW(AM79),基本資料填寫!$A:$DN,COLUMN(基本資料填寫!CN80),0),"")</f>
        <v/>
      </c>
      <c r="AA80" s="47" t="str">
        <f>IFERROR(VLOOKUP($A$1&amp;"-"&amp;ROW(AN79),基本資料填寫!$A:$DN,COLUMN(基本資料填寫!CO80),0),"")</f>
        <v/>
      </c>
      <c r="AB80" s="47" t="str">
        <f>IFERROR(VLOOKUP($A$1&amp;"-"&amp;ROW(AO79),基本資料填寫!$A:$DN,COLUMN(基本資料填寫!CP80),0),"")</f>
        <v/>
      </c>
    </row>
    <row r="81" spans="2:28" x14ac:dyDescent="0.3">
      <c r="B81" s="2" t="str">
        <f>IF(C81="","",COUNTA($C$2:C81))</f>
        <v/>
      </c>
      <c r="C81" s="47" t="str">
        <f>IFERROR(VLOOKUP($A$1&amp;"-"&amp;ROW(C80),基本資料填寫!$A:$DN,COLUMN(基本資料填寫!S81),0),"")</f>
        <v/>
      </c>
      <c r="D81" s="47" t="str">
        <f>IFERROR(VLOOKUP($A$1&amp;"-"&amp;ROW(D80),基本資料填寫!$A:$DN,COLUMN(基本資料填寫!V81),0),"")</f>
        <v/>
      </c>
      <c r="E81" s="47" t="str">
        <f>IFERROR(VLOOKUP($A$1&amp;"-"&amp;ROW(E80),基本資料填寫!$A:$DN,COLUMN(基本資料填寫!BW81),0),"")</f>
        <v/>
      </c>
      <c r="F81" s="47" t="str">
        <f>IFERROR(VLOOKUP($A$1&amp;"-"&amp;ROW(F80),基本資料填寫!$A:$DN,COLUMN(基本資料填寫!AN81),0),"")</f>
        <v/>
      </c>
      <c r="G81" s="47" t="str">
        <f>IFERROR(VLOOKUP($A$1&amp;"-"&amp;ROW(H80),基本資料填寫!$A:$DN,COLUMN(基本資料填寫!R81),0),"")</f>
        <v/>
      </c>
      <c r="H81" s="47" t="str">
        <f>IFERROR(VLOOKUP($A$1&amp;"-"&amp;ROW(X80),基本資料填寫!$A:$DN,COLUMN(基本資料填寫!BX81),0),"")</f>
        <v/>
      </c>
      <c r="I81" s="47" t="str">
        <f>IFERROR(VLOOKUP($A$1&amp;"-"&amp;ROW(P80),基本資料填寫!$A:$DN,COLUMN(基本資料填寫!Z81),0),"")</f>
        <v/>
      </c>
      <c r="J81" s="47" t="str">
        <f>IFERROR(VLOOKUP($A$1&amp;"-"&amp;ROW(Q80),基本資料填寫!$A:$DN,COLUMN(基本資料填寫!AA81),0),"")</f>
        <v/>
      </c>
      <c r="K81" s="47" t="str">
        <f>IFERROR(VLOOKUP($A$1&amp;"-"&amp;ROW(Y80),基本資料填寫!$A:$DN,COLUMN(基本資料填寫!BY81),0),"")</f>
        <v/>
      </c>
      <c r="L81" s="47" t="str">
        <f>IFERROR(VLOOKUP($A$1&amp;"-"&amp;ROW(Z80),基本資料填寫!$A:$DN,COLUMN(基本資料填寫!BZ81),0),"")</f>
        <v/>
      </c>
      <c r="M81" s="47" t="str">
        <f>IFERROR(VLOOKUP($A$1&amp;"-"&amp;ROW(AA80),基本資料填寫!$A:$DN,COLUMN(基本資料填寫!CA81),0),"")</f>
        <v/>
      </c>
      <c r="N81" s="47" t="str">
        <f>IFERROR(VLOOKUP($A$1&amp;"-"&amp;ROW(G80),基本資料填寫!$A:$DN,COLUMN(基本資料填寫!AO81),0),"")</f>
        <v/>
      </c>
      <c r="O81" s="47" t="str">
        <f>IFERROR(VLOOKUP($A$1&amp;"-"&amp;ROW(AB80),基本資料填寫!$A:$DN,COLUMN(基本資料填寫!CB81),0),"")</f>
        <v/>
      </c>
      <c r="P81" s="47" t="str">
        <f>IFERROR(VLOOKUP($A$1&amp;"-"&amp;ROW(AC80),基本資料填寫!$A:$DN,COLUMN(基本資料填寫!CC81),0),"")</f>
        <v/>
      </c>
      <c r="Q81" s="47" t="str">
        <f>IFERROR(VLOOKUP($A$1&amp;"-"&amp;ROW(AD80),基本資料填寫!$A:$DN,COLUMN(基本資料填寫!CD81),0),"")</f>
        <v/>
      </c>
      <c r="R81" s="47" t="str">
        <f>IFERROR(VLOOKUP($A$1&amp;"-"&amp;ROW(AE80),基本資料填寫!$A:$DN,COLUMN(基本資料填寫!CE81),0),"")</f>
        <v/>
      </c>
      <c r="S81" s="47" t="str">
        <f>IFERROR(VLOOKUP($A$1&amp;"-"&amp;ROW(AF80),基本資料填寫!$A:$DN,COLUMN(基本資料填寫!CF81),0),"")</f>
        <v/>
      </c>
      <c r="T81" s="47" t="str">
        <f>IFERROR(VLOOKUP($A$1&amp;"-"&amp;ROW(AG80),基本資料填寫!$A:$DN,COLUMN(基本資料填寫!CG81),0),"")</f>
        <v/>
      </c>
      <c r="U81" s="47" t="str">
        <f>IFERROR(VLOOKUP($A$1&amp;"-"&amp;ROW(AH80),基本資料填寫!$A:$DN,COLUMN(基本資料填寫!CH81),0),"")</f>
        <v/>
      </c>
      <c r="V81" s="47" t="str">
        <f>IFERROR(VLOOKUP($A$1&amp;"-"&amp;ROW(AI80),基本資料填寫!$A:$DN,COLUMN(基本資料填寫!CI81),0),"")</f>
        <v/>
      </c>
      <c r="W81" s="47" t="str">
        <f>IFERROR(VLOOKUP($A$1&amp;"-"&amp;ROW(E80),基本資料填寫!$A:$DN,COLUMN(基本資料填寫!O81),0),"")</f>
        <v/>
      </c>
      <c r="X81" s="47" t="str">
        <f>IFERROR(VLOOKUP($A$1&amp;"-"&amp;ROW(AJ80),基本資料填寫!$A:$DN,COLUMN(基本資料填寫!CJ81),0),"")</f>
        <v/>
      </c>
      <c r="Y81" s="47" t="str">
        <f>IFERROR(VLOOKUP($A$1&amp;"-"&amp;ROW(AK80),基本資料填寫!$A:$DN,COLUMN(基本資料填寫!CK81),0),"")</f>
        <v/>
      </c>
      <c r="Z81" s="47" t="str">
        <f>IFERROR(VLOOKUP($A$1&amp;"-"&amp;ROW(AM80),基本資料填寫!$A:$DN,COLUMN(基本資料填寫!CN81),0),"")</f>
        <v/>
      </c>
      <c r="AA81" s="47" t="str">
        <f>IFERROR(VLOOKUP($A$1&amp;"-"&amp;ROW(AN80),基本資料填寫!$A:$DN,COLUMN(基本資料填寫!CO81),0),"")</f>
        <v/>
      </c>
      <c r="AB81" s="47" t="str">
        <f>IFERROR(VLOOKUP($A$1&amp;"-"&amp;ROW(AO80),基本資料填寫!$A:$DN,COLUMN(基本資料填寫!CP81),0),"")</f>
        <v/>
      </c>
    </row>
    <row r="82" spans="2:28" x14ac:dyDescent="0.3">
      <c r="B82" s="2" t="str">
        <f>IF(C82="","",COUNTA($C$2:C82))</f>
        <v/>
      </c>
      <c r="C82" s="47" t="str">
        <f>IFERROR(VLOOKUP($A$1&amp;"-"&amp;ROW(C81),基本資料填寫!$A:$DN,COLUMN(基本資料填寫!S82),0),"")</f>
        <v/>
      </c>
      <c r="D82" s="47" t="str">
        <f>IFERROR(VLOOKUP($A$1&amp;"-"&amp;ROW(D81),基本資料填寫!$A:$DN,COLUMN(基本資料填寫!V82),0),"")</f>
        <v/>
      </c>
      <c r="E82" s="47" t="str">
        <f>IFERROR(VLOOKUP($A$1&amp;"-"&amp;ROW(E81),基本資料填寫!$A:$DN,COLUMN(基本資料填寫!BW82),0),"")</f>
        <v/>
      </c>
      <c r="F82" s="47" t="str">
        <f>IFERROR(VLOOKUP($A$1&amp;"-"&amp;ROW(F81),基本資料填寫!$A:$DN,COLUMN(基本資料填寫!AN82),0),"")</f>
        <v/>
      </c>
      <c r="G82" s="47" t="str">
        <f>IFERROR(VLOOKUP($A$1&amp;"-"&amp;ROW(H81),基本資料填寫!$A:$DN,COLUMN(基本資料填寫!R82),0),"")</f>
        <v/>
      </c>
      <c r="H82" s="47" t="str">
        <f>IFERROR(VLOOKUP($A$1&amp;"-"&amp;ROW(X81),基本資料填寫!$A:$DN,COLUMN(基本資料填寫!BX82),0),"")</f>
        <v/>
      </c>
      <c r="I82" s="47" t="str">
        <f>IFERROR(VLOOKUP($A$1&amp;"-"&amp;ROW(P81),基本資料填寫!$A:$DN,COLUMN(基本資料填寫!Z82),0),"")</f>
        <v/>
      </c>
      <c r="J82" s="47" t="str">
        <f>IFERROR(VLOOKUP($A$1&amp;"-"&amp;ROW(Q81),基本資料填寫!$A:$DN,COLUMN(基本資料填寫!AA82),0),"")</f>
        <v/>
      </c>
      <c r="K82" s="47" t="str">
        <f>IFERROR(VLOOKUP($A$1&amp;"-"&amp;ROW(Y81),基本資料填寫!$A:$DN,COLUMN(基本資料填寫!BY82),0),"")</f>
        <v/>
      </c>
      <c r="L82" s="47" t="str">
        <f>IFERROR(VLOOKUP($A$1&amp;"-"&amp;ROW(Z81),基本資料填寫!$A:$DN,COLUMN(基本資料填寫!BZ82),0),"")</f>
        <v/>
      </c>
      <c r="M82" s="47" t="str">
        <f>IFERROR(VLOOKUP($A$1&amp;"-"&amp;ROW(AA81),基本資料填寫!$A:$DN,COLUMN(基本資料填寫!CA82),0),"")</f>
        <v/>
      </c>
      <c r="N82" s="47" t="str">
        <f>IFERROR(VLOOKUP($A$1&amp;"-"&amp;ROW(G81),基本資料填寫!$A:$DN,COLUMN(基本資料填寫!AO82),0),"")</f>
        <v/>
      </c>
      <c r="O82" s="47" t="str">
        <f>IFERROR(VLOOKUP($A$1&amp;"-"&amp;ROW(AB81),基本資料填寫!$A:$DN,COLUMN(基本資料填寫!CB82),0),"")</f>
        <v/>
      </c>
      <c r="P82" s="47" t="str">
        <f>IFERROR(VLOOKUP($A$1&amp;"-"&amp;ROW(AC81),基本資料填寫!$A:$DN,COLUMN(基本資料填寫!CC82),0),"")</f>
        <v/>
      </c>
      <c r="Q82" s="47" t="str">
        <f>IFERROR(VLOOKUP($A$1&amp;"-"&amp;ROW(AD81),基本資料填寫!$A:$DN,COLUMN(基本資料填寫!CD82),0),"")</f>
        <v/>
      </c>
      <c r="R82" s="47" t="str">
        <f>IFERROR(VLOOKUP($A$1&amp;"-"&amp;ROW(AE81),基本資料填寫!$A:$DN,COLUMN(基本資料填寫!CE82),0),"")</f>
        <v/>
      </c>
      <c r="S82" s="47" t="str">
        <f>IFERROR(VLOOKUP($A$1&amp;"-"&amp;ROW(AF81),基本資料填寫!$A:$DN,COLUMN(基本資料填寫!CF82),0),"")</f>
        <v/>
      </c>
      <c r="T82" s="47" t="str">
        <f>IFERROR(VLOOKUP($A$1&amp;"-"&amp;ROW(AG81),基本資料填寫!$A:$DN,COLUMN(基本資料填寫!CG82),0),"")</f>
        <v/>
      </c>
      <c r="U82" s="47" t="str">
        <f>IFERROR(VLOOKUP($A$1&amp;"-"&amp;ROW(AH81),基本資料填寫!$A:$DN,COLUMN(基本資料填寫!CH82),0),"")</f>
        <v/>
      </c>
      <c r="V82" s="47" t="str">
        <f>IFERROR(VLOOKUP($A$1&amp;"-"&amp;ROW(AI81),基本資料填寫!$A:$DN,COLUMN(基本資料填寫!CI82),0),"")</f>
        <v/>
      </c>
      <c r="W82" s="47" t="str">
        <f>IFERROR(VLOOKUP($A$1&amp;"-"&amp;ROW(E81),基本資料填寫!$A:$DN,COLUMN(基本資料填寫!O82),0),"")</f>
        <v/>
      </c>
      <c r="X82" s="47" t="str">
        <f>IFERROR(VLOOKUP($A$1&amp;"-"&amp;ROW(AJ81),基本資料填寫!$A:$DN,COLUMN(基本資料填寫!CJ82),0),"")</f>
        <v/>
      </c>
      <c r="Y82" s="47" t="str">
        <f>IFERROR(VLOOKUP($A$1&amp;"-"&amp;ROW(AK81),基本資料填寫!$A:$DN,COLUMN(基本資料填寫!CK82),0),"")</f>
        <v/>
      </c>
      <c r="Z82" s="47" t="str">
        <f>IFERROR(VLOOKUP($A$1&amp;"-"&amp;ROW(AM81),基本資料填寫!$A:$DN,COLUMN(基本資料填寫!CN82),0),"")</f>
        <v/>
      </c>
      <c r="AA82" s="47" t="str">
        <f>IFERROR(VLOOKUP($A$1&amp;"-"&amp;ROW(AN81),基本資料填寫!$A:$DN,COLUMN(基本資料填寫!CO82),0),"")</f>
        <v/>
      </c>
      <c r="AB82" s="47" t="str">
        <f>IFERROR(VLOOKUP($A$1&amp;"-"&amp;ROW(AO81),基本資料填寫!$A:$DN,COLUMN(基本資料填寫!CP82),0),"")</f>
        <v/>
      </c>
    </row>
    <row r="83" spans="2:28" x14ac:dyDescent="0.3">
      <c r="B83" s="2" t="str">
        <f>IF(C83="","",COUNTA($C$2:C83))</f>
        <v/>
      </c>
      <c r="C83" s="47" t="str">
        <f>IFERROR(VLOOKUP($A$1&amp;"-"&amp;ROW(C82),基本資料填寫!$A:$DN,COLUMN(基本資料填寫!S83),0),"")</f>
        <v/>
      </c>
      <c r="D83" s="47" t="str">
        <f>IFERROR(VLOOKUP($A$1&amp;"-"&amp;ROW(D82),基本資料填寫!$A:$DN,COLUMN(基本資料填寫!V83),0),"")</f>
        <v/>
      </c>
      <c r="E83" s="47" t="str">
        <f>IFERROR(VLOOKUP($A$1&amp;"-"&amp;ROW(E82),基本資料填寫!$A:$DN,COLUMN(基本資料填寫!BW83),0),"")</f>
        <v/>
      </c>
      <c r="F83" s="47" t="str">
        <f>IFERROR(VLOOKUP($A$1&amp;"-"&amp;ROW(F82),基本資料填寫!$A:$DN,COLUMN(基本資料填寫!AN83),0),"")</f>
        <v/>
      </c>
      <c r="G83" s="47" t="str">
        <f>IFERROR(VLOOKUP($A$1&amp;"-"&amp;ROW(H82),基本資料填寫!$A:$DN,COLUMN(基本資料填寫!R83),0),"")</f>
        <v/>
      </c>
      <c r="H83" s="47" t="str">
        <f>IFERROR(VLOOKUP($A$1&amp;"-"&amp;ROW(X82),基本資料填寫!$A:$DN,COLUMN(基本資料填寫!BX83),0),"")</f>
        <v/>
      </c>
      <c r="I83" s="47" t="str">
        <f>IFERROR(VLOOKUP($A$1&amp;"-"&amp;ROW(P82),基本資料填寫!$A:$DN,COLUMN(基本資料填寫!Z83),0),"")</f>
        <v/>
      </c>
      <c r="J83" s="47" t="str">
        <f>IFERROR(VLOOKUP($A$1&amp;"-"&amp;ROW(Q82),基本資料填寫!$A:$DN,COLUMN(基本資料填寫!AA83),0),"")</f>
        <v/>
      </c>
      <c r="K83" s="47" t="str">
        <f>IFERROR(VLOOKUP($A$1&amp;"-"&amp;ROW(Y82),基本資料填寫!$A:$DN,COLUMN(基本資料填寫!BY83),0),"")</f>
        <v/>
      </c>
      <c r="L83" s="47" t="str">
        <f>IFERROR(VLOOKUP($A$1&amp;"-"&amp;ROW(Z82),基本資料填寫!$A:$DN,COLUMN(基本資料填寫!BZ83),0),"")</f>
        <v/>
      </c>
      <c r="M83" s="47" t="str">
        <f>IFERROR(VLOOKUP($A$1&amp;"-"&amp;ROW(AA82),基本資料填寫!$A:$DN,COLUMN(基本資料填寫!CA83),0),"")</f>
        <v/>
      </c>
      <c r="N83" s="47" t="str">
        <f>IFERROR(VLOOKUP($A$1&amp;"-"&amp;ROW(G82),基本資料填寫!$A:$DN,COLUMN(基本資料填寫!AO83),0),"")</f>
        <v/>
      </c>
      <c r="O83" s="47" t="str">
        <f>IFERROR(VLOOKUP($A$1&amp;"-"&amp;ROW(AB82),基本資料填寫!$A:$DN,COLUMN(基本資料填寫!CB83),0),"")</f>
        <v/>
      </c>
      <c r="P83" s="47" t="str">
        <f>IFERROR(VLOOKUP($A$1&amp;"-"&amp;ROW(AC82),基本資料填寫!$A:$DN,COLUMN(基本資料填寫!CC83),0),"")</f>
        <v/>
      </c>
      <c r="Q83" s="47" t="str">
        <f>IFERROR(VLOOKUP($A$1&amp;"-"&amp;ROW(AD82),基本資料填寫!$A:$DN,COLUMN(基本資料填寫!CD83),0),"")</f>
        <v/>
      </c>
      <c r="R83" s="47" t="str">
        <f>IFERROR(VLOOKUP($A$1&amp;"-"&amp;ROW(AE82),基本資料填寫!$A:$DN,COLUMN(基本資料填寫!CE83),0),"")</f>
        <v/>
      </c>
      <c r="S83" s="47" t="str">
        <f>IFERROR(VLOOKUP($A$1&amp;"-"&amp;ROW(AF82),基本資料填寫!$A:$DN,COLUMN(基本資料填寫!CF83),0),"")</f>
        <v/>
      </c>
      <c r="T83" s="47" t="str">
        <f>IFERROR(VLOOKUP($A$1&amp;"-"&amp;ROW(AG82),基本資料填寫!$A:$DN,COLUMN(基本資料填寫!CG83),0),"")</f>
        <v/>
      </c>
      <c r="U83" s="47" t="str">
        <f>IFERROR(VLOOKUP($A$1&amp;"-"&amp;ROW(AH82),基本資料填寫!$A:$DN,COLUMN(基本資料填寫!CH83),0),"")</f>
        <v/>
      </c>
      <c r="V83" s="47" t="str">
        <f>IFERROR(VLOOKUP($A$1&amp;"-"&amp;ROW(AI82),基本資料填寫!$A:$DN,COLUMN(基本資料填寫!CI83),0),"")</f>
        <v/>
      </c>
      <c r="W83" s="47" t="str">
        <f>IFERROR(VLOOKUP($A$1&amp;"-"&amp;ROW(E82),基本資料填寫!$A:$DN,COLUMN(基本資料填寫!O83),0),"")</f>
        <v/>
      </c>
      <c r="X83" s="47" t="str">
        <f>IFERROR(VLOOKUP($A$1&amp;"-"&amp;ROW(AJ82),基本資料填寫!$A:$DN,COLUMN(基本資料填寫!CJ83),0),"")</f>
        <v/>
      </c>
      <c r="Y83" s="47" t="str">
        <f>IFERROR(VLOOKUP($A$1&amp;"-"&amp;ROW(AK82),基本資料填寫!$A:$DN,COLUMN(基本資料填寫!CK83),0),"")</f>
        <v/>
      </c>
      <c r="Z83" s="47" t="str">
        <f>IFERROR(VLOOKUP($A$1&amp;"-"&amp;ROW(AM82),基本資料填寫!$A:$DN,COLUMN(基本資料填寫!CN83),0),"")</f>
        <v/>
      </c>
      <c r="AA83" s="47" t="str">
        <f>IFERROR(VLOOKUP($A$1&amp;"-"&amp;ROW(AN82),基本資料填寫!$A:$DN,COLUMN(基本資料填寫!CO83),0),"")</f>
        <v/>
      </c>
      <c r="AB83" s="47" t="str">
        <f>IFERROR(VLOOKUP($A$1&amp;"-"&amp;ROW(AO82),基本資料填寫!$A:$DN,COLUMN(基本資料填寫!CP83),0),"")</f>
        <v/>
      </c>
    </row>
    <row r="84" spans="2:28" x14ac:dyDescent="0.3">
      <c r="B84" s="2" t="str">
        <f>IF(C84="","",COUNTA($C$2:C84))</f>
        <v/>
      </c>
      <c r="C84" s="47" t="str">
        <f>IFERROR(VLOOKUP($A$1&amp;"-"&amp;ROW(C83),基本資料填寫!$A:$DN,COLUMN(基本資料填寫!S84),0),"")</f>
        <v/>
      </c>
      <c r="D84" s="47" t="str">
        <f>IFERROR(VLOOKUP($A$1&amp;"-"&amp;ROW(D83),基本資料填寫!$A:$DN,COLUMN(基本資料填寫!V84),0),"")</f>
        <v/>
      </c>
      <c r="E84" s="47" t="str">
        <f>IFERROR(VLOOKUP($A$1&amp;"-"&amp;ROW(E83),基本資料填寫!$A:$DN,COLUMN(基本資料填寫!BW84),0),"")</f>
        <v/>
      </c>
      <c r="F84" s="47" t="str">
        <f>IFERROR(VLOOKUP($A$1&amp;"-"&amp;ROW(F83),基本資料填寫!$A:$DN,COLUMN(基本資料填寫!AN84),0),"")</f>
        <v/>
      </c>
      <c r="G84" s="47" t="str">
        <f>IFERROR(VLOOKUP($A$1&amp;"-"&amp;ROW(H83),基本資料填寫!$A:$DN,COLUMN(基本資料填寫!R84),0),"")</f>
        <v/>
      </c>
      <c r="H84" s="47" t="str">
        <f>IFERROR(VLOOKUP($A$1&amp;"-"&amp;ROW(X83),基本資料填寫!$A:$DN,COLUMN(基本資料填寫!BX84),0),"")</f>
        <v/>
      </c>
      <c r="I84" s="47" t="str">
        <f>IFERROR(VLOOKUP($A$1&amp;"-"&amp;ROW(P83),基本資料填寫!$A:$DN,COLUMN(基本資料填寫!Z84),0),"")</f>
        <v/>
      </c>
      <c r="J84" s="47" t="str">
        <f>IFERROR(VLOOKUP($A$1&amp;"-"&amp;ROW(Q83),基本資料填寫!$A:$DN,COLUMN(基本資料填寫!AA84),0),"")</f>
        <v/>
      </c>
      <c r="K84" s="47" t="str">
        <f>IFERROR(VLOOKUP($A$1&amp;"-"&amp;ROW(Y83),基本資料填寫!$A:$DN,COLUMN(基本資料填寫!BY84),0),"")</f>
        <v/>
      </c>
      <c r="L84" s="47" t="str">
        <f>IFERROR(VLOOKUP($A$1&amp;"-"&amp;ROW(Z83),基本資料填寫!$A:$DN,COLUMN(基本資料填寫!BZ84),0),"")</f>
        <v/>
      </c>
      <c r="M84" s="47" t="str">
        <f>IFERROR(VLOOKUP($A$1&amp;"-"&amp;ROW(AA83),基本資料填寫!$A:$DN,COLUMN(基本資料填寫!CA84),0),"")</f>
        <v/>
      </c>
      <c r="N84" s="47" t="str">
        <f>IFERROR(VLOOKUP($A$1&amp;"-"&amp;ROW(G83),基本資料填寫!$A:$DN,COLUMN(基本資料填寫!AO84),0),"")</f>
        <v/>
      </c>
      <c r="O84" s="47" t="str">
        <f>IFERROR(VLOOKUP($A$1&amp;"-"&amp;ROW(AB83),基本資料填寫!$A:$DN,COLUMN(基本資料填寫!CB84),0),"")</f>
        <v/>
      </c>
      <c r="P84" s="47" t="str">
        <f>IFERROR(VLOOKUP($A$1&amp;"-"&amp;ROW(AC83),基本資料填寫!$A:$DN,COLUMN(基本資料填寫!CC84),0),"")</f>
        <v/>
      </c>
      <c r="Q84" s="47" t="str">
        <f>IFERROR(VLOOKUP($A$1&amp;"-"&amp;ROW(AD83),基本資料填寫!$A:$DN,COLUMN(基本資料填寫!CD84),0),"")</f>
        <v/>
      </c>
      <c r="R84" s="47" t="str">
        <f>IFERROR(VLOOKUP($A$1&amp;"-"&amp;ROW(AE83),基本資料填寫!$A:$DN,COLUMN(基本資料填寫!CE84),0),"")</f>
        <v/>
      </c>
      <c r="S84" s="47" t="str">
        <f>IFERROR(VLOOKUP($A$1&amp;"-"&amp;ROW(AF83),基本資料填寫!$A:$DN,COLUMN(基本資料填寫!CF84),0),"")</f>
        <v/>
      </c>
      <c r="T84" s="47" t="str">
        <f>IFERROR(VLOOKUP($A$1&amp;"-"&amp;ROW(AG83),基本資料填寫!$A:$DN,COLUMN(基本資料填寫!CG84),0),"")</f>
        <v/>
      </c>
      <c r="U84" s="47" t="str">
        <f>IFERROR(VLOOKUP($A$1&amp;"-"&amp;ROW(AH83),基本資料填寫!$A:$DN,COLUMN(基本資料填寫!CH84),0),"")</f>
        <v/>
      </c>
      <c r="V84" s="47" t="str">
        <f>IFERROR(VLOOKUP($A$1&amp;"-"&amp;ROW(AI83),基本資料填寫!$A:$DN,COLUMN(基本資料填寫!CI84),0),"")</f>
        <v/>
      </c>
      <c r="W84" s="47" t="str">
        <f>IFERROR(VLOOKUP($A$1&amp;"-"&amp;ROW(E83),基本資料填寫!$A:$DN,COLUMN(基本資料填寫!O84),0),"")</f>
        <v/>
      </c>
      <c r="X84" s="47" t="str">
        <f>IFERROR(VLOOKUP($A$1&amp;"-"&amp;ROW(AJ83),基本資料填寫!$A:$DN,COLUMN(基本資料填寫!CJ84),0),"")</f>
        <v/>
      </c>
      <c r="Y84" s="47" t="str">
        <f>IFERROR(VLOOKUP($A$1&amp;"-"&amp;ROW(AK83),基本資料填寫!$A:$DN,COLUMN(基本資料填寫!CK84),0),"")</f>
        <v/>
      </c>
      <c r="Z84" s="47" t="str">
        <f>IFERROR(VLOOKUP($A$1&amp;"-"&amp;ROW(AM83),基本資料填寫!$A:$DN,COLUMN(基本資料填寫!CN84),0),"")</f>
        <v/>
      </c>
      <c r="AA84" s="47" t="str">
        <f>IFERROR(VLOOKUP($A$1&amp;"-"&amp;ROW(AN83),基本資料填寫!$A:$DN,COLUMN(基本資料填寫!CO84),0),"")</f>
        <v/>
      </c>
      <c r="AB84" s="47" t="str">
        <f>IFERROR(VLOOKUP($A$1&amp;"-"&amp;ROW(AO83),基本資料填寫!$A:$DN,COLUMN(基本資料填寫!CP84),0),"")</f>
        <v/>
      </c>
    </row>
    <row r="85" spans="2:28" x14ac:dyDescent="0.3">
      <c r="B85" s="2" t="str">
        <f>IF(C85="","",COUNTA($C$2:C85))</f>
        <v/>
      </c>
      <c r="C85" s="47" t="str">
        <f>IFERROR(VLOOKUP($A$1&amp;"-"&amp;ROW(C84),基本資料填寫!$A:$DN,COLUMN(基本資料填寫!S85),0),"")</f>
        <v/>
      </c>
      <c r="D85" s="47" t="str">
        <f>IFERROR(VLOOKUP($A$1&amp;"-"&amp;ROW(D84),基本資料填寫!$A:$DN,COLUMN(基本資料填寫!V85),0),"")</f>
        <v/>
      </c>
      <c r="E85" s="47" t="str">
        <f>IFERROR(VLOOKUP($A$1&amp;"-"&amp;ROW(E84),基本資料填寫!$A:$DN,COLUMN(基本資料填寫!BW85),0),"")</f>
        <v/>
      </c>
      <c r="F85" s="47" t="str">
        <f>IFERROR(VLOOKUP($A$1&amp;"-"&amp;ROW(F84),基本資料填寫!$A:$DN,COLUMN(基本資料填寫!AN85),0),"")</f>
        <v/>
      </c>
      <c r="G85" s="47" t="str">
        <f>IFERROR(VLOOKUP($A$1&amp;"-"&amp;ROW(H84),基本資料填寫!$A:$DN,COLUMN(基本資料填寫!R85),0),"")</f>
        <v/>
      </c>
      <c r="H85" s="47" t="str">
        <f>IFERROR(VLOOKUP($A$1&amp;"-"&amp;ROW(X84),基本資料填寫!$A:$DN,COLUMN(基本資料填寫!BX85),0),"")</f>
        <v/>
      </c>
      <c r="I85" s="47" t="str">
        <f>IFERROR(VLOOKUP($A$1&amp;"-"&amp;ROW(P84),基本資料填寫!$A:$DN,COLUMN(基本資料填寫!Z85),0),"")</f>
        <v/>
      </c>
      <c r="J85" s="47" t="str">
        <f>IFERROR(VLOOKUP($A$1&amp;"-"&amp;ROW(Q84),基本資料填寫!$A:$DN,COLUMN(基本資料填寫!AA85),0),"")</f>
        <v/>
      </c>
      <c r="K85" s="47" t="str">
        <f>IFERROR(VLOOKUP($A$1&amp;"-"&amp;ROW(Y84),基本資料填寫!$A:$DN,COLUMN(基本資料填寫!BY85),0),"")</f>
        <v/>
      </c>
      <c r="L85" s="47" t="str">
        <f>IFERROR(VLOOKUP($A$1&amp;"-"&amp;ROW(Z84),基本資料填寫!$A:$DN,COLUMN(基本資料填寫!BZ85),0),"")</f>
        <v/>
      </c>
      <c r="M85" s="47" t="str">
        <f>IFERROR(VLOOKUP($A$1&amp;"-"&amp;ROW(AA84),基本資料填寫!$A:$DN,COLUMN(基本資料填寫!CA85),0),"")</f>
        <v/>
      </c>
      <c r="N85" s="47" t="str">
        <f>IFERROR(VLOOKUP($A$1&amp;"-"&amp;ROW(G84),基本資料填寫!$A:$DN,COLUMN(基本資料填寫!AO85),0),"")</f>
        <v/>
      </c>
      <c r="O85" s="47" t="str">
        <f>IFERROR(VLOOKUP($A$1&amp;"-"&amp;ROW(AB84),基本資料填寫!$A:$DN,COLUMN(基本資料填寫!CB85),0),"")</f>
        <v/>
      </c>
      <c r="P85" s="47" t="str">
        <f>IFERROR(VLOOKUP($A$1&amp;"-"&amp;ROW(AC84),基本資料填寫!$A:$DN,COLUMN(基本資料填寫!CC85),0),"")</f>
        <v/>
      </c>
      <c r="Q85" s="47" t="str">
        <f>IFERROR(VLOOKUP($A$1&amp;"-"&amp;ROW(AD84),基本資料填寫!$A:$DN,COLUMN(基本資料填寫!CD85),0),"")</f>
        <v/>
      </c>
      <c r="R85" s="47" t="str">
        <f>IFERROR(VLOOKUP($A$1&amp;"-"&amp;ROW(AE84),基本資料填寫!$A:$DN,COLUMN(基本資料填寫!CE85),0),"")</f>
        <v/>
      </c>
      <c r="S85" s="47" t="str">
        <f>IFERROR(VLOOKUP($A$1&amp;"-"&amp;ROW(AF84),基本資料填寫!$A:$DN,COLUMN(基本資料填寫!CF85),0),"")</f>
        <v/>
      </c>
      <c r="T85" s="47" t="str">
        <f>IFERROR(VLOOKUP($A$1&amp;"-"&amp;ROW(AG84),基本資料填寫!$A:$DN,COLUMN(基本資料填寫!CG85),0),"")</f>
        <v/>
      </c>
      <c r="U85" s="47" t="str">
        <f>IFERROR(VLOOKUP($A$1&amp;"-"&amp;ROW(AH84),基本資料填寫!$A:$DN,COLUMN(基本資料填寫!CH85),0),"")</f>
        <v/>
      </c>
      <c r="V85" s="47" t="str">
        <f>IFERROR(VLOOKUP($A$1&amp;"-"&amp;ROW(AI84),基本資料填寫!$A:$DN,COLUMN(基本資料填寫!CI85),0),"")</f>
        <v/>
      </c>
      <c r="W85" s="47" t="str">
        <f>IFERROR(VLOOKUP($A$1&amp;"-"&amp;ROW(E84),基本資料填寫!$A:$DN,COLUMN(基本資料填寫!O85),0),"")</f>
        <v/>
      </c>
      <c r="X85" s="47" t="str">
        <f>IFERROR(VLOOKUP($A$1&amp;"-"&amp;ROW(AJ84),基本資料填寫!$A:$DN,COLUMN(基本資料填寫!CJ85),0),"")</f>
        <v/>
      </c>
      <c r="Y85" s="47" t="str">
        <f>IFERROR(VLOOKUP($A$1&amp;"-"&amp;ROW(AK84),基本資料填寫!$A:$DN,COLUMN(基本資料填寫!CK85),0),"")</f>
        <v/>
      </c>
      <c r="Z85" s="47" t="str">
        <f>IFERROR(VLOOKUP($A$1&amp;"-"&amp;ROW(AM84),基本資料填寫!$A:$DN,COLUMN(基本資料填寫!CN85),0),"")</f>
        <v/>
      </c>
      <c r="AA85" s="47" t="str">
        <f>IFERROR(VLOOKUP($A$1&amp;"-"&amp;ROW(AN84),基本資料填寫!$A:$DN,COLUMN(基本資料填寫!CO85),0),"")</f>
        <v/>
      </c>
      <c r="AB85" s="47" t="str">
        <f>IFERROR(VLOOKUP($A$1&amp;"-"&amp;ROW(AO84),基本資料填寫!$A:$DN,COLUMN(基本資料填寫!CP85),0),"")</f>
        <v/>
      </c>
    </row>
    <row r="86" spans="2:28" x14ac:dyDescent="0.3">
      <c r="B86" s="2" t="str">
        <f>IF(C86="","",COUNTA($C$2:C86))</f>
        <v/>
      </c>
      <c r="C86" s="47" t="str">
        <f>IFERROR(VLOOKUP($A$1&amp;"-"&amp;ROW(C85),基本資料填寫!$A:$DN,COLUMN(基本資料填寫!S86),0),"")</f>
        <v/>
      </c>
      <c r="D86" s="47" t="str">
        <f>IFERROR(VLOOKUP($A$1&amp;"-"&amp;ROW(D85),基本資料填寫!$A:$DN,COLUMN(基本資料填寫!V86),0),"")</f>
        <v/>
      </c>
      <c r="E86" s="47" t="str">
        <f>IFERROR(VLOOKUP($A$1&amp;"-"&amp;ROW(E85),基本資料填寫!$A:$DN,COLUMN(基本資料填寫!BW86),0),"")</f>
        <v/>
      </c>
      <c r="F86" s="47" t="str">
        <f>IFERROR(VLOOKUP($A$1&amp;"-"&amp;ROW(F85),基本資料填寫!$A:$DN,COLUMN(基本資料填寫!AN86),0),"")</f>
        <v/>
      </c>
      <c r="G86" s="47" t="str">
        <f>IFERROR(VLOOKUP($A$1&amp;"-"&amp;ROW(H85),基本資料填寫!$A:$DN,COLUMN(基本資料填寫!R86),0),"")</f>
        <v/>
      </c>
      <c r="H86" s="47" t="str">
        <f>IFERROR(VLOOKUP($A$1&amp;"-"&amp;ROW(X85),基本資料填寫!$A:$DN,COLUMN(基本資料填寫!BX86),0),"")</f>
        <v/>
      </c>
      <c r="I86" s="47" t="str">
        <f>IFERROR(VLOOKUP($A$1&amp;"-"&amp;ROW(P85),基本資料填寫!$A:$DN,COLUMN(基本資料填寫!Z86),0),"")</f>
        <v/>
      </c>
      <c r="J86" s="47" t="str">
        <f>IFERROR(VLOOKUP($A$1&amp;"-"&amp;ROW(Q85),基本資料填寫!$A:$DN,COLUMN(基本資料填寫!AA86),0),"")</f>
        <v/>
      </c>
      <c r="K86" s="47" t="str">
        <f>IFERROR(VLOOKUP($A$1&amp;"-"&amp;ROW(Y85),基本資料填寫!$A:$DN,COLUMN(基本資料填寫!BY86),0),"")</f>
        <v/>
      </c>
      <c r="L86" s="47" t="str">
        <f>IFERROR(VLOOKUP($A$1&amp;"-"&amp;ROW(Z85),基本資料填寫!$A:$DN,COLUMN(基本資料填寫!BZ86),0),"")</f>
        <v/>
      </c>
      <c r="M86" s="47" t="str">
        <f>IFERROR(VLOOKUP($A$1&amp;"-"&amp;ROW(AA85),基本資料填寫!$A:$DN,COLUMN(基本資料填寫!CA86),0),"")</f>
        <v/>
      </c>
      <c r="N86" s="47" t="str">
        <f>IFERROR(VLOOKUP($A$1&amp;"-"&amp;ROW(G85),基本資料填寫!$A:$DN,COLUMN(基本資料填寫!AO86),0),"")</f>
        <v/>
      </c>
      <c r="O86" s="47" t="str">
        <f>IFERROR(VLOOKUP($A$1&amp;"-"&amp;ROW(AB85),基本資料填寫!$A:$DN,COLUMN(基本資料填寫!CB86),0),"")</f>
        <v/>
      </c>
      <c r="P86" s="47" t="str">
        <f>IFERROR(VLOOKUP($A$1&amp;"-"&amp;ROW(AC85),基本資料填寫!$A:$DN,COLUMN(基本資料填寫!CC86),0),"")</f>
        <v/>
      </c>
      <c r="Q86" s="47" t="str">
        <f>IFERROR(VLOOKUP($A$1&amp;"-"&amp;ROW(AD85),基本資料填寫!$A:$DN,COLUMN(基本資料填寫!CD86),0),"")</f>
        <v/>
      </c>
      <c r="R86" s="47" t="str">
        <f>IFERROR(VLOOKUP($A$1&amp;"-"&amp;ROW(AE85),基本資料填寫!$A:$DN,COLUMN(基本資料填寫!CE86),0),"")</f>
        <v/>
      </c>
      <c r="S86" s="47" t="str">
        <f>IFERROR(VLOOKUP($A$1&amp;"-"&amp;ROW(AF85),基本資料填寫!$A:$DN,COLUMN(基本資料填寫!CF86),0),"")</f>
        <v/>
      </c>
      <c r="T86" s="47" t="str">
        <f>IFERROR(VLOOKUP($A$1&amp;"-"&amp;ROW(AG85),基本資料填寫!$A:$DN,COLUMN(基本資料填寫!CG86),0),"")</f>
        <v/>
      </c>
      <c r="U86" s="47" t="str">
        <f>IFERROR(VLOOKUP($A$1&amp;"-"&amp;ROW(AH85),基本資料填寫!$A:$DN,COLUMN(基本資料填寫!CH86),0),"")</f>
        <v/>
      </c>
      <c r="V86" s="47" t="str">
        <f>IFERROR(VLOOKUP($A$1&amp;"-"&amp;ROW(AI85),基本資料填寫!$A:$DN,COLUMN(基本資料填寫!CI86),0),"")</f>
        <v/>
      </c>
      <c r="W86" s="47" t="str">
        <f>IFERROR(VLOOKUP($A$1&amp;"-"&amp;ROW(E85),基本資料填寫!$A:$DN,COLUMN(基本資料填寫!O86),0),"")</f>
        <v/>
      </c>
      <c r="X86" s="47" t="str">
        <f>IFERROR(VLOOKUP($A$1&amp;"-"&amp;ROW(AJ85),基本資料填寫!$A:$DN,COLUMN(基本資料填寫!CJ86),0),"")</f>
        <v/>
      </c>
      <c r="Y86" s="47" t="str">
        <f>IFERROR(VLOOKUP($A$1&amp;"-"&amp;ROW(AK85),基本資料填寫!$A:$DN,COLUMN(基本資料填寫!CK86),0),"")</f>
        <v/>
      </c>
      <c r="Z86" s="47" t="str">
        <f>IFERROR(VLOOKUP($A$1&amp;"-"&amp;ROW(AM85),基本資料填寫!$A:$DN,COLUMN(基本資料填寫!CN86),0),"")</f>
        <v/>
      </c>
      <c r="AA86" s="47" t="str">
        <f>IFERROR(VLOOKUP($A$1&amp;"-"&amp;ROW(AN85),基本資料填寫!$A:$DN,COLUMN(基本資料填寫!CO86),0),"")</f>
        <v/>
      </c>
      <c r="AB86" s="47" t="str">
        <f>IFERROR(VLOOKUP($A$1&amp;"-"&amp;ROW(AO85),基本資料填寫!$A:$DN,COLUMN(基本資料填寫!CP86),0),"")</f>
        <v/>
      </c>
    </row>
    <row r="87" spans="2:28" x14ac:dyDescent="0.3">
      <c r="B87" s="2" t="str">
        <f>IF(C87="","",COUNTA($C$2:C87))</f>
        <v/>
      </c>
      <c r="C87" s="47" t="str">
        <f>IFERROR(VLOOKUP($A$1&amp;"-"&amp;ROW(C86),基本資料填寫!$A:$DN,COLUMN(基本資料填寫!S87),0),"")</f>
        <v/>
      </c>
      <c r="D87" s="47" t="str">
        <f>IFERROR(VLOOKUP($A$1&amp;"-"&amp;ROW(D86),基本資料填寫!$A:$DN,COLUMN(基本資料填寫!V87),0),"")</f>
        <v/>
      </c>
      <c r="E87" s="47" t="str">
        <f>IFERROR(VLOOKUP($A$1&amp;"-"&amp;ROW(E86),基本資料填寫!$A:$DN,COLUMN(基本資料填寫!BW87),0),"")</f>
        <v/>
      </c>
      <c r="F87" s="47" t="str">
        <f>IFERROR(VLOOKUP($A$1&amp;"-"&amp;ROW(F86),基本資料填寫!$A:$DN,COLUMN(基本資料填寫!AN87),0),"")</f>
        <v/>
      </c>
      <c r="G87" s="47" t="str">
        <f>IFERROR(VLOOKUP($A$1&amp;"-"&amp;ROW(H86),基本資料填寫!$A:$DN,COLUMN(基本資料填寫!R87),0),"")</f>
        <v/>
      </c>
      <c r="H87" s="47" t="str">
        <f>IFERROR(VLOOKUP($A$1&amp;"-"&amp;ROW(X86),基本資料填寫!$A:$DN,COLUMN(基本資料填寫!BX87),0),"")</f>
        <v/>
      </c>
      <c r="I87" s="47" t="str">
        <f>IFERROR(VLOOKUP($A$1&amp;"-"&amp;ROW(P86),基本資料填寫!$A:$DN,COLUMN(基本資料填寫!Z87),0),"")</f>
        <v/>
      </c>
      <c r="J87" s="47" t="str">
        <f>IFERROR(VLOOKUP($A$1&amp;"-"&amp;ROW(Q86),基本資料填寫!$A:$DN,COLUMN(基本資料填寫!AA87),0),"")</f>
        <v/>
      </c>
      <c r="K87" s="47" t="str">
        <f>IFERROR(VLOOKUP($A$1&amp;"-"&amp;ROW(Y86),基本資料填寫!$A:$DN,COLUMN(基本資料填寫!BY87),0),"")</f>
        <v/>
      </c>
      <c r="L87" s="47" t="str">
        <f>IFERROR(VLOOKUP($A$1&amp;"-"&amp;ROW(Z86),基本資料填寫!$A:$DN,COLUMN(基本資料填寫!BZ87),0),"")</f>
        <v/>
      </c>
      <c r="M87" s="47" t="str">
        <f>IFERROR(VLOOKUP($A$1&amp;"-"&amp;ROW(AA86),基本資料填寫!$A:$DN,COLUMN(基本資料填寫!CA87),0),"")</f>
        <v/>
      </c>
      <c r="N87" s="47" t="str">
        <f>IFERROR(VLOOKUP($A$1&amp;"-"&amp;ROW(G86),基本資料填寫!$A:$DN,COLUMN(基本資料填寫!AO87),0),"")</f>
        <v/>
      </c>
      <c r="O87" s="47" t="str">
        <f>IFERROR(VLOOKUP($A$1&amp;"-"&amp;ROW(AB86),基本資料填寫!$A:$DN,COLUMN(基本資料填寫!CB87),0),"")</f>
        <v/>
      </c>
      <c r="P87" s="47" t="str">
        <f>IFERROR(VLOOKUP($A$1&amp;"-"&amp;ROW(AC86),基本資料填寫!$A:$DN,COLUMN(基本資料填寫!CC87),0),"")</f>
        <v/>
      </c>
      <c r="Q87" s="47" t="str">
        <f>IFERROR(VLOOKUP($A$1&amp;"-"&amp;ROW(AD86),基本資料填寫!$A:$DN,COLUMN(基本資料填寫!CD87),0),"")</f>
        <v/>
      </c>
      <c r="R87" s="47" t="str">
        <f>IFERROR(VLOOKUP($A$1&amp;"-"&amp;ROW(AE86),基本資料填寫!$A:$DN,COLUMN(基本資料填寫!CE87),0),"")</f>
        <v/>
      </c>
      <c r="S87" s="47" t="str">
        <f>IFERROR(VLOOKUP($A$1&amp;"-"&amp;ROW(AF86),基本資料填寫!$A:$DN,COLUMN(基本資料填寫!CF87),0),"")</f>
        <v/>
      </c>
      <c r="T87" s="47" t="str">
        <f>IFERROR(VLOOKUP($A$1&amp;"-"&amp;ROW(AG86),基本資料填寫!$A:$DN,COLUMN(基本資料填寫!CG87),0),"")</f>
        <v/>
      </c>
      <c r="U87" s="47" t="str">
        <f>IFERROR(VLOOKUP($A$1&amp;"-"&amp;ROW(AH86),基本資料填寫!$A:$DN,COLUMN(基本資料填寫!CH87),0),"")</f>
        <v/>
      </c>
      <c r="V87" s="47" t="str">
        <f>IFERROR(VLOOKUP($A$1&amp;"-"&amp;ROW(AI86),基本資料填寫!$A:$DN,COLUMN(基本資料填寫!CI87),0),"")</f>
        <v/>
      </c>
      <c r="W87" s="47" t="str">
        <f>IFERROR(VLOOKUP($A$1&amp;"-"&amp;ROW(E86),基本資料填寫!$A:$DN,COLUMN(基本資料填寫!O87),0),"")</f>
        <v/>
      </c>
      <c r="X87" s="47" t="str">
        <f>IFERROR(VLOOKUP($A$1&amp;"-"&amp;ROW(AJ86),基本資料填寫!$A:$DN,COLUMN(基本資料填寫!CJ87),0),"")</f>
        <v/>
      </c>
      <c r="Y87" s="47" t="str">
        <f>IFERROR(VLOOKUP($A$1&amp;"-"&amp;ROW(AK86),基本資料填寫!$A:$DN,COLUMN(基本資料填寫!CK87),0),"")</f>
        <v/>
      </c>
      <c r="Z87" s="47" t="str">
        <f>IFERROR(VLOOKUP($A$1&amp;"-"&amp;ROW(AM86),基本資料填寫!$A:$DN,COLUMN(基本資料填寫!CN87),0),"")</f>
        <v/>
      </c>
      <c r="AA87" s="47" t="str">
        <f>IFERROR(VLOOKUP($A$1&amp;"-"&amp;ROW(AN86),基本資料填寫!$A:$DN,COLUMN(基本資料填寫!CO87),0),"")</f>
        <v/>
      </c>
      <c r="AB87" s="47" t="str">
        <f>IFERROR(VLOOKUP($A$1&amp;"-"&amp;ROW(AO86),基本資料填寫!$A:$DN,COLUMN(基本資料填寫!CP87),0),"")</f>
        <v/>
      </c>
    </row>
    <row r="88" spans="2:28" x14ac:dyDescent="0.3">
      <c r="B88" s="2" t="str">
        <f>IF(C88="","",COUNTA($C$2:C88))</f>
        <v/>
      </c>
      <c r="C88" s="47" t="str">
        <f>IFERROR(VLOOKUP($A$1&amp;"-"&amp;ROW(C87),基本資料填寫!$A:$DN,COLUMN(基本資料填寫!S88),0),"")</f>
        <v/>
      </c>
      <c r="D88" s="47" t="str">
        <f>IFERROR(VLOOKUP($A$1&amp;"-"&amp;ROW(D87),基本資料填寫!$A:$DN,COLUMN(基本資料填寫!V88),0),"")</f>
        <v/>
      </c>
      <c r="E88" s="47" t="str">
        <f>IFERROR(VLOOKUP($A$1&amp;"-"&amp;ROW(E87),基本資料填寫!$A:$DN,COLUMN(基本資料填寫!BW88),0),"")</f>
        <v/>
      </c>
      <c r="F88" s="47" t="str">
        <f>IFERROR(VLOOKUP($A$1&amp;"-"&amp;ROW(F87),基本資料填寫!$A:$DN,COLUMN(基本資料填寫!AN88),0),"")</f>
        <v/>
      </c>
      <c r="G88" s="47" t="str">
        <f>IFERROR(VLOOKUP($A$1&amp;"-"&amp;ROW(H87),基本資料填寫!$A:$DN,COLUMN(基本資料填寫!R88),0),"")</f>
        <v/>
      </c>
      <c r="H88" s="47" t="str">
        <f>IFERROR(VLOOKUP($A$1&amp;"-"&amp;ROW(X87),基本資料填寫!$A:$DN,COLUMN(基本資料填寫!BX88),0),"")</f>
        <v/>
      </c>
      <c r="I88" s="47" t="str">
        <f>IFERROR(VLOOKUP($A$1&amp;"-"&amp;ROW(P87),基本資料填寫!$A:$DN,COLUMN(基本資料填寫!Z88),0),"")</f>
        <v/>
      </c>
      <c r="J88" s="47" t="str">
        <f>IFERROR(VLOOKUP($A$1&amp;"-"&amp;ROW(Q87),基本資料填寫!$A:$DN,COLUMN(基本資料填寫!AA88),0),"")</f>
        <v/>
      </c>
      <c r="K88" s="47" t="str">
        <f>IFERROR(VLOOKUP($A$1&amp;"-"&amp;ROW(Y87),基本資料填寫!$A:$DN,COLUMN(基本資料填寫!BY88),0),"")</f>
        <v/>
      </c>
      <c r="L88" s="47" t="str">
        <f>IFERROR(VLOOKUP($A$1&amp;"-"&amp;ROW(Z87),基本資料填寫!$A:$DN,COLUMN(基本資料填寫!BZ88),0),"")</f>
        <v/>
      </c>
      <c r="M88" s="47" t="str">
        <f>IFERROR(VLOOKUP($A$1&amp;"-"&amp;ROW(AA87),基本資料填寫!$A:$DN,COLUMN(基本資料填寫!CA88),0),"")</f>
        <v/>
      </c>
      <c r="N88" s="47" t="str">
        <f>IFERROR(VLOOKUP($A$1&amp;"-"&amp;ROW(G87),基本資料填寫!$A:$DN,COLUMN(基本資料填寫!AO88),0),"")</f>
        <v/>
      </c>
      <c r="O88" s="47" t="str">
        <f>IFERROR(VLOOKUP($A$1&amp;"-"&amp;ROW(AB87),基本資料填寫!$A:$DN,COLUMN(基本資料填寫!CB88),0),"")</f>
        <v/>
      </c>
      <c r="P88" s="47" t="str">
        <f>IFERROR(VLOOKUP($A$1&amp;"-"&amp;ROW(AC87),基本資料填寫!$A:$DN,COLUMN(基本資料填寫!CC88),0),"")</f>
        <v/>
      </c>
      <c r="Q88" s="47" t="str">
        <f>IFERROR(VLOOKUP($A$1&amp;"-"&amp;ROW(AD87),基本資料填寫!$A:$DN,COLUMN(基本資料填寫!CD88),0),"")</f>
        <v/>
      </c>
      <c r="R88" s="47" t="str">
        <f>IFERROR(VLOOKUP($A$1&amp;"-"&amp;ROW(AE87),基本資料填寫!$A:$DN,COLUMN(基本資料填寫!CE88),0),"")</f>
        <v/>
      </c>
      <c r="S88" s="47" t="str">
        <f>IFERROR(VLOOKUP($A$1&amp;"-"&amp;ROW(AF87),基本資料填寫!$A:$DN,COLUMN(基本資料填寫!CF88),0),"")</f>
        <v/>
      </c>
      <c r="T88" s="47" t="str">
        <f>IFERROR(VLOOKUP($A$1&amp;"-"&amp;ROW(AG87),基本資料填寫!$A:$DN,COLUMN(基本資料填寫!CG88),0),"")</f>
        <v/>
      </c>
      <c r="U88" s="47" t="str">
        <f>IFERROR(VLOOKUP($A$1&amp;"-"&amp;ROW(AH87),基本資料填寫!$A:$DN,COLUMN(基本資料填寫!CH88),0),"")</f>
        <v/>
      </c>
      <c r="V88" s="47" t="str">
        <f>IFERROR(VLOOKUP($A$1&amp;"-"&amp;ROW(AI87),基本資料填寫!$A:$DN,COLUMN(基本資料填寫!CI88),0),"")</f>
        <v/>
      </c>
      <c r="W88" s="47" t="str">
        <f>IFERROR(VLOOKUP($A$1&amp;"-"&amp;ROW(E87),基本資料填寫!$A:$DN,COLUMN(基本資料填寫!O88),0),"")</f>
        <v/>
      </c>
      <c r="X88" s="47" t="str">
        <f>IFERROR(VLOOKUP($A$1&amp;"-"&amp;ROW(AJ87),基本資料填寫!$A:$DN,COLUMN(基本資料填寫!CJ88),0),"")</f>
        <v/>
      </c>
      <c r="Y88" s="47" t="str">
        <f>IFERROR(VLOOKUP($A$1&amp;"-"&amp;ROW(AK87),基本資料填寫!$A:$DN,COLUMN(基本資料填寫!CK88),0),"")</f>
        <v/>
      </c>
      <c r="Z88" s="47" t="str">
        <f>IFERROR(VLOOKUP($A$1&amp;"-"&amp;ROW(AM87),基本資料填寫!$A:$DN,COLUMN(基本資料填寫!CN88),0),"")</f>
        <v/>
      </c>
      <c r="AA88" s="47" t="str">
        <f>IFERROR(VLOOKUP($A$1&amp;"-"&amp;ROW(AN87),基本資料填寫!$A:$DN,COLUMN(基本資料填寫!CO88),0),"")</f>
        <v/>
      </c>
      <c r="AB88" s="47" t="str">
        <f>IFERROR(VLOOKUP($A$1&amp;"-"&amp;ROW(AO87),基本資料填寫!$A:$DN,COLUMN(基本資料填寫!CP88),0),"")</f>
        <v/>
      </c>
    </row>
    <row r="89" spans="2:28" x14ac:dyDescent="0.3">
      <c r="B89" s="2" t="str">
        <f>IF(C89="","",COUNTA($C$2:C89))</f>
        <v/>
      </c>
      <c r="C89" s="47" t="str">
        <f>IFERROR(VLOOKUP($A$1&amp;"-"&amp;ROW(C88),基本資料填寫!$A:$DN,COLUMN(基本資料填寫!S89),0),"")</f>
        <v/>
      </c>
      <c r="D89" s="47" t="str">
        <f>IFERROR(VLOOKUP($A$1&amp;"-"&amp;ROW(D88),基本資料填寫!$A:$DN,COLUMN(基本資料填寫!V89),0),"")</f>
        <v/>
      </c>
      <c r="E89" s="47" t="str">
        <f>IFERROR(VLOOKUP($A$1&amp;"-"&amp;ROW(E88),基本資料填寫!$A:$DN,COLUMN(基本資料填寫!BW89),0),"")</f>
        <v/>
      </c>
      <c r="F89" s="47" t="str">
        <f>IFERROR(VLOOKUP($A$1&amp;"-"&amp;ROW(F88),基本資料填寫!$A:$DN,COLUMN(基本資料填寫!AN89),0),"")</f>
        <v/>
      </c>
      <c r="G89" s="47" t="str">
        <f>IFERROR(VLOOKUP($A$1&amp;"-"&amp;ROW(H88),基本資料填寫!$A:$DN,COLUMN(基本資料填寫!R89),0),"")</f>
        <v/>
      </c>
      <c r="H89" s="47" t="str">
        <f>IFERROR(VLOOKUP($A$1&amp;"-"&amp;ROW(X88),基本資料填寫!$A:$DN,COLUMN(基本資料填寫!BX89),0),"")</f>
        <v/>
      </c>
      <c r="I89" s="47" t="str">
        <f>IFERROR(VLOOKUP($A$1&amp;"-"&amp;ROW(P88),基本資料填寫!$A:$DN,COLUMN(基本資料填寫!Z89),0),"")</f>
        <v/>
      </c>
      <c r="J89" s="47" t="str">
        <f>IFERROR(VLOOKUP($A$1&amp;"-"&amp;ROW(Q88),基本資料填寫!$A:$DN,COLUMN(基本資料填寫!AA89),0),"")</f>
        <v/>
      </c>
      <c r="K89" s="47" t="str">
        <f>IFERROR(VLOOKUP($A$1&amp;"-"&amp;ROW(Y88),基本資料填寫!$A:$DN,COLUMN(基本資料填寫!BY89),0),"")</f>
        <v/>
      </c>
      <c r="L89" s="47" t="str">
        <f>IFERROR(VLOOKUP($A$1&amp;"-"&amp;ROW(Z88),基本資料填寫!$A:$DN,COLUMN(基本資料填寫!BZ89),0),"")</f>
        <v/>
      </c>
      <c r="M89" s="47" t="str">
        <f>IFERROR(VLOOKUP($A$1&amp;"-"&amp;ROW(AA88),基本資料填寫!$A:$DN,COLUMN(基本資料填寫!CA89),0),"")</f>
        <v/>
      </c>
      <c r="N89" s="47" t="str">
        <f>IFERROR(VLOOKUP($A$1&amp;"-"&amp;ROW(G88),基本資料填寫!$A:$DN,COLUMN(基本資料填寫!AO89),0),"")</f>
        <v/>
      </c>
      <c r="O89" s="47" t="str">
        <f>IFERROR(VLOOKUP($A$1&amp;"-"&amp;ROW(AB88),基本資料填寫!$A:$DN,COLUMN(基本資料填寫!CB89),0),"")</f>
        <v/>
      </c>
      <c r="P89" s="47" t="str">
        <f>IFERROR(VLOOKUP($A$1&amp;"-"&amp;ROW(AC88),基本資料填寫!$A:$DN,COLUMN(基本資料填寫!CC89),0),"")</f>
        <v/>
      </c>
      <c r="Q89" s="47" t="str">
        <f>IFERROR(VLOOKUP($A$1&amp;"-"&amp;ROW(AD88),基本資料填寫!$A:$DN,COLUMN(基本資料填寫!CD89),0),"")</f>
        <v/>
      </c>
      <c r="R89" s="47" t="str">
        <f>IFERROR(VLOOKUP($A$1&amp;"-"&amp;ROW(AE88),基本資料填寫!$A:$DN,COLUMN(基本資料填寫!CE89),0),"")</f>
        <v/>
      </c>
      <c r="S89" s="47" t="str">
        <f>IFERROR(VLOOKUP($A$1&amp;"-"&amp;ROW(AF88),基本資料填寫!$A:$DN,COLUMN(基本資料填寫!CF89),0),"")</f>
        <v/>
      </c>
      <c r="T89" s="47" t="str">
        <f>IFERROR(VLOOKUP($A$1&amp;"-"&amp;ROW(AG88),基本資料填寫!$A:$DN,COLUMN(基本資料填寫!CG89),0),"")</f>
        <v/>
      </c>
      <c r="U89" s="47" t="str">
        <f>IFERROR(VLOOKUP($A$1&amp;"-"&amp;ROW(AH88),基本資料填寫!$A:$DN,COLUMN(基本資料填寫!CH89),0),"")</f>
        <v/>
      </c>
      <c r="V89" s="47" t="str">
        <f>IFERROR(VLOOKUP($A$1&amp;"-"&amp;ROW(AI88),基本資料填寫!$A:$DN,COLUMN(基本資料填寫!CI89),0),"")</f>
        <v/>
      </c>
      <c r="W89" s="47" t="str">
        <f>IFERROR(VLOOKUP($A$1&amp;"-"&amp;ROW(E88),基本資料填寫!$A:$DN,COLUMN(基本資料填寫!O89),0),"")</f>
        <v/>
      </c>
      <c r="X89" s="47" t="str">
        <f>IFERROR(VLOOKUP($A$1&amp;"-"&amp;ROW(AJ88),基本資料填寫!$A:$DN,COLUMN(基本資料填寫!CJ89),0),"")</f>
        <v/>
      </c>
      <c r="Y89" s="47" t="str">
        <f>IFERROR(VLOOKUP($A$1&amp;"-"&amp;ROW(AK88),基本資料填寫!$A:$DN,COLUMN(基本資料填寫!CK89),0),"")</f>
        <v/>
      </c>
      <c r="Z89" s="47" t="str">
        <f>IFERROR(VLOOKUP($A$1&amp;"-"&amp;ROW(AM88),基本資料填寫!$A:$DN,COLUMN(基本資料填寫!CN89),0),"")</f>
        <v/>
      </c>
      <c r="AA89" s="47" t="str">
        <f>IFERROR(VLOOKUP($A$1&amp;"-"&amp;ROW(AN88),基本資料填寫!$A:$DN,COLUMN(基本資料填寫!CO89),0),"")</f>
        <v/>
      </c>
      <c r="AB89" s="47" t="str">
        <f>IFERROR(VLOOKUP($A$1&amp;"-"&amp;ROW(AO88),基本資料填寫!$A:$DN,COLUMN(基本資料填寫!CP89),0),"")</f>
        <v/>
      </c>
    </row>
    <row r="90" spans="2:28" x14ac:dyDescent="0.3">
      <c r="B90" s="2" t="str">
        <f>IF(C90="","",COUNTA($C$2:C90))</f>
        <v/>
      </c>
      <c r="C90" s="47" t="str">
        <f>IFERROR(VLOOKUP($A$1&amp;"-"&amp;ROW(C89),基本資料填寫!$A:$DN,COLUMN(基本資料填寫!S90),0),"")</f>
        <v/>
      </c>
      <c r="D90" s="47" t="str">
        <f>IFERROR(VLOOKUP($A$1&amp;"-"&amp;ROW(D89),基本資料填寫!$A:$DN,COLUMN(基本資料填寫!V90),0),"")</f>
        <v/>
      </c>
      <c r="E90" s="47" t="str">
        <f>IFERROR(VLOOKUP($A$1&amp;"-"&amp;ROW(E89),基本資料填寫!$A:$DN,COLUMN(基本資料填寫!BW90),0),"")</f>
        <v/>
      </c>
      <c r="F90" s="47" t="str">
        <f>IFERROR(VLOOKUP($A$1&amp;"-"&amp;ROW(F89),基本資料填寫!$A:$DN,COLUMN(基本資料填寫!AN90),0),"")</f>
        <v/>
      </c>
      <c r="G90" s="47" t="str">
        <f>IFERROR(VLOOKUP($A$1&amp;"-"&amp;ROW(H89),基本資料填寫!$A:$DN,COLUMN(基本資料填寫!R90),0),"")</f>
        <v/>
      </c>
      <c r="H90" s="47" t="str">
        <f>IFERROR(VLOOKUP($A$1&amp;"-"&amp;ROW(X89),基本資料填寫!$A:$DN,COLUMN(基本資料填寫!BX90),0),"")</f>
        <v/>
      </c>
      <c r="I90" s="47" t="str">
        <f>IFERROR(VLOOKUP($A$1&amp;"-"&amp;ROW(P89),基本資料填寫!$A:$DN,COLUMN(基本資料填寫!Z90),0),"")</f>
        <v/>
      </c>
      <c r="J90" s="47" t="str">
        <f>IFERROR(VLOOKUP($A$1&amp;"-"&amp;ROW(Q89),基本資料填寫!$A:$DN,COLUMN(基本資料填寫!AA90),0),"")</f>
        <v/>
      </c>
      <c r="K90" s="47" t="str">
        <f>IFERROR(VLOOKUP($A$1&amp;"-"&amp;ROW(Y89),基本資料填寫!$A:$DN,COLUMN(基本資料填寫!BY90),0),"")</f>
        <v/>
      </c>
      <c r="L90" s="47" t="str">
        <f>IFERROR(VLOOKUP($A$1&amp;"-"&amp;ROW(Z89),基本資料填寫!$A:$DN,COLUMN(基本資料填寫!BZ90),0),"")</f>
        <v/>
      </c>
      <c r="M90" s="47" t="str">
        <f>IFERROR(VLOOKUP($A$1&amp;"-"&amp;ROW(AA89),基本資料填寫!$A:$DN,COLUMN(基本資料填寫!CA90),0),"")</f>
        <v/>
      </c>
      <c r="N90" s="47" t="str">
        <f>IFERROR(VLOOKUP($A$1&amp;"-"&amp;ROW(G89),基本資料填寫!$A:$DN,COLUMN(基本資料填寫!AO90),0),"")</f>
        <v/>
      </c>
      <c r="O90" s="47" t="str">
        <f>IFERROR(VLOOKUP($A$1&amp;"-"&amp;ROW(AB89),基本資料填寫!$A:$DN,COLUMN(基本資料填寫!CB90),0),"")</f>
        <v/>
      </c>
      <c r="P90" s="47" t="str">
        <f>IFERROR(VLOOKUP($A$1&amp;"-"&amp;ROW(AC89),基本資料填寫!$A:$DN,COLUMN(基本資料填寫!CC90),0),"")</f>
        <v/>
      </c>
      <c r="Q90" s="47" t="str">
        <f>IFERROR(VLOOKUP($A$1&amp;"-"&amp;ROW(AD89),基本資料填寫!$A:$DN,COLUMN(基本資料填寫!CD90),0),"")</f>
        <v/>
      </c>
      <c r="R90" s="47" t="str">
        <f>IFERROR(VLOOKUP($A$1&amp;"-"&amp;ROW(AE89),基本資料填寫!$A:$DN,COLUMN(基本資料填寫!CE90),0),"")</f>
        <v/>
      </c>
      <c r="S90" s="47" t="str">
        <f>IFERROR(VLOOKUP($A$1&amp;"-"&amp;ROW(AF89),基本資料填寫!$A:$DN,COLUMN(基本資料填寫!CF90),0),"")</f>
        <v/>
      </c>
      <c r="T90" s="47" t="str">
        <f>IFERROR(VLOOKUP($A$1&amp;"-"&amp;ROW(AG89),基本資料填寫!$A:$DN,COLUMN(基本資料填寫!CG90),0),"")</f>
        <v/>
      </c>
      <c r="U90" s="47" t="str">
        <f>IFERROR(VLOOKUP($A$1&amp;"-"&amp;ROW(AH89),基本資料填寫!$A:$DN,COLUMN(基本資料填寫!CH90),0),"")</f>
        <v/>
      </c>
      <c r="V90" s="47" t="str">
        <f>IFERROR(VLOOKUP($A$1&amp;"-"&amp;ROW(AI89),基本資料填寫!$A:$DN,COLUMN(基本資料填寫!CI90),0),"")</f>
        <v/>
      </c>
      <c r="W90" s="47" t="str">
        <f>IFERROR(VLOOKUP($A$1&amp;"-"&amp;ROW(E89),基本資料填寫!$A:$DN,COLUMN(基本資料填寫!O90),0),"")</f>
        <v/>
      </c>
      <c r="X90" s="47" t="str">
        <f>IFERROR(VLOOKUP($A$1&amp;"-"&amp;ROW(AJ89),基本資料填寫!$A:$DN,COLUMN(基本資料填寫!CJ90),0),"")</f>
        <v/>
      </c>
      <c r="Y90" s="47" t="str">
        <f>IFERROR(VLOOKUP($A$1&amp;"-"&amp;ROW(AK89),基本資料填寫!$A:$DN,COLUMN(基本資料填寫!CK90),0),"")</f>
        <v/>
      </c>
      <c r="Z90" s="47" t="str">
        <f>IFERROR(VLOOKUP($A$1&amp;"-"&amp;ROW(AM89),基本資料填寫!$A:$DN,COLUMN(基本資料填寫!CN90),0),"")</f>
        <v/>
      </c>
      <c r="AA90" s="47" t="str">
        <f>IFERROR(VLOOKUP($A$1&amp;"-"&amp;ROW(AN89),基本資料填寫!$A:$DN,COLUMN(基本資料填寫!CO90),0),"")</f>
        <v/>
      </c>
      <c r="AB90" s="47" t="str">
        <f>IFERROR(VLOOKUP($A$1&amp;"-"&amp;ROW(AO89),基本資料填寫!$A:$DN,COLUMN(基本資料填寫!CP90),0),"")</f>
        <v/>
      </c>
    </row>
    <row r="91" spans="2:28" x14ac:dyDescent="0.3">
      <c r="B91" s="2" t="str">
        <f>IF(C91="","",COUNTA($C$2:C91))</f>
        <v/>
      </c>
      <c r="C91" s="47" t="str">
        <f>IFERROR(VLOOKUP($A$1&amp;"-"&amp;ROW(C90),基本資料填寫!$A:$DN,COLUMN(基本資料填寫!S91),0),"")</f>
        <v/>
      </c>
      <c r="D91" s="47" t="str">
        <f>IFERROR(VLOOKUP($A$1&amp;"-"&amp;ROW(D90),基本資料填寫!$A:$DN,COLUMN(基本資料填寫!V91),0),"")</f>
        <v/>
      </c>
      <c r="E91" s="47" t="str">
        <f>IFERROR(VLOOKUP($A$1&amp;"-"&amp;ROW(E90),基本資料填寫!$A:$DN,COLUMN(基本資料填寫!BW91),0),"")</f>
        <v/>
      </c>
      <c r="F91" s="47" t="str">
        <f>IFERROR(VLOOKUP($A$1&amp;"-"&amp;ROW(F90),基本資料填寫!$A:$DN,COLUMN(基本資料填寫!AN91),0),"")</f>
        <v/>
      </c>
      <c r="G91" s="47" t="str">
        <f>IFERROR(VLOOKUP($A$1&amp;"-"&amp;ROW(H90),基本資料填寫!$A:$DN,COLUMN(基本資料填寫!R91),0),"")</f>
        <v/>
      </c>
      <c r="H91" s="47" t="str">
        <f>IFERROR(VLOOKUP($A$1&amp;"-"&amp;ROW(X90),基本資料填寫!$A:$DN,COLUMN(基本資料填寫!BX91),0),"")</f>
        <v/>
      </c>
      <c r="I91" s="47" t="str">
        <f>IFERROR(VLOOKUP($A$1&amp;"-"&amp;ROW(P90),基本資料填寫!$A:$DN,COLUMN(基本資料填寫!Z91),0),"")</f>
        <v/>
      </c>
      <c r="J91" s="47" t="str">
        <f>IFERROR(VLOOKUP($A$1&amp;"-"&amp;ROW(Q90),基本資料填寫!$A:$DN,COLUMN(基本資料填寫!AA91),0),"")</f>
        <v/>
      </c>
      <c r="K91" s="47" t="str">
        <f>IFERROR(VLOOKUP($A$1&amp;"-"&amp;ROW(Y90),基本資料填寫!$A:$DN,COLUMN(基本資料填寫!BY91),0),"")</f>
        <v/>
      </c>
      <c r="L91" s="47" t="str">
        <f>IFERROR(VLOOKUP($A$1&amp;"-"&amp;ROW(Z90),基本資料填寫!$A:$DN,COLUMN(基本資料填寫!BZ91),0),"")</f>
        <v/>
      </c>
      <c r="M91" s="47" t="str">
        <f>IFERROR(VLOOKUP($A$1&amp;"-"&amp;ROW(AA90),基本資料填寫!$A:$DN,COLUMN(基本資料填寫!CA91),0),"")</f>
        <v/>
      </c>
      <c r="N91" s="47" t="str">
        <f>IFERROR(VLOOKUP($A$1&amp;"-"&amp;ROW(G90),基本資料填寫!$A:$DN,COLUMN(基本資料填寫!AO91),0),"")</f>
        <v/>
      </c>
      <c r="O91" s="47" t="str">
        <f>IFERROR(VLOOKUP($A$1&amp;"-"&amp;ROW(AB90),基本資料填寫!$A:$DN,COLUMN(基本資料填寫!CB91),0),"")</f>
        <v/>
      </c>
      <c r="P91" s="47" t="str">
        <f>IFERROR(VLOOKUP($A$1&amp;"-"&amp;ROW(AC90),基本資料填寫!$A:$DN,COLUMN(基本資料填寫!CC91),0),"")</f>
        <v/>
      </c>
      <c r="Q91" s="47" t="str">
        <f>IFERROR(VLOOKUP($A$1&amp;"-"&amp;ROW(AD90),基本資料填寫!$A:$DN,COLUMN(基本資料填寫!CD91),0),"")</f>
        <v/>
      </c>
      <c r="R91" s="47" t="str">
        <f>IFERROR(VLOOKUP($A$1&amp;"-"&amp;ROW(AE90),基本資料填寫!$A:$DN,COLUMN(基本資料填寫!CE91),0),"")</f>
        <v/>
      </c>
      <c r="S91" s="47" t="str">
        <f>IFERROR(VLOOKUP($A$1&amp;"-"&amp;ROW(AF90),基本資料填寫!$A:$DN,COLUMN(基本資料填寫!CF91),0),"")</f>
        <v/>
      </c>
      <c r="T91" s="47" t="str">
        <f>IFERROR(VLOOKUP($A$1&amp;"-"&amp;ROW(AG90),基本資料填寫!$A:$DN,COLUMN(基本資料填寫!CG91),0),"")</f>
        <v/>
      </c>
      <c r="U91" s="47" t="str">
        <f>IFERROR(VLOOKUP($A$1&amp;"-"&amp;ROW(AH90),基本資料填寫!$A:$DN,COLUMN(基本資料填寫!CH91),0),"")</f>
        <v/>
      </c>
      <c r="V91" s="47" t="str">
        <f>IFERROR(VLOOKUP($A$1&amp;"-"&amp;ROW(AI90),基本資料填寫!$A:$DN,COLUMN(基本資料填寫!CI91),0),"")</f>
        <v/>
      </c>
      <c r="W91" s="47" t="str">
        <f>IFERROR(VLOOKUP($A$1&amp;"-"&amp;ROW(E90),基本資料填寫!$A:$DN,COLUMN(基本資料填寫!O91),0),"")</f>
        <v/>
      </c>
      <c r="X91" s="47" t="str">
        <f>IFERROR(VLOOKUP($A$1&amp;"-"&amp;ROW(AJ90),基本資料填寫!$A:$DN,COLUMN(基本資料填寫!CJ91),0),"")</f>
        <v/>
      </c>
      <c r="Y91" s="47" t="str">
        <f>IFERROR(VLOOKUP($A$1&amp;"-"&amp;ROW(AK90),基本資料填寫!$A:$DN,COLUMN(基本資料填寫!CK91),0),"")</f>
        <v/>
      </c>
      <c r="Z91" s="47" t="str">
        <f>IFERROR(VLOOKUP($A$1&amp;"-"&amp;ROW(AM90),基本資料填寫!$A:$DN,COLUMN(基本資料填寫!CN91),0),"")</f>
        <v/>
      </c>
      <c r="AA91" s="47" t="str">
        <f>IFERROR(VLOOKUP($A$1&amp;"-"&amp;ROW(AN90),基本資料填寫!$A:$DN,COLUMN(基本資料填寫!CO91),0),"")</f>
        <v/>
      </c>
      <c r="AB91" s="47" t="str">
        <f>IFERROR(VLOOKUP($A$1&amp;"-"&amp;ROW(AO90),基本資料填寫!$A:$DN,COLUMN(基本資料填寫!CP91),0),"")</f>
        <v/>
      </c>
    </row>
    <row r="92" spans="2:28" x14ac:dyDescent="0.3">
      <c r="B92" s="2" t="str">
        <f>IF(C92="","",COUNTA($C$2:C92))</f>
        <v/>
      </c>
      <c r="C92" s="47" t="str">
        <f>IFERROR(VLOOKUP($A$1&amp;"-"&amp;ROW(C91),基本資料填寫!$A:$DN,COLUMN(基本資料填寫!S92),0),"")</f>
        <v/>
      </c>
      <c r="D92" s="47" t="str">
        <f>IFERROR(VLOOKUP($A$1&amp;"-"&amp;ROW(D91),基本資料填寫!$A:$DN,COLUMN(基本資料填寫!V92),0),"")</f>
        <v/>
      </c>
      <c r="E92" s="47" t="str">
        <f>IFERROR(VLOOKUP($A$1&amp;"-"&amp;ROW(E91),基本資料填寫!$A:$DN,COLUMN(基本資料填寫!BW92),0),"")</f>
        <v/>
      </c>
      <c r="F92" s="47" t="str">
        <f>IFERROR(VLOOKUP($A$1&amp;"-"&amp;ROW(F91),基本資料填寫!$A:$DN,COLUMN(基本資料填寫!AN92),0),"")</f>
        <v/>
      </c>
      <c r="G92" s="47" t="str">
        <f>IFERROR(VLOOKUP($A$1&amp;"-"&amp;ROW(H91),基本資料填寫!$A:$DN,COLUMN(基本資料填寫!R92),0),"")</f>
        <v/>
      </c>
      <c r="H92" s="47" t="str">
        <f>IFERROR(VLOOKUP($A$1&amp;"-"&amp;ROW(X91),基本資料填寫!$A:$DN,COLUMN(基本資料填寫!BX92),0),"")</f>
        <v/>
      </c>
      <c r="I92" s="47" t="str">
        <f>IFERROR(VLOOKUP($A$1&amp;"-"&amp;ROW(P91),基本資料填寫!$A:$DN,COLUMN(基本資料填寫!Z92),0),"")</f>
        <v/>
      </c>
      <c r="J92" s="47" t="str">
        <f>IFERROR(VLOOKUP($A$1&amp;"-"&amp;ROW(Q91),基本資料填寫!$A:$DN,COLUMN(基本資料填寫!AA92),0),"")</f>
        <v/>
      </c>
      <c r="K92" s="47" t="str">
        <f>IFERROR(VLOOKUP($A$1&amp;"-"&amp;ROW(Y91),基本資料填寫!$A:$DN,COLUMN(基本資料填寫!BY92),0),"")</f>
        <v/>
      </c>
      <c r="L92" s="47" t="str">
        <f>IFERROR(VLOOKUP($A$1&amp;"-"&amp;ROW(Z91),基本資料填寫!$A:$DN,COLUMN(基本資料填寫!BZ92),0),"")</f>
        <v/>
      </c>
      <c r="M92" s="47" t="str">
        <f>IFERROR(VLOOKUP($A$1&amp;"-"&amp;ROW(AA91),基本資料填寫!$A:$DN,COLUMN(基本資料填寫!CA92),0),"")</f>
        <v/>
      </c>
      <c r="N92" s="47" t="str">
        <f>IFERROR(VLOOKUP($A$1&amp;"-"&amp;ROW(G91),基本資料填寫!$A:$DN,COLUMN(基本資料填寫!AO92),0),"")</f>
        <v/>
      </c>
      <c r="O92" s="47" t="str">
        <f>IFERROR(VLOOKUP($A$1&amp;"-"&amp;ROW(AB91),基本資料填寫!$A:$DN,COLUMN(基本資料填寫!CB92),0),"")</f>
        <v/>
      </c>
      <c r="P92" s="47" t="str">
        <f>IFERROR(VLOOKUP($A$1&amp;"-"&amp;ROW(AC91),基本資料填寫!$A:$DN,COLUMN(基本資料填寫!CC92),0),"")</f>
        <v/>
      </c>
      <c r="Q92" s="47" t="str">
        <f>IFERROR(VLOOKUP($A$1&amp;"-"&amp;ROW(AD91),基本資料填寫!$A:$DN,COLUMN(基本資料填寫!CD92),0),"")</f>
        <v/>
      </c>
      <c r="R92" s="47" t="str">
        <f>IFERROR(VLOOKUP($A$1&amp;"-"&amp;ROW(AE91),基本資料填寫!$A:$DN,COLUMN(基本資料填寫!CE92),0),"")</f>
        <v/>
      </c>
      <c r="S92" s="47" t="str">
        <f>IFERROR(VLOOKUP($A$1&amp;"-"&amp;ROW(AF91),基本資料填寫!$A:$DN,COLUMN(基本資料填寫!CF92),0),"")</f>
        <v/>
      </c>
      <c r="T92" s="47" t="str">
        <f>IFERROR(VLOOKUP($A$1&amp;"-"&amp;ROW(AG91),基本資料填寫!$A:$DN,COLUMN(基本資料填寫!CG92),0),"")</f>
        <v/>
      </c>
      <c r="U92" s="47" t="str">
        <f>IFERROR(VLOOKUP($A$1&amp;"-"&amp;ROW(AH91),基本資料填寫!$A:$DN,COLUMN(基本資料填寫!CH92),0),"")</f>
        <v/>
      </c>
      <c r="V92" s="47" t="str">
        <f>IFERROR(VLOOKUP($A$1&amp;"-"&amp;ROW(AI91),基本資料填寫!$A:$DN,COLUMN(基本資料填寫!CI92),0),"")</f>
        <v/>
      </c>
      <c r="W92" s="47" t="str">
        <f>IFERROR(VLOOKUP($A$1&amp;"-"&amp;ROW(E91),基本資料填寫!$A:$DN,COLUMN(基本資料填寫!O92),0),"")</f>
        <v/>
      </c>
      <c r="X92" s="47" t="str">
        <f>IFERROR(VLOOKUP($A$1&amp;"-"&amp;ROW(AJ91),基本資料填寫!$A:$DN,COLUMN(基本資料填寫!CJ92),0),"")</f>
        <v/>
      </c>
      <c r="Y92" s="47" t="str">
        <f>IFERROR(VLOOKUP($A$1&amp;"-"&amp;ROW(AK91),基本資料填寫!$A:$DN,COLUMN(基本資料填寫!CK92),0),"")</f>
        <v/>
      </c>
      <c r="Z92" s="47" t="str">
        <f>IFERROR(VLOOKUP($A$1&amp;"-"&amp;ROW(AM91),基本資料填寫!$A:$DN,COLUMN(基本資料填寫!CN92),0),"")</f>
        <v/>
      </c>
      <c r="AA92" s="47" t="str">
        <f>IFERROR(VLOOKUP($A$1&amp;"-"&amp;ROW(AN91),基本資料填寫!$A:$DN,COLUMN(基本資料填寫!CO92),0),"")</f>
        <v/>
      </c>
      <c r="AB92" s="47" t="str">
        <f>IFERROR(VLOOKUP($A$1&amp;"-"&amp;ROW(AO91),基本資料填寫!$A:$DN,COLUMN(基本資料填寫!CP92),0),"")</f>
        <v/>
      </c>
    </row>
    <row r="93" spans="2:28" x14ac:dyDescent="0.3">
      <c r="B93" s="2" t="str">
        <f>IF(C93="","",COUNTA($C$2:C93))</f>
        <v/>
      </c>
      <c r="C93" s="47" t="str">
        <f>IFERROR(VLOOKUP($A$1&amp;"-"&amp;ROW(C92),基本資料填寫!$A:$DN,COLUMN(基本資料填寫!S93),0),"")</f>
        <v/>
      </c>
      <c r="D93" s="47" t="str">
        <f>IFERROR(VLOOKUP($A$1&amp;"-"&amp;ROW(D92),基本資料填寫!$A:$DN,COLUMN(基本資料填寫!V93),0),"")</f>
        <v/>
      </c>
      <c r="E93" s="47" t="str">
        <f>IFERROR(VLOOKUP($A$1&amp;"-"&amp;ROW(E92),基本資料填寫!$A:$DN,COLUMN(基本資料填寫!BW93),0),"")</f>
        <v/>
      </c>
      <c r="F93" s="47" t="str">
        <f>IFERROR(VLOOKUP($A$1&amp;"-"&amp;ROW(F92),基本資料填寫!$A:$DN,COLUMN(基本資料填寫!AN93),0),"")</f>
        <v/>
      </c>
      <c r="G93" s="47" t="str">
        <f>IFERROR(VLOOKUP($A$1&amp;"-"&amp;ROW(H92),基本資料填寫!$A:$DN,COLUMN(基本資料填寫!R93),0),"")</f>
        <v/>
      </c>
      <c r="H93" s="47" t="str">
        <f>IFERROR(VLOOKUP($A$1&amp;"-"&amp;ROW(X92),基本資料填寫!$A:$DN,COLUMN(基本資料填寫!BX93),0),"")</f>
        <v/>
      </c>
      <c r="I93" s="47" t="str">
        <f>IFERROR(VLOOKUP($A$1&amp;"-"&amp;ROW(P92),基本資料填寫!$A:$DN,COLUMN(基本資料填寫!Z93),0),"")</f>
        <v/>
      </c>
      <c r="J93" s="47" t="str">
        <f>IFERROR(VLOOKUP($A$1&amp;"-"&amp;ROW(Q92),基本資料填寫!$A:$DN,COLUMN(基本資料填寫!AA93),0),"")</f>
        <v/>
      </c>
      <c r="K93" s="47" t="str">
        <f>IFERROR(VLOOKUP($A$1&amp;"-"&amp;ROW(Y92),基本資料填寫!$A:$DN,COLUMN(基本資料填寫!BY93),0),"")</f>
        <v/>
      </c>
      <c r="L93" s="47" t="str">
        <f>IFERROR(VLOOKUP($A$1&amp;"-"&amp;ROW(Z92),基本資料填寫!$A:$DN,COLUMN(基本資料填寫!BZ93),0),"")</f>
        <v/>
      </c>
      <c r="M93" s="47" t="str">
        <f>IFERROR(VLOOKUP($A$1&amp;"-"&amp;ROW(AA92),基本資料填寫!$A:$DN,COLUMN(基本資料填寫!CA93),0),"")</f>
        <v/>
      </c>
      <c r="N93" s="47" t="str">
        <f>IFERROR(VLOOKUP($A$1&amp;"-"&amp;ROW(G92),基本資料填寫!$A:$DN,COLUMN(基本資料填寫!AO93),0),"")</f>
        <v/>
      </c>
      <c r="O93" s="47" t="str">
        <f>IFERROR(VLOOKUP($A$1&amp;"-"&amp;ROW(AB92),基本資料填寫!$A:$DN,COLUMN(基本資料填寫!CB93),0),"")</f>
        <v/>
      </c>
      <c r="P93" s="47" t="str">
        <f>IFERROR(VLOOKUP($A$1&amp;"-"&amp;ROW(AC92),基本資料填寫!$A:$DN,COLUMN(基本資料填寫!CC93),0),"")</f>
        <v/>
      </c>
      <c r="Q93" s="47" t="str">
        <f>IFERROR(VLOOKUP($A$1&amp;"-"&amp;ROW(AD92),基本資料填寫!$A:$DN,COLUMN(基本資料填寫!CD93),0),"")</f>
        <v/>
      </c>
      <c r="R93" s="47" t="str">
        <f>IFERROR(VLOOKUP($A$1&amp;"-"&amp;ROW(AE92),基本資料填寫!$A:$DN,COLUMN(基本資料填寫!CE93),0),"")</f>
        <v/>
      </c>
      <c r="S93" s="47" t="str">
        <f>IFERROR(VLOOKUP($A$1&amp;"-"&amp;ROW(AF92),基本資料填寫!$A:$DN,COLUMN(基本資料填寫!CF93),0),"")</f>
        <v/>
      </c>
      <c r="T93" s="47" t="str">
        <f>IFERROR(VLOOKUP($A$1&amp;"-"&amp;ROW(AG92),基本資料填寫!$A:$DN,COLUMN(基本資料填寫!CG93),0),"")</f>
        <v/>
      </c>
      <c r="U93" s="47" t="str">
        <f>IFERROR(VLOOKUP($A$1&amp;"-"&amp;ROW(AH92),基本資料填寫!$A:$DN,COLUMN(基本資料填寫!CH93),0),"")</f>
        <v/>
      </c>
      <c r="V93" s="47" t="str">
        <f>IFERROR(VLOOKUP($A$1&amp;"-"&amp;ROW(AI92),基本資料填寫!$A:$DN,COLUMN(基本資料填寫!CI93),0),"")</f>
        <v/>
      </c>
      <c r="W93" s="47" t="str">
        <f>IFERROR(VLOOKUP($A$1&amp;"-"&amp;ROW(E92),基本資料填寫!$A:$DN,COLUMN(基本資料填寫!O93),0),"")</f>
        <v/>
      </c>
      <c r="X93" s="47" t="str">
        <f>IFERROR(VLOOKUP($A$1&amp;"-"&amp;ROW(AJ92),基本資料填寫!$A:$DN,COLUMN(基本資料填寫!CJ93),0),"")</f>
        <v/>
      </c>
      <c r="Y93" s="47" t="str">
        <f>IFERROR(VLOOKUP($A$1&amp;"-"&amp;ROW(AK92),基本資料填寫!$A:$DN,COLUMN(基本資料填寫!CK93),0),"")</f>
        <v/>
      </c>
      <c r="Z93" s="47" t="str">
        <f>IFERROR(VLOOKUP($A$1&amp;"-"&amp;ROW(AM92),基本資料填寫!$A:$DN,COLUMN(基本資料填寫!CN93),0),"")</f>
        <v/>
      </c>
      <c r="AA93" s="47" t="str">
        <f>IFERROR(VLOOKUP($A$1&amp;"-"&amp;ROW(AN92),基本資料填寫!$A:$DN,COLUMN(基本資料填寫!CO93),0),"")</f>
        <v/>
      </c>
      <c r="AB93" s="47" t="str">
        <f>IFERROR(VLOOKUP($A$1&amp;"-"&amp;ROW(AO92),基本資料填寫!$A:$DN,COLUMN(基本資料填寫!CP93),0),"")</f>
        <v/>
      </c>
    </row>
    <row r="94" spans="2:28" x14ac:dyDescent="0.3">
      <c r="B94" s="2" t="str">
        <f>IF(C94="","",COUNTA($C$2:C94))</f>
        <v/>
      </c>
      <c r="C94" s="47" t="str">
        <f>IFERROR(VLOOKUP($A$1&amp;"-"&amp;ROW(C93),基本資料填寫!$A:$DN,COLUMN(基本資料填寫!S94),0),"")</f>
        <v/>
      </c>
      <c r="D94" s="47" t="str">
        <f>IFERROR(VLOOKUP($A$1&amp;"-"&amp;ROW(D93),基本資料填寫!$A:$DN,COLUMN(基本資料填寫!V94),0),"")</f>
        <v/>
      </c>
      <c r="E94" s="47" t="str">
        <f>IFERROR(VLOOKUP($A$1&amp;"-"&amp;ROW(E93),基本資料填寫!$A:$DN,COLUMN(基本資料填寫!BW94),0),"")</f>
        <v/>
      </c>
      <c r="F94" s="47" t="str">
        <f>IFERROR(VLOOKUP($A$1&amp;"-"&amp;ROW(F93),基本資料填寫!$A:$DN,COLUMN(基本資料填寫!AN94),0),"")</f>
        <v/>
      </c>
      <c r="G94" s="47" t="str">
        <f>IFERROR(VLOOKUP($A$1&amp;"-"&amp;ROW(H93),基本資料填寫!$A:$DN,COLUMN(基本資料填寫!R94),0),"")</f>
        <v/>
      </c>
      <c r="H94" s="47" t="str">
        <f>IFERROR(VLOOKUP($A$1&amp;"-"&amp;ROW(X93),基本資料填寫!$A:$DN,COLUMN(基本資料填寫!BX94),0),"")</f>
        <v/>
      </c>
      <c r="I94" s="47" t="str">
        <f>IFERROR(VLOOKUP($A$1&amp;"-"&amp;ROW(P93),基本資料填寫!$A:$DN,COLUMN(基本資料填寫!Z94),0),"")</f>
        <v/>
      </c>
      <c r="J94" s="47" t="str">
        <f>IFERROR(VLOOKUP($A$1&amp;"-"&amp;ROW(Q93),基本資料填寫!$A:$DN,COLUMN(基本資料填寫!AA94),0),"")</f>
        <v/>
      </c>
      <c r="K94" s="47" t="str">
        <f>IFERROR(VLOOKUP($A$1&amp;"-"&amp;ROW(Y93),基本資料填寫!$A:$DN,COLUMN(基本資料填寫!BY94),0),"")</f>
        <v/>
      </c>
      <c r="L94" s="47" t="str">
        <f>IFERROR(VLOOKUP($A$1&amp;"-"&amp;ROW(Z93),基本資料填寫!$A:$DN,COLUMN(基本資料填寫!BZ94),0),"")</f>
        <v/>
      </c>
      <c r="M94" s="47" t="str">
        <f>IFERROR(VLOOKUP($A$1&amp;"-"&amp;ROW(AA93),基本資料填寫!$A:$DN,COLUMN(基本資料填寫!CA94),0),"")</f>
        <v/>
      </c>
      <c r="N94" s="47" t="str">
        <f>IFERROR(VLOOKUP($A$1&amp;"-"&amp;ROW(G93),基本資料填寫!$A:$DN,COLUMN(基本資料填寫!AO94),0),"")</f>
        <v/>
      </c>
      <c r="O94" s="47" t="str">
        <f>IFERROR(VLOOKUP($A$1&amp;"-"&amp;ROW(AB93),基本資料填寫!$A:$DN,COLUMN(基本資料填寫!CB94),0),"")</f>
        <v/>
      </c>
      <c r="P94" s="47" t="str">
        <f>IFERROR(VLOOKUP($A$1&amp;"-"&amp;ROW(AC93),基本資料填寫!$A:$DN,COLUMN(基本資料填寫!CC94),0),"")</f>
        <v/>
      </c>
      <c r="Q94" s="47" t="str">
        <f>IFERROR(VLOOKUP($A$1&amp;"-"&amp;ROW(AD93),基本資料填寫!$A:$DN,COLUMN(基本資料填寫!CD94),0),"")</f>
        <v/>
      </c>
      <c r="R94" s="47" t="str">
        <f>IFERROR(VLOOKUP($A$1&amp;"-"&amp;ROW(AE93),基本資料填寫!$A:$DN,COLUMN(基本資料填寫!CE94),0),"")</f>
        <v/>
      </c>
      <c r="S94" s="47" t="str">
        <f>IFERROR(VLOOKUP($A$1&amp;"-"&amp;ROW(AF93),基本資料填寫!$A:$DN,COLUMN(基本資料填寫!CF94),0),"")</f>
        <v/>
      </c>
      <c r="T94" s="47" t="str">
        <f>IFERROR(VLOOKUP($A$1&amp;"-"&amp;ROW(AG93),基本資料填寫!$A:$DN,COLUMN(基本資料填寫!CG94),0),"")</f>
        <v/>
      </c>
      <c r="U94" s="47" t="str">
        <f>IFERROR(VLOOKUP($A$1&amp;"-"&amp;ROW(AH93),基本資料填寫!$A:$DN,COLUMN(基本資料填寫!CH94),0),"")</f>
        <v/>
      </c>
      <c r="V94" s="47" t="str">
        <f>IFERROR(VLOOKUP($A$1&amp;"-"&amp;ROW(AI93),基本資料填寫!$A:$DN,COLUMN(基本資料填寫!CI94),0),"")</f>
        <v/>
      </c>
      <c r="W94" s="47" t="str">
        <f>IFERROR(VLOOKUP($A$1&amp;"-"&amp;ROW(E93),基本資料填寫!$A:$DN,COLUMN(基本資料填寫!O94),0),"")</f>
        <v/>
      </c>
      <c r="X94" s="47" t="str">
        <f>IFERROR(VLOOKUP($A$1&amp;"-"&amp;ROW(AJ93),基本資料填寫!$A:$DN,COLUMN(基本資料填寫!CJ94),0),"")</f>
        <v/>
      </c>
      <c r="Y94" s="47" t="str">
        <f>IFERROR(VLOOKUP($A$1&amp;"-"&amp;ROW(AK93),基本資料填寫!$A:$DN,COLUMN(基本資料填寫!CK94),0),"")</f>
        <v/>
      </c>
      <c r="Z94" s="47" t="str">
        <f>IFERROR(VLOOKUP($A$1&amp;"-"&amp;ROW(AM93),基本資料填寫!$A:$DN,COLUMN(基本資料填寫!CN94),0),"")</f>
        <v/>
      </c>
      <c r="AA94" s="47" t="str">
        <f>IFERROR(VLOOKUP($A$1&amp;"-"&amp;ROW(AN93),基本資料填寫!$A:$DN,COLUMN(基本資料填寫!CO94),0),"")</f>
        <v/>
      </c>
      <c r="AB94" s="47" t="str">
        <f>IFERROR(VLOOKUP($A$1&amp;"-"&amp;ROW(AO93),基本資料填寫!$A:$DN,COLUMN(基本資料填寫!CP94),0),"")</f>
        <v/>
      </c>
    </row>
    <row r="95" spans="2:28" x14ac:dyDescent="0.3">
      <c r="B95" s="2" t="str">
        <f>IF(C95="","",COUNTA($C$2:C95))</f>
        <v/>
      </c>
      <c r="C95" s="47" t="str">
        <f>IFERROR(VLOOKUP($A$1&amp;"-"&amp;ROW(C94),基本資料填寫!$A:$DN,COLUMN(基本資料填寫!S95),0),"")</f>
        <v/>
      </c>
      <c r="D95" s="47" t="str">
        <f>IFERROR(VLOOKUP($A$1&amp;"-"&amp;ROW(D94),基本資料填寫!$A:$DN,COLUMN(基本資料填寫!V95),0),"")</f>
        <v/>
      </c>
      <c r="E95" s="47" t="str">
        <f>IFERROR(VLOOKUP($A$1&amp;"-"&amp;ROW(E94),基本資料填寫!$A:$DN,COLUMN(基本資料填寫!BW95),0),"")</f>
        <v/>
      </c>
      <c r="F95" s="47" t="str">
        <f>IFERROR(VLOOKUP($A$1&amp;"-"&amp;ROW(F94),基本資料填寫!$A:$DN,COLUMN(基本資料填寫!AN95),0),"")</f>
        <v/>
      </c>
      <c r="G95" s="47" t="str">
        <f>IFERROR(VLOOKUP($A$1&amp;"-"&amp;ROW(H94),基本資料填寫!$A:$DN,COLUMN(基本資料填寫!R95),0),"")</f>
        <v/>
      </c>
      <c r="H95" s="47" t="str">
        <f>IFERROR(VLOOKUP($A$1&amp;"-"&amp;ROW(X94),基本資料填寫!$A:$DN,COLUMN(基本資料填寫!BX95),0),"")</f>
        <v/>
      </c>
      <c r="I95" s="47" t="str">
        <f>IFERROR(VLOOKUP($A$1&amp;"-"&amp;ROW(P94),基本資料填寫!$A:$DN,COLUMN(基本資料填寫!Z95),0),"")</f>
        <v/>
      </c>
      <c r="J95" s="47" t="str">
        <f>IFERROR(VLOOKUP($A$1&amp;"-"&amp;ROW(Q94),基本資料填寫!$A:$DN,COLUMN(基本資料填寫!AA95),0),"")</f>
        <v/>
      </c>
      <c r="K95" s="47" t="str">
        <f>IFERROR(VLOOKUP($A$1&amp;"-"&amp;ROW(Y94),基本資料填寫!$A:$DN,COLUMN(基本資料填寫!BY95),0),"")</f>
        <v/>
      </c>
      <c r="L95" s="47" t="str">
        <f>IFERROR(VLOOKUP($A$1&amp;"-"&amp;ROW(Z94),基本資料填寫!$A:$DN,COLUMN(基本資料填寫!BZ95),0),"")</f>
        <v/>
      </c>
      <c r="M95" s="47" t="str">
        <f>IFERROR(VLOOKUP($A$1&amp;"-"&amp;ROW(AA94),基本資料填寫!$A:$DN,COLUMN(基本資料填寫!CA95),0),"")</f>
        <v/>
      </c>
      <c r="N95" s="47" t="str">
        <f>IFERROR(VLOOKUP($A$1&amp;"-"&amp;ROW(G94),基本資料填寫!$A:$DN,COLUMN(基本資料填寫!AO95),0),"")</f>
        <v/>
      </c>
      <c r="O95" s="47" t="str">
        <f>IFERROR(VLOOKUP($A$1&amp;"-"&amp;ROW(AB94),基本資料填寫!$A:$DN,COLUMN(基本資料填寫!CB95),0),"")</f>
        <v/>
      </c>
      <c r="P95" s="47" t="str">
        <f>IFERROR(VLOOKUP($A$1&amp;"-"&amp;ROW(AC94),基本資料填寫!$A:$DN,COLUMN(基本資料填寫!CC95),0),"")</f>
        <v/>
      </c>
      <c r="Q95" s="47" t="str">
        <f>IFERROR(VLOOKUP($A$1&amp;"-"&amp;ROW(AD94),基本資料填寫!$A:$DN,COLUMN(基本資料填寫!CD95),0),"")</f>
        <v/>
      </c>
      <c r="R95" s="47" t="str">
        <f>IFERROR(VLOOKUP($A$1&amp;"-"&amp;ROW(AE94),基本資料填寫!$A:$DN,COLUMN(基本資料填寫!CE95),0),"")</f>
        <v/>
      </c>
      <c r="S95" s="47" t="str">
        <f>IFERROR(VLOOKUP($A$1&amp;"-"&amp;ROW(AF94),基本資料填寫!$A:$DN,COLUMN(基本資料填寫!CF95),0),"")</f>
        <v/>
      </c>
      <c r="T95" s="47" t="str">
        <f>IFERROR(VLOOKUP($A$1&amp;"-"&amp;ROW(AG94),基本資料填寫!$A:$DN,COLUMN(基本資料填寫!CG95),0),"")</f>
        <v/>
      </c>
      <c r="U95" s="47" t="str">
        <f>IFERROR(VLOOKUP($A$1&amp;"-"&amp;ROW(AH94),基本資料填寫!$A:$DN,COLUMN(基本資料填寫!CH95),0),"")</f>
        <v/>
      </c>
      <c r="V95" s="47" t="str">
        <f>IFERROR(VLOOKUP($A$1&amp;"-"&amp;ROW(AI94),基本資料填寫!$A:$DN,COLUMN(基本資料填寫!CI95),0),"")</f>
        <v/>
      </c>
      <c r="W95" s="47" t="str">
        <f>IFERROR(VLOOKUP($A$1&amp;"-"&amp;ROW(E94),基本資料填寫!$A:$DN,COLUMN(基本資料填寫!O95),0),"")</f>
        <v/>
      </c>
      <c r="X95" s="47" t="str">
        <f>IFERROR(VLOOKUP($A$1&amp;"-"&amp;ROW(AJ94),基本資料填寫!$A:$DN,COLUMN(基本資料填寫!CJ95),0),"")</f>
        <v/>
      </c>
      <c r="Y95" s="47" t="str">
        <f>IFERROR(VLOOKUP($A$1&amp;"-"&amp;ROW(AK94),基本資料填寫!$A:$DN,COLUMN(基本資料填寫!CK95),0),"")</f>
        <v/>
      </c>
      <c r="Z95" s="47" t="str">
        <f>IFERROR(VLOOKUP($A$1&amp;"-"&amp;ROW(AM94),基本資料填寫!$A:$DN,COLUMN(基本資料填寫!CN95),0),"")</f>
        <v/>
      </c>
      <c r="AA95" s="47" t="str">
        <f>IFERROR(VLOOKUP($A$1&amp;"-"&amp;ROW(AN94),基本資料填寫!$A:$DN,COLUMN(基本資料填寫!CO95),0),"")</f>
        <v/>
      </c>
      <c r="AB95" s="47" t="str">
        <f>IFERROR(VLOOKUP($A$1&amp;"-"&amp;ROW(AO94),基本資料填寫!$A:$DN,COLUMN(基本資料填寫!CP95),0),"")</f>
        <v/>
      </c>
    </row>
    <row r="96" spans="2:28" x14ac:dyDescent="0.3">
      <c r="B96" s="2" t="str">
        <f>IF(C96="","",COUNTA($C$2:C96))</f>
        <v/>
      </c>
      <c r="C96" s="47" t="str">
        <f>IFERROR(VLOOKUP($A$1&amp;"-"&amp;ROW(C95),基本資料填寫!$A:$DN,COLUMN(基本資料填寫!S96),0),"")</f>
        <v/>
      </c>
      <c r="D96" s="47" t="str">
        <f>IFERROR(VLOOKUP($A$1&amp;"-"&amp;ROW(D95),基本資料填寫!$A:$DN,COLUMN(基本資料填寫!V96),0),"")</f>
        <v/>
      </c>
      <c r="E96" s="47" t="str">
        <f>IFERROR(VLOOKUP($A$1&amp;"-"&amp;ROW(E95),基本資料填寫!$A:$DN,COLUMN(基本資料填寫!BW96),0),"")</f>
        <v/>
      </c>
      <c r="F96" s="47" t="str">
        <f>IFERROR(VLOOKUP($A$1&amp;"-"&amp;ROW(F95),基本資料填寫!$A:$DN,COLUMN(基本資料填寫!AN96),0),"")</f>
        <v/>
      </c>
      <c r="G96" s="47" t="str">
        <f>IFERROR(VLOOKUP($A$1&amp;"-"&amp;ROW(H95),基本資料填寫!$A:$DN,COLUMN(基本資料填寫!R96),0),"")</f>
        <v/>
      </c>
      <c r="H96" s="47" t="str">
        <f>IFERROR(VLOOKUP($A$1&amp;"-"&amp;ROW(X95),基本資料填寫!$A:$DN,COLUMN(基本資料填寫!BX96),0),"")</f>
        <v/>
      </c>
      <c r="I96" s="47" t="str">
        <f>IFERROR(VLOOKUP($A$1&amp;"-"&amp;ROW(P95),基本資料填寫!$A:$DN,COLUMN(基本資料填寫!Z96),0),"")</f>
        <v/>
      </c>
      <c r="J96" s="47" t="str">
        <f>IFERROR(VLOOKUP($A$1&amp;"-"&amp;ROW(Q95),基本資料填寫!$A:$DN,COLUMN(基本資料填寫!AA96),0),"")</f>
        <v/>
      </c>
      <c r="K96" s="47" t="str">
        <f>IFERROR(VLOOKUP($A$1&amp;"-"&amp;ROW(Y95),基本資料填寫!$A:$DN,COLUMN(基本資料填寫!BY96),0),"")</f>
        <v/>
      </c>
      <c r="L96" s="47" t="str">
        <f>IFERROR(VLOOKUP($A$1&amp;"-"&amp;ROW(Z95),基本資料填寫!$A:$DN,COLUMN(基本資料填寫!BZ96),0),"")</f>
        <v/>
      </c>
      <c r="M96" s="47" t="str">
        <f>IFERROR(VLOOKUP($A$1&amp;"-"&amp;ROW(AA95),基本資料填寫!$A:$DN,COLUMN(基本資料填寫!CA96),0),"")</f>
        <v/>
      </c>
      <c r="N96" s="47" t="str">
        <f>IFERROR(VLOOKUP($A$1&amp;"-"&amp;ROW(G95),基本資料填寫!$A:$DN,COLUMN(基本資料填寫!AO96),0),"")</f>
        <v/>
      </c>
      <c r="O96" s="47" t="str">
        <f>IFERROR(VLOOKUP($A$1&amp;"-"&amp;ROW(AB95),基本資料填寫!$A:$DN,COLUMN(基本資料填寫!CB96),0),"")</f>
        <v/>
      </c>
      <c r="P96" s="47" t="str">
        <f>IFERROR(VLOOKUP($A$1&amp;"-"&amp;ROW(AC95),基本資料填寫!$A:$DN,COLUMN(基本資料填寫!CC96),0),"")</f>
        <v/>
      </c>
      <c r="Q96" s="47" t="str">
        <f>IFERROR(VLOOKUP($A$1&amp;"-"&amp;ROW(AD95),基本資料填寫!$A:$DN,COLUMN(基本資料填寫!CD96),0),"")</f>
        <v/>
      </c>
      <c r="R96" s="47" t="str">
        <f>IFERROR(VLOOKUP($A$1&amp;"-"&amp;ROW(AE95),基本資料填寫!$A:$DN,COLUMN(基本資料填寫!CE96),0),"")</f>
        <v/>
      </c>
      <c r="S96" s="47" t="str">
        <f>IFERROR(VLOOKUP($A$1&amp;"-"&amp;ROW(AF95),基本資料填寫!$A:$DN,COLUMN(基本資料填寫!CF96),0),"")</f>
        <v/>
      </c>
      <c r="T96" s="47" t="str">
        <f>IFERROR(VLOOKUP($A$1&amp;"-"&amp;ROW(AG95),基本資料填寫!$A:$DN,COLUMN(基本資料填寫!CG96),0),"")</f>
        <v/>
      </c>
      <c r="U96" s="47" t="str">
        <f>IFERROR(VLOOKUP($A$1&amp;"-"&amp;ROW(AH95),基本資料填寫!$A:$DN,COLUMN(基本資料填寫!CH96),0),"")</f>
        <v/>
      </c>
      <c r="V96" s="47" t="str">
        <f>IFERROR(VLOOKUP($A$1&amp;"-"&amp;ROW(AI95),基本資料填寫!$A:$DN,COLUMN(基本資料填寫!CI96),0),"")</f>
        <v/>
      </c>
      <c r="W96" s="47" t="str">
        <f>IFERROR(VLOOKUP($A$1&amp;"-"&amp;ROW(E95),基本資料填寫!$A:$DN,COLUMN(基本資料填寫!O96),0),"")</f>
        <v/>
      </c>
      <c r="X96" s="47" t="str">
        <f>IFERROR(VLOOKUP($A$1&amp;"-"&amp;ROW(AJ95),基本資料填寫!$A:$DN,COLUMN(基本資料填寫!CJ96),0),"")</f>
        <v/>
      </c>
      <c r="Y96" s="47" t="str">
        <f>IFERROR(VLOOKUP($A$1&amp;"-"&amp;ROW(AK95),基本資料填寫!$A:$DN,COLUMN(基本資料填寫!CK96),0),"")</f>
        <v/>
      </c>
      <c r="Z96" s="47" t="str">
        <f>IFERROR(VLOOKUP($A$1&amp;"-"&amp;ROW(AM95),基本資料填寫!$A:$DN,COLUMN(基本資料填寫!CN96),0),"")</f>
        <v/>
      </c>
      <c r="AA96" s="47" t="str">
        <f>IFERROR(VLOOKUP($A$1&amp;"-"&amp;ROW(AN95),基本資料填寫!$A:$DN,COLUMN(基本資料填寫!CO96),0),"")</f>
        <v/>
      </c>
      <c r="AB96" s="47" t="str">
        <f>IFERROR(VLOOKUP($A$1&amp;"-"&amp;ROW(AO95),基本資料填寫!$A:$DN,COLUMN(基本資料填寫!CP96),0),"")</f>
        <v/>
      </c>
    </row>
    <row r="97" spans="2:28" x14ac:dyDescent="0.3">
      <c r="B97" s="2" t="str">
        <f>IF(C97="","",COUNTA($C$2:C97))</f>
        <v/>
      </c>
      <c r="C97" s="47" t="str">
        <f>IFERROR(VLOOKUP($A$1&amp;"-"&amp;ROW(C96),基本資料填寫!$A:$DN,COLUMN(基本資料填寫!S97),0),"")</f>
        <v/>
      </c>
      <c r="D97" s="47" t="str">
        <f>IFERROR(VLOOKUP($A$1&amp;"-"&amp;ROW(D96),基本資料填寫!$A:$DN,COLUMN(基本資料填寫!V97),0),"")</f>
        <v/>
      </c>
      <c r="E97" s="47" t="str">
        <f>IFERROR(VLOOKUP($A$1&amp;"-"&amp;ROW(E96),基本資料填寫!$A:$DN,COLUMN(基本資料填寫!BW97),0),"")</f>
        <v/>
      </c>
      <c r="F97" s="47" t="str">
        <f>IFERROR(VLOOKUP($A$1&amp;"-"&amp;ROW(F96),基本資料填寫!$A:$DN,COLUMN(基本資料填寫!AN97),0),"")</f>
        <v/>
      </c>
      <c r="G97" s="47" t="str">
        <f>IFERROR(VLOOKUP($A$1&amp;"-"&amp;ROW(H96),基本資料填寫!$A:$DN,COLUMN(基本資料填寫!R97),0),"")</f>
        <v/>
      </c>
      <c r="H97" s="47" t="str">
        <f>IFERROR(VLOOKUP($A$1&amp;"-"&amp;ROW(X96),基本資料填寫!$A:$DN,COLUMN(基本資料填寫!BX97),0),"")</f>
        <v/>
      </c>
      <c r="I97" s="47" t="str">
        <f>IFERROR(VLOOKUP($A$1&amp;"-"&amp;ROW(P96),基本資料填寫!$A:$DN,COLUMN(基本資料填寫!Z97),0),"")</f>
        <v/>
      </c>
      <c r="J97" s="47" t="str">
        <f>IFERROR(VLOOKUP($A$1&amp;"-"&amp;ROW(Q96),基本資料填寫!$A:$DN,COLUMN(基本資料填寫!AA97),0),"")</f>
        <v/>
      </c>
      <c r="K97" s="47" t="str">
        <f>IFERROR(VLOOKUP($A$1&amp;"-"&amp;ROW(Y96),基本資料填寫!$A:$DN,COLUMN(基本資料填寫!BY97),0),"")</f>
        <v/>
      </c>
      <c r="L97" s="47" t="str">
        <f>IFERROR(VLOOKUP($A$1&amp;"-"&amp;ROW(Z96),基本資料填寫!$A:$DN,COLUMN(基本資料填寫!BZ97),0),"")</f>
        <v/>
      </c>
      <c r="M97" s="47" t="str">
        <f>IFERROR(VLOOKUP($A$1&amp;"-"&amp;ROW(AA96),基本資料填寫!$A:$DN,COLUMN(基本資料填寫!CA97),0),"")</f>
        <v/>
      </c>
      <c r="N97" s="47" t="str">
        <f>IFERROR(VLOOKUP($A$1&amp;"-"&amp;ROW(G96),基本資料填寫!$A:$DN,COLUMN(基本資料填寫!AO97),0),"")</f>
        <v/>
      </c>
      <c r="O97" s="47" t="str">
        <f>IFERROR(VLOOKUP($A$1&amp;"-"&amp;ROW(AB96),基本資料填寫!$A:$DN,COLUMN(基本資料填寫!CB97),0),"")</f>
        <v/>
      </c>
      <c r="P97" s="47" t="str">
        <f>IFERROR(VLOOKUP($A$1&amp;"-"&amp;ROW(AC96),基本資料填寫!$A:$DN,COLUMN(基本資料填寫!CC97),0),"")</f>
        <v/>
      </c>
      <c r="Q97" s="47" t="str">
        <f>IFERROR(VLOOKUP($A$1&amp;"-"&amp;ROW(AD96),基本資料填寫!$A:$DN,COLUMN(基本資料填寫!CD97),0),"")</f>
        <v/>
      </c>
      <c r="R97" s="47" t="str">
        <f>IFERROR(VLOOKUP($A$1&amp;"-"&amp;ROW(AE96),基本資料填寫!$A:$DN,COLUMN(基本資料填寫!CE97),0),"")</f>
        <v/>
      </c>
      <c r="S97" s="47" t="str">
        <f>IFERROR(VLOOKUP($A$1&amp;"-"&amp;ROW(AF96),基本資料填寫!$A:$DN,COLUMN(基本資料填寫!CF97),0),"")</f>
        <v/>
      </c>
      <c r="T97" s="47" t="str">
        <f>IFERROR(VLOOKUP($A$1&amp;"-"&amp;ROW(AG96),基本資料填寫!$A:$DN,COLUMN(基本資料填寫!CG97),0),"")</f>
        <v/>
      </c>
      <c r="U97" s="47" t="str">
        <f>IFERROR(VLOOKUP($A$1&amp;"-"&amp;ROW(AH96),基本資料填寫!$A:$DN,COLUMN(基本資料填寫!CH97),0),"")</f>
        <v/>
      </c>
      <c r="V97" s="47" t="str">
        <f>IFERROR(VLOOKUP($A$1&amp;"-"&amp;ROW(AI96),基本資料填寫!$A:$DN,COLUMN(基本資料填寫!CI97),0),"")</f>
        <v/>
      </c>
      <c r="W97" s="47" t="str">
        <f>IFERROR(VLOOKUP($A$1&amp;"-"&amp;ROW(E96),基本資料填寫!$A:$DN,COLUMN(基本資料填寫!O97),0),"")</f>
        <v/>
      </c>
      <c r="X97" s="47" t="str">
        <f>IFERROR(VLOOKUP($A$1&amp;"-"&amp;ROW(AJ96),基本資料填寫!$A:$DN,COLUMN(基本資料填寫!CJ97),0),"")</f>
        <v/>
      </c>
      <c r="Y97" s="47" t="str">
        <f>IFERROR(VLOOKUP($A$1&amp;"-"&amp;ROW(AK96),基本資料填寫!$A:$DN,COLUMN(基本資料填寫!CK97),0),"")</f>
        <v/>
      </c>
      <c r="Z97" s="47" t="str">
        <f>IFERROR(VLOOKUP($A$1&amp;"-"&amp;ROW(AM96),基本資料填寫!$A:$DN,COLUMN(基本資料填寫!CN97),0),"")</f>
        <v/>
      </c>
      <c r="AA97" s="47" t="str">
        <f>IFERROR(VLOOKUP($A$1&amp;"-"&amp;ROW(AN96),基本資料填寫!$A:$DN,COLUMN(基本資料填寫!CO97),0),"")</f>
        <v/>
      </c>
      <c r="AB97" s="47" t="str">
        <f>IFERROR(VLOOKUP($A$1&amp;"-"&amp;ROW(AO96),基本資料填寫!$A:$DN,COLUMN(基本資料填寫!CP97),0),"")</f>
        <v/>
      </c>
    </row>
    <row r="98" spans="2:28" x14ac:dyDescent="0.3">
      <c r="B98" s="2" t="str">
        <f>IF(C98="","",COUNTA($C$2:C98))</f>
        <v/>
      </c>
      <c r="C98" s="47" t="str">
        <f>IFERROR(VLOOKUP($A$1&amp;"-"&amp;ROW(C97),基本資料填寫!$A:$DN,COLUMN(基本資料填寫!S98),0),"")</f>
        <v/>
      </c>
      <c r="D98" s="47" t="str">
        <f>IFERROR(VLOOKUP($A$1&amp;"-"&amp;ROW(D97),基本資料填寫!$A:$DN,COLUMN(基本資料填寫!V98),0),"")</f>
        <v/>
      </c>
      <c r="E98" s="47" t="str">
        <f>IFERROR(VLOOKUP($A$1&amp;"-"&amp;ROW(E97),基本資料填寫!$A:$DN,COLUMN(基本資料填寫!BW98),0),"")</f>
        <v/>
      </c>
      <c r="F98" s="47" t="str">
        <f>IFERROR(VLOOKUP($A$1&amp;"-"&amp;ROW(F97),基本資料填寫!$A:$DN,COLUMN(基本資料填寫!AN98),0),"")</f>
        <v/>
      </c>
      <c r="G98" s="47" t="str">
        <f>IFERROR(VLOOKUP($A$1&amp;"-"&amp;ROW(H97),基本資料填寫!$A:$DN,COLUMN(基本資料填寫!R98),0),"")</f>
        <v/>
      </c>
      <c r="H98" s="47" t="str">
        <f>IFERROR(VLOOKUP($A$1&amp;"-"&amp;ROW(X97),基本資料填寫!$A:$DN,COLUMN(基本資料填寫!BX98),0),"")</f>
        <v/>
      </c>
      <c r="I98" s="47" t="str">
        <f>IFERROR(VLOOKUP($A$1&amp;"-"&amp;ROW(P97),基本資料填寫!$A:$DN,COLUMN(基本資料填寫!Z98),0),"")</f>
        <v/>
      </c>
      <c r="J98" s="47" t="str">
        <f>IFERROR(VLOOKUP($A$1&amp;"-"&amp;ROW(Q97),基本資料填寫!$A:$DN,COLUMN(基本資料填寫!AA98),0),"")</f>
        <v/>
      </c>
      <c r="K98" s="47" t="str">
        <f>IFERROR(VLOOKUP($A$1&amp;"-"&amp;ROW(Y97),基本資料填寫!$A:$DN,COLUMN(基本資料填寫!BY98),0),"")</f>
        <v/>
      </c>
      <c r="L98" s="47" t="str">
        <f>IFERROR(VLOOKUP($A$1&amp;"-"&amp;ROW(Z97),基本資料填寫!$A:$DN,COLUMN(基本資料填寫!BZ98),0),"")</f>
        <v/>
      </c>
      <c r="M98" s="47" t="str">
        <f>IFERROR(VLOOKUP($A$1&amp;"-"&amp;ROW(AA97),基本資料填寫!$A:$DN,COLUMN(基本資料填寫!CA98),0),"")</f>
        <v/>
      </c>
      <c r="N98" s="47" t="str">
        <f>IFERROR(VLOOKUP($A$1&amp;"-"&amp;ROW(G97),基本資料填寫!$A:$DN,COLUMN(基本資料填寫!AO98),0),"")</f>
        <v/>
      </c>
      <c r="O98" s="47" t="str">
        <f>IFERROR(VLOOKUP($A$1&amp;"-"&amp;ROW(AB97),基本資料填寫!$A:$DN,COLUMN(基本資料填寫!CB98),0),"")</f>
        <v/>
      </c>
      <c r="P98" s="47" t="str">
        <f>IFERROR(VLOOKUP($A$1&amp;"-"&amp;ROW(AC97),基本資料填寫!$A:$DN,COLUMN(基本資料填寫!CC98),0),"")</f>
        <v/>
      </c>
      <c r="Q98" s="47" t="str">
        <f>IFERROR(VLOOKUP($A$1&amp;"-"&amp;ROW(AD97),基本資料填寫!$A:$DN,COLUMN(基本資料填寫!CD98),0),"")</f>
        <v/>
      </c>
      <c r="R98" s="47" t="str">
        <f>IFERROR(VLOOKUP($A$1&amp;"-"&amp;ROW(AE97),基本資料填寫!$A:$DN,COLUMN(基本資料填寫!CE98),0),"")</f>
        <v/>
      </c>
      <c r="S98" s="47" t="str">
        <f>IFERROR(VLOOKUP($A$1&amp;"-"&amp;ROW(AF97),基本資料填寫!$A:$DN,COLUMN(基本資料填寫!CF98),0),"")</f>
        <v/>
      </c>
      <c r="T98" s="47" t="str">
        <f>IFERROR(VLOOKUP($A$1&amp;"-"&amp;ROW(AG97),基本資料填寫!$A:$DN,COLUMN(基本資料填寫!CG98),0),"")</f>
        <v/>
      </c>
      <c r="U98" s="47" t="str">
        <f>IFERROR(VLOOKUP($A$1&amp;"-"&amp;ROW(AH97),基本資料填寫!$A:$DN,COLUMN(基本資料填寫!CH98),0),"")</f>
        <v/>
      </c>
      <c r="V98" s="47" t="str">
        <f>IFERROR(VLOOKUP($A$1&amp;"-"&amp;ROW(AI97),基本資料填寫!$A:$DN,COLUMN(基本資料填寫!CI98),0),"")</f>
        <v/>
      </c>
      <c r="W98" s="47" t="str">
        <f>IFERROR(VLOOKUP($A$1&amp;"-"&amp;ROW(E97),基本資料填寫!$A:$DN,COLUMN(基本資料填寫!O98),0),"")</f>
        <v/>
      </c>
      <c r="X98" s="47" t="str">
        <f>IFERROR(VLOOKUP($A$1&amp;"-"&amp;ROW(AJ97),基本資料填寫!$A:$DN,COLUMN(基本資料填寫!CJ98),0),"")</f>
        <v/>
      </c>
      <c r="Y98" s="47" t="str">
        <f>IFERROR(VLOOKUP($A$1&amp;"-"&amp;ROW(AK97),基本資料填寫!$A:$DN,COLUMN(基本資料填寫!CK98),0),"")</f>
        <v/>
      </c>
      <c r="Z98" s="47" t="str">
        <f>IFERROR(VLOOKUP($A$1&amp;"-"&amp;ROW(AM97),基本資料填寫!$A:$DN,COLUMN(基本資料填寫!CN98),0),"")</f>
        <v/>
      </c>
      <c r="AA98" s="47" t="str">
        <f>IFERROR(VLOOKUP($A$1&amp;"-"&amp;ROW(AN97),基本資料填寫!$A:$DN,COLUMN(基本資料填寫!CO98),0),"")</f>
        <v/>
      </c>
      <c r="AB98" s="47" t="str">
        <f>IFERROR(VLOOKUP($A$1&amp;"-"&amp;ROW(AO97),基本資料填寫!$A:$DN,COLUMN(基本資料填寫!CP98),0),"")</f>
        <v/>
      </c>
    </row>
    <row r="99" spans="2:28" x14ac:dyDescent="0.3">
      <c r="B99" s="2" t="str">
        <f>IF(C99="","",COUNTA($C$2:C99))</f>
        <v/>
      </c>
      <c r="C99" s="47" t="str">
        <f>IFERROR(VLOOKUP($A$1&amp;"-"&amp;ROW(C98),基本資料填寫!$A:$DN,COLUMN(基本資料填寫!S99),0),"")</f>
        <v/>
      </c>
      <c r="D99" s="47" t="str">
        <f>IFERROR(VLOOKUP($A$1&amp;"-"&amp;ROW(D98),基本資料填寫!$A:$DN,COLUMN(基本資料填寫!V99),0),"")</f>
        <v/>
      </c>
      <c r="E99" s="47" t="str">
        <f>IFERROR(VLOOKUP($A$1&amp;"-"&amp;ROW(E98),基本資料填寫!$A:$DN,COLUMN(基本資料填寫!BW99),0),"")</f>
        <v/>
      </c>
      <c r="F99" s="47" t="str">
        <f>IFERROR(VLOOKUP($A$1&amp;"-"&amp;ROW(F98),基本資料填寫!$A:$DN,COLUMN(基本資料填寫!AN99),0),"")</f>
        <v/>
      </c>
      <c r="G99" s="47" t="str">
        <f>IFERROR(VLOOKUP($A$1&amp;"-"&amp;ROW(H98),基本資料填寫!$A:$DN,COLUMN(基本資料填寫!R99),0),"")</f>
        <v/>
      </c>
      <c r="H99" s="47" t="str">
        <f>IFERROR(VLOOKUP($A$1&amp;"-"&amp;ROW(X98),基本資料填寫!$A:$DN,COLUMN(基本資料填寫!BX99),0),"")</f>
        <v/>
      </c>
      <c r="I99" s="47" t="str">
        <f>IFERROR(VLOOKUP($A$1&amp;"-"&amp;ROW(P98),基本資料填寫!$A:$DN,COLUMN(基本資料填寫!Z99),0),"")</f>
        <v/>
      </c>
      <c r="J99" s="47" t="str">
        <f>IFERROR(VLOOKUP($A$1&amp;"-"&amp;ROW(Q98),基本資料填寫!$A:$DN,COLUMN(基本資料填寫!AA99),0),"")</f>
        <v/>
      </c>
      <c r="K99" s="47" t="str">
        <f>IFERROR(VLOOKUP($A$1&amp;"-"&amp;ROW(Y98),基本資料填寫!$A:$DN,COLUMN(基本資料填寫!BY99),0),"")</f>
        <v/>
      </c>
      <c r="L99" s="47" t="str">
        <f>IFERROR(VLOOKUP($A$1&amp;"-"&amp;ROW(Z98),基本資料填寫!$A:$DN,COLUMN(基本資料填寫!BZ99),0),"")</f>
        <v/>
      </c>
      <c r="M99" s="47" t="str">
        <f>IFERROR(VLOOKUP($A$1&amp;"-"&amp;ROW(AA98),基本資料填寫!$A:$DN,COLUMN(基本資料填寫!CA99),0),"")</f>
        <v/>
      </c>
      <c r="N99" s="47" t="str">
        <f>IFERROR(VLOOKUP($A$1&amp;"-"&amp;ROW(G98),基本資料填寫!$A:$DN,COLUMN(基本資料填寫!AO99),0),"")</f>
        <v/>
      </c>
      <c r="O99" s="47" t="str">
        <f>IFERROR(VLOOKUP($A$1&amp;"-"&amp;ROW(AB98),基本資料填寫!$A:$DN,COLUMN(基本資料填寫!CB99),0),"")</f>
        <v/>
      </c>
      <c r="P99" s="47" t="str">
        <f>IFERROR(VLOOKUP($A$1&amp;"-"&amp;ROW(AC98),基本資料填寫!$A:$DN,COLUMN(基本資料填寫!CC99),0),"")</f>
        <v/>
      </c>
      <c r="Q99" s="47" t="str">
        <f>IFERROR(VLOOKUP($A$1&amp;"-"&amp;ROW(AD98),基本資料填寫!$A:$DN,COLUMN(基本資料填寫!CD99),0),"")</f>
        <v/>
      </c>
      <c r="R99" s="47" t="str">
        <f>IFERROR(VLOOKUP($A$1&amp;"-"&amp;ROW(AE98),基本資料填寫!$A:$DN,COLUMN(基本資料填寫!CE99),0),"")</f>
        <v/>
      </c>
      <c r="S99" s="47" t="str">
        <f>IFERROR(VLOOKUP($A$1&amp;"-"&amp;ROW(AF98),基本資料填寫!$A:$DN,COLUMN(基本資料填寫!CF99),0),"")</f>
        <v/>
      </c>
      <c r="T99" s="47" t="str">
        <f>IFERROR(VLOOKUP($A$1&amp;"-"&amp;ROW(AG98),基本資料填寫!$A:$DN,COLUMN(基本資料填寫!CG99),0),"")</f>
        <v/>
      </c>
      <c r="U99" s="47" t="str">
        <f>IFERROR(VLOOKUP($A$1&amp;"-"&amp;ROW(AH98),基本資料填寫!$A:$DN,COLUMN(基本資料填寫!CH99),0),"")</f>
        <v/>
      </c>
      <c r="V99" s="47" t="str">
        <f>IFERROR(VLOOKUP($A$1&amp;"-"&amp;ROW(AI98),基本資料填寫!$A:$DN,COLUMN(基本資料填寫!CI99),0),"")</f>
        <v/>
      </c>
      <c r="W99" s="47" t="str">
        <f>IFERROR(VLOOKUP($A$1&amp;"-"&amp;ROW(E98),基本資料填寫!$A:$DN,COLUMN(基本資料填寫!O99),0),"")</f>
        <v/>
      </c>
      <c r="X99" s="47" t="str">
        <f>IFERROR(VLOOKUP($A$1&amp;"-"&amp;ROW(AJ98),基本資料填寫!$A:$DN,COLUMN(基本資料填寫!CJ99),0),"")</f>
        <v/>
      </c>
      <c r="Y99" s="47" t="str">
        <f>IFERROR(VLOOKUP($A$1&amp;"-"&amp;ROW(AK98),基本資料填寫!$A:$DN,COLUMN(基本資料填寫!CK99),0),"")</f>
        <v/>
      </c>
      <c r="Z99" s="47" t="str">
        <f>IFERROR(VLOOKUP($A$1&amp;"-"&amp;ROW(AM98),基本資料填寫!$A:$DN,COLUMN(基本資料填寫!CN99),0),"")</f>
        <v/>
      </c>
      <c r="AA99" s="47" t="str">
        <f>IFERROR(VLOOKUP($A$1&amp;"-"&amp;ROW(AN98),基本資料填寫!$A:$DN,COLUMN(基本資料填寫!CO99),0),"")</f>
        <v/>
      </c>
      <c r="AB99" s="47" t="str">
        <f>IFERROR(VLOOKUP($A$1&amp;"-"&amp;ROW(AO98),基本資料填寫!$A:$DN,COLUMN(基本資料填寫!CP99),0),"")</f>
        <v/>
      </c>
    </row>
    <row r="100" spans="2:28" x14ac:dyDescent="0.3">
      <c r="B100" s="2" t="str">
        <f>IF(C100="","",COUNTA($C$2:C100))</f>
        <v/>
      </c>
      <c r="C100" s="47" t="str">
        <f>IFERROR(VLOOKUP($A$1&amp;"-"&amp;ROW(C99),基本資料填寫!$A:$DN,COLUMN(基本資料填寫!S100),0),"")</f>
        <v/>
      </c>
      <c r="D100" s="47" t="str">
        <f>IFERROR(VLOOKUP($A$1&amp;"-"&amp;ROW(D99),基本資料填寫!$A:$DN,COLUMN(基本資料填寫!V100),0),"")</f>
        <v/>
      </c>
      <c r="E100" s="47" t="str">
        <f>IFERROR(VLOOKUP($A$1&amp;"-"&amp;ROW(E99),基本資料填寫!$A:$DN,COLUMN(基本資料填寫!BW100),0),"")</f>
        <v/>
      </c>
      <c r="F100" s="47" t="str">
        <f>IFERROR(VLOOKUP($A$1&amp;"-"&amp;ROW(F99),基本資料填寫!$A:$DN,COLUMN(基本資料填寫!AN100),0),"")</f>
        <v/>
      </c>
      <c r="G100" s="47" t="str">
        <f>IFERROR(VLOOKUP($A$1&amp;"-"&amp;ROW(H99),基本資料填寫!$A:$DN,COLUMN(基本資料填寫!R100),0),"")</f>
        <v/>
      </c>
      <c r="H100" s="47" t="str">
        <f>IFERROR(VLOOKUP($A$1&amp;"-"&amp;ROW(X99),基本資料填寫!$A:$DN,COLUMN(基本資料填寫!BX100),0),"")</f>
        <v/>
      </c>
      <c r="I100" s="47" t="str">
        <f>IFERROR(VLOOKUP($A$1&amp;"-"&amp;ROW(P99),基本資料填寫!$A:$DN,COLUMN(基本資料填寫!Z100),0),"")</f>
        <v/>
      </c>
      <c r="J100" s="47" t="str">
        <f>IFERROR(VLOOKUP($A$1&amp;"-"&amp;ROW(Q99),基本資料填寫!$A:$DN,COLUMN(基本資料填寫!AA100),0),"")</f>
        <v/>
      </c>
      <c r="K100" s="47" t="str">
        <f>IFERROR(VLOOKUP($A$1&amp;"-"&amp;ROW(Y99),基本資料填寫!$A:$DN,COLUMN(基本資料填寫!BY100),0),"")</f>
        <v/>
      </c>
      <c r="L100" s="47" t="str">
        <f>IFERROR(VLOOKUP($A$1&amp;"-"&amp;ROW(Z99),基本資料填寫!$A:$DN,COLUMN(基本資料填寫!BZ100),0),"")</f>
        <v/>
      </c>
      <c r="M100" s="47" t="str">
        <f>IFERROR(VLOOKUP($A$1&amp;"-"&amp;ROW(AA99),基本資料填寫!$A:$DN,COLUMN(基本資料填寫!CA100),0),"")</f>
        <v/>
      </c>
      <c r="N100" s="47" t="str">
        <f>IFERROR(VLOOKUP($A$1&amp;"-"&amp;ROW(G99),基本資料填寫!$A:$DN,COLUMN(基本資料填寫!AO100),0),"")</f>
        <v/>
      </c>
      <c r="O100" s="47" t="str">
        <f>IFERROR(VLOOKUP($A$1&amp;"-"&amp;ROW(AB99),基本資料填寫!$A:$DN,COLUMN(基本資料填寫!CB100),0),"")</f>
        <v/>
      </c>
      <c r="P100" s="47" t="str">
        <f>IFERROR(VLOOKUP($A$1&amp;"-"&amp;ROW(AC99),基本資料填寫!$A:$DN,COLUMN(基本資料填寫!CC100),0),"")</f>
        <v/>
      </c>
      <c r="Q100" s="47" t="str">
        <f>IFERROR(VLOOKUP($A$1&amp;"-"&amp;ROW(AD99),基本資料填寫!$A:$DN,COLUMN(基本資料填寫!CD100),0),"")</f>
        <v/>
      </c>
      <c r="R100" s="47" t="str">
        <f>IFERROR(VLOOKUP($A$1&amp;"-"&amp;ROW(AE99),基本資料填寫!$A:$DN,COLUMN(基本資料填寫!CE100),0),"")</f>
        <v/>
      </c>
      <c r="S100" s="47" t="str">
        <f>IFERROR(VLOOKUP($A$1&amp;"-"&amp;ROW(AF99),基本資料填寫!$A:$DN,COLUMN(基本資料填寫!CF100),0),"")</f>
        <v/>
      </c>
      <c r="T100" s="47" t="str">
        <f>IFERROR(VLOOKUP($A$1&amp;"-"&amp;ROW(AG99),基本資料填寫!$A:$DN,COLUMN(基本資料填寫!CG100),0),"")</f>
        <v/>
      </c>
      <c r="U100" s="47" t="str">
        <f>IFERROR(VLOOKUP($A$1&amp;"-"&amp;ROW(AH99),基本資料填寫!$A:$DN,COLUMN(基本資料填寫!CH100),0),"")</f>
        <v/>
      </c>
      <c r="V100" s="47" t="str">
        <f>IFERROR(VLOOKUP($A$1&amp;"-"&amp;ROW(AI99),基本資料填寫!$A:$DN,COLUMN(基本資料填寫!CI100),0),"")</f>
        <v/>
      </c>
      <c r="W100" s="47" t="str">
        <f>IFERROR(VLOOKUP($A$1&amp;"-"&amp;ROW(E99),基本資料填寫!$A:$DN,COLUMN(基本資料填寫!O100),0),"")</f>
        <v/>
      </c>
      <c r="X100" s="47" t="str">
        <f>IFERROR(VLOOKUP($A$1&amp;"-"&amp;ROW(AJ99),基本資料填寫!$A:$DN,COLUMN(基本資料填寫!CJ100),0),"")</f>
        <v/>
      </c>
      <c r="Y100" s="47" t="str">
        <f>IFERROR(VLOOKUP($A$1&amp;"-"&amp;ROW(AK99),基本資料填寫!$A:$DN,COLUMN(基本資料填寫!CK100),0),"")</f>
        <v/>
      </c>
      <c r="Z100" s="47" t="str">
        <f>IFERROR(VLOOKUP($A$1&amp;"-"&amp;ROW(AM99),基本資料填寫!$A:$DN,COLUMN(基本資料填寫!CN100),0),"")</f>
        <v/>
      </c>
      <c r="AA100" s="47" t="str">
        <f>IFERROR(VLOOKUP($A$1&amp;"-"&amp;ROW(AN99),基本資料填寫!$A:$DN,COLUMN(基本資料填寫!CO100),0),"")</f>
        <v/>
      </c>
      <c r="AB100" s="47" t="str">
        <f>IFERROR(VLOOKUP($A$1&amp;"-"&amp;ROW(AO99),基本資料填寫!$A:$DN,COLUMN(基本資料填寫!CP100),0),"")</f>
        <v/>
      </c>
    </row>
    <row r="101" spans="2:28" s="24" customFormat="1" x14ac:dyDescent="0.3">
      <c r="B101" s="23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</sheetData>
  <sheetProtection sheet="1" formatCells="0" formatColumns="0" formatRows="0" insertColumns="0" insertRows="0" insertHyperlinks="0" deleteColumns="0" deleteRows="0" sort="0" autoFilter="0" pivotTables="0"/>
  <phoneticPr fontId="8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4DB9F4-74C7-45E8-A4CD-CB7DB8BFD826}">
          <x14:formula1>
            <xm:f>清單及說明!$A$2:$A$3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62EA-DF53-457A-ADBC-52D5F3433C2C}">
  <dimension ref="A1:BO101"/>
  <sheetViews>
    <sheetView zoomScale="55" zoomScaleNormal="55" workbookViewId="0">
      <pane ySplit="1" topLeftCell="A2" activePane="bottomLeft" state="frozen"/>
      <selection pane="bottomLeft" activeCell="N24" sqref="N24"/>
    </sheetView>
  </sheetViews>
  <sheetFormatPr defaultColWidth="8.77734375" defaultRowHeight="16.2" x14ac:dyDescent="0.3"/>
  <cols>
    <col min="1" max="1" width="4.109375" style="6" bestFit="1" customWidth="1"/>
    <col min="2" max="2" width="12.6640625" style="55" customWidth="1"/>
    <col min="3" max="3" width="13.6640625" style="47" customWidth="1"/>
    <col min="4" max="4" width="13" style="47" bestFit="1" customWidth="1"/>
    <col min="5" max="5" width="9.21875" style="47" customWidth="1"/>
    <col min="6" max="6" width="4.44140625" style="151" customWidth="1"/>
    <col min="7" max="7" width="13" style="47" bestFit="1" customWidth="1"/>
    <col min="8" max="8" width="9.88671875" style="47" customWidth="1"/>
    <col min="9" max="9" width="37.33203125" style="47" bestFit="1" customWidth="1"/>
    <col min="10" max="10" width="26.21875" style="47" customWidth="1"/>
    <col min="11" max="25" width="8.77734375" style="47"/>
    <col min="26" max="26" width="19.88671875" style="47" customWidth="1"/>
    <col min="27" max="30" width="8.77734375" style="47"/>
    <col min="31" max="31" width="11.21875" style="47" customWidth="1"/>
    <col min="32" max="32" width="5.77734375" style="47" bestFit="1" customWidth="1"/>
    <col min="33" max="33" width="9.33203125" style="47" bestFit="1" customWidth="1"/>
    <col min="34" max="34" width="12.88671875" style="47" bestFit="1" customWidth="1"/>
    <col min="35" max="35" width="8.77734375" style="47"/>
    <col min="36" max="36" width="11.6640625" style="47" bestFit="1" customWidth="1"/>
    <col min="37" max="37" width="8.77734375" style="47"/>
    <col min="38" max="38" width="45" style="47" bestFit="1" customWidth="1"/>
    <col min="39" max="41" width="8.77734375" style="47"/>
    <col min="42" max="42" width="14.33203125" style="226" customWidth="1"/>
    <col min="43" max="44" width="20.44140625" style="226" customWidth="1"/>
    <col min="45" max="45" width="38.33203125" style="227" customWidth="1"/>
    <col min="46" max="46" width="20.44140625" style="227" customWidth="1"/>
    <col min="47" max="47" width="14.33203125" style="226" customWidth="1"/>
    <col min="48" max="49" width="20.44140625" style="226" customWidth="1"/>
    <col min="50" max="50" width="55" style="227" customWidth="1"/>
    <col min="51" max="51" width="41.21875" style="227" customWidth="1"/>
    <col min="52" max="52" width="14.33203125" style="226" customWidth="1"/>
    <col min="53" max="54" width="20.44140625" style="226" customWidth="1"/>
    <col min="55" max="56" width="20.44140625" style="227" customWidth="1"/>
    <col min="57" max="57" width="14.33203125" style="226" customWidth="1"/>
    <col min="58" max="59" width="20.44140625" style="226" customWidth="1"/>
    <col min="60" max="61" width="20.44140625" style="227" customWidth="1"/>
    <col min="62" max="62" width="14.33203125" style="226" customWidth="1"/>
    <col min="63" max="64" width="20.44140625" style="226" customWidth="1"/>
    <col min="65" max="66" width="20.44140625" style="227" customWidth="1"/>
    <col min="67" max="67" width="17.109375" style="180" customWidth="1"/>
    <col min="68" max="16384" width="8.77734375" style="6"/>
  </cols>
  <sheetData>
    <row r="1" spans="1:67" s="9" customFormat="1" ht="43.95" customHeight="1" x14ac:dyDescent="0.3">
      <c r="A1" s="8" t="s">
        <v>113</v>
      </c>
      <c r="B1" s="250" t="s">
        <v>55</v>
      </c>
      <c r="C1" s="219" t="s">
        <v>8</v>
      </c>
      <c r="D1" s="219" t="s">
        <v>57</v>
      </c>
      <c r="E1" s="221" t="s">
        <v>107</v>
      </c>
      <c r="F1" s="222" t="s">
        <v>15</v>
      </c>
      <c r="G1" s="219" t="s">
        <v>70</v>
      </c>
      <c r="H1" s="219" t="s">
        <v>61</v>
      </c>
      <c r="I1" s="219" t="s">
        <v>108</v>
      </c>
      <c r="J1" s="219" t="s">
        <v>14</v>
      </c>
      <c r="K1" s="219" t="s">
        <v>62</v>
      </c>
      <c r="L1" s="219" t="s">
        <v>2</v>
      </c>
      <c r="M1" s="219" t="s">
        <v>3</v>
      </c>
      <c r="N1" s="219" t="s">
        <v>17</v>
      </c>
      <c r="O1" s="219" t="s">
        <v>65</v>
      </c>
      <c r="P1" s="219" t="s">
        <v>22</v>
      </c>
      <c r="Q1" s="219" t="s">
        <v>66</v>
      </c>
      <c r="R1" s="219" t="s">
        <v>19</v>
      </c>
      <c r="S1" s="219" t="s">
        <v>12</v>
      </c>
      <c r="T1" s="219" t="s">
        <v>16</v>
      </c>
      <c r="U1" s="219" t="s">
        <v>67</v>
      </c>
      <c r="V1" s="219" t="s">
        <v>18</v>
      </c>
      <c r="W1" s="219" t="s">
        <v>68</v>
      </c>
      <c r="X1" s="219" t="s">
        <v>21</v>
      </c>
      <c r="Y1" s="219" t="s">
        <v>20</v>
      </c>
      <c r="Z1" s="219" t="s">
        <v>69</v>
      </c>
      <c r="AA1" s="219" t="s">
        <v>63</v>
      </c>
      <c r="AB1" s="219" t="s">
        <v>64</v>
      </c>
      <c r="AC1" s="219" t="s">
        <v>109</v>
      </c>
      <c r="AD1" s="219" t="s">
        <v>110</v>
      </c>
      <c r="AE1" s="219" t="s">
        <v>111</v>
      </c>
      <c r="AF1" s="218" t="s">
        <v>4</v>
      </c>
      <c r="AG1" s="219" t="s">
        <v>6</v>
      </c>
      <c r="AH1" s="220" t="s">
        <v>7</v>
      </c>
      <c r="AI1" s="220" t="s">
        <v>25</v>
      </c>
      <c r="AJ1" s="220" t="s">
        <v>26</v>
      </c>
      <c r="AK1" s="219" t="s">
        <v>9</v>
      </c>
      <c r="AL1" s="220" t="s">
        <v>10</v>
      </c>
      <c r="AM1" s="220" t="s">
        <v>11</v>
      </c>
      <c r="AN1" s="219" t="s">
        <v>1</v>
      </c>
      <c r="AO1" s="219" t="s">
        <v>0</v>
      </c>
      <c r="AP1" s="219" t="s">
        <v>27</v>
      </c>
      <c r="AQ1" s="219" t="s">
        <v>32</v>
      </c>
      <c r="AR1" s="219" t="s">
        <v>28</v>
      </c>
      <c r="AS1" s="219" t="s">
        <v>42</v>
      </c>
      <c r="AT1" s="219" t="s">
        <v>43</v>
      </c>
      <c r="AU1" s="219" t="s">
        <v>33</v>
      </c>
      <c r="AV1" s="219" t="s">
        <v>34</v>
      </c>
      <c r="AW1" s="219" t="s">
        <v>29</v>
      </c>
      <c r="AX1" s="219" t="s">
        <v>44</v>
      </c>
      <c r="AY1" s="219" t="s">
        <v>45</v>
      </c>
      <c r="AZ1" s="219" t="s">
        <v>30</v>
      </c>
      <c r="BA1" s="219" t="s">
        <v>35</v>
      </c>
      <c r="BB1" s="219" t="s">
        <v>36</v>
      </c>
      <c r="BC1" s="219" t="s">
        <v>46</v>
      </c>
      <c r="BD1" s="219" t="s">
        <v>47</v>
      </c>
      <c r="BE1" s="219" t="s">
        <v>37</v>
      </c>
      <c r="BF1" s="219" t="s">
        <v>38</v>
      </c>
      <c r="BG1" s="219" t="s">
        <v>39</v>
      </c>
      <c r="BH1" s="219" t="s">
        <v>48</v>
      </c>
      <c r="BI1" s="219" t="s">
        <v>49</v>
      </c>
      <c r="BJ1" s="219" t="s">
        <v>31</v>
      </c>
      <c r="BK1" s="219" t="s">
        <v>40</v>
      </c>
      <c r="BL1" s="219" t="s">
        <v>41</v>
      </c>
      <c r="BM1" s="219" t="s">
        <v>50</v>
      </c>
      <c r="BN1" s="219" t="s">
        <v>51</v>
      </c>
      <c r="BO1" s="223" t="s">
        <v>13</v>
      </c>
    </row>
    <row r="2" spans="1:67" x14ac:dyDescent="0.3">
      <c r="B2" s="47" t="str">
        <f>IFERROR(VLOOKUP($A$1&amp;"-"&amp;ROW(A1),基本資料填寫!$A:$DN,COLUMN(基本資料填寫!K2),0),"")</f>
        <v>待送出</v>
      </c>
      <c r="C2" s="47" t="str">
        <f>IFERROR(VLOOKUP($A$1&amp;"-"&amp;ROW(B1),基本資料填寫!$A:$DN,COLUMN(基本資料填寫!L2),0),"")</f>
        <v>A0073</v>
      </c>
      <c r="D2" s="47">
        <f>IF(E2="","",COUNTA($E$2:E2))</f>
        <v>1</v>
      </c>
      <c r="E2" s="47" t="str">
        <f>IFERROR(VLOOKUP($A$1&amp;"-"&amp;ROW(E1),基本資料填寫!$A:$DN,COLUMN(基本資料填寫!S2),0),"")</f>
        <v>5965</v>
      </c>
      <c r="G2" s="47" t="str">
        <f>IFERROR(VLOOKUP($A$1&amp;"-"&amp;ROW(G1),基本資料填寫!$A:$DN,COLUMN(基本資料填寫!V2),0),"")</f>
        <v>YETL申請中</v>
      </c>
      <c r="H2" s="47" t="str">
        <f>IFERROR(VLOOKUP($A$1&amp;"-"&amp;ROW(BI1),基本資料填寫!$A:$DN,COLUMN(基本資料填寫!BW2),0),"")</f>
        <v>C35</v>
      </c>
      <c r="I2" s="47" t="str">
        <f>IFERROR(VLOOKUP($A$1&amp;"-"&amp;ROW(I1),基本資料填寫!$A:$DN,COLUMN(基本資料填寫!AN2),0),"")</f>
        <v xml:space="preserve">	HEADSET-CHEST SET,ELECTRICAL</v>
      </c>
      <c r="J2" s="47" t="str">
        <f>IFERROR(VLOOKUP($A$1&amp;"-"&amp;ROW(K1),基本資料填寫!$A:$DN,COLUMN(基本資料填寫!R2),0),"")</f>
        <v>頭戴式聲力電話</v>
      </c>
      <c r="K2" s="47" t="str">
        <f>IFERROR(VLOOKUP($A$1&amp;"-"&amp;ROW(AA1),基本資料填寫!$A:$DN,COLUMN(基本資料填寫!BX2),0),"")</f>
        <v>B21317</v>
      </c>
      <c r="L2" s="47" t="str">
        <f>IFERROR(VLOOKUP($A$1&amp;"-"&amp;ROW(S1),基本資料填寫!$A:$DN,COLUMN(基本資料填寫!Z2),0),"")</f>
        <v>EA</v>
      </c>
      <c r="M2" s="47">
        <f>IFERROR(VLOOKUP($A$1&amp;"-"&amp;ROW(T1),基本資料填寫!$A:$DN,COLUMN(基本資料填寫!AA2),0),"")</f>
        <v>1200</v>
      </c>
      <c r="N2" s="47" t="str">
        <f>IFERROR(VLOOKUP($A$1&amp;"-"&amp;ROW(AB1),基本資料填寫!$A:$DN,COLUMN(基本資料填寫!BY2),0),"")</f>
        <v>1</v>
      </c>
      <c r="O2" s="47" t="str">
        <f>IFERROR(VLOOKUP($A$1&amp;"-"&amp;ROW(AC1),基本資料填寫!$A:$DN,COLUMN(基本資料填寫!BZ2),0),"")</f>
        <v>0</v>
      </c>
      <c r="P2" s="47" t="str">
        <f>IFERROR(VLOOKUP($A$1&amp;"-"&amp;ROW(AD1),基本資料填寫!$A:$DN,COLUMN(基本資料填寫!CA2),0),"")</f>
        <v>C</v>
      </c>
      <c r="Q2" s="47" t="str">
        <f>IFERROR(VLOOKUP($A$1&amp;"-"&amp;ROW(J1),基本資料填寫!$A:$DN,COLUMN(基本資料填寫!AO2),0),"")</f>
        <v>00710</v>
      </c>
      <c r="R2" s="47" t="str">
        <f>IFERROR(VLOOKUP($A$1&amp;"-"&amp;ROW(AE1),基本資料填寫!$A:$DN,COLUMN(基本資料填寫!CB2),0),"")</f>
        <v>U</v>
      </c>
      <c r="S2" s="47" t="str">
        <f>IFERROR(VLOOKUP($A$1&amp;"-"&amp;ROW(AF1),基本資料填寫!$A:$DN,COLUMN(基本資料填寫!CC2),0),"")</f>
        <v>M</v>
      </c>
      <c r="T2" s="47" t="str">
        <f>IFERROR(VLOOKUP($A$1&amp;"-"&amp;ROW(AG1),基本資料填寫!$A:$DN,COLUMN(基本資料填寫!CD2),0),"")</f>
        <v>E</v>
      </c>
      <c r="U2" s="47" t="str">
        <f>IFERROR(VLOOKUP($A$1&amp;"-"&amp;ROW(AH1),基本資料填寫!$A:$DN,COLUMN(基本資料填寫!CE2),0),"")</f>
        <v>C</v>
      </c>
      <c r="V2" s="47" t="str">
        <f>IFERROR(VLOOKUP($A$1&amp;"-"&amp;ROW(AI1),基本資料填寫!$A:$DN,COLUMN(基本資料填寫!CF2),0),"")</f>
        <v>A</v>
      </c>
      <c r="W2" s="47" t="str">
        <f>IFERROR(VLOOKUP($A$1&amp;"-"&amp;ROW(AJ1),基本資料填寫!$A:$DN,COLUMN(基本資料填寫!CG2),0),"")</f>
        <v>00</v>
      </c>
      <c r="X2" s="47" t="str">
        <f>IFERROR(VLOOKUP($A$1&amp;"-"&amp;ROW(AK1),基本資料填寫!$A:$DN,COLUMN(基本資料填寫!CH2),0),"")</f>
        <v>E</v>
      </c>
      <c r="Y2" s="47" t="str">
        <f>IFERROR(VLOOKUP($A$1&amp;"-"&amp;ROW(AL1),基本資料填寫!$A:$DN,COLUMN(基本資料填寫!CI2),0),"")</f>
        <v>0</v>
      </c>
      <c r="Z2" s="47" t="str">
        <f>IFERROR(VLOOKUP($A$1&amp;"-"&amp;ROW(H1),基本資料填寫!$A:$DN,COLUMN(基本資料填寫!O2),0),"")</f>
        <v>350.500</v>
      </c>
      <c r="AA2" s="47" t="str">
        <f>IFERROR(VLOOKUP($A$1&amp;"-"&amp;ROW(AM1),基本資料填寫!$A:$DN,COLUMN(基本資料填寫!CJ2),0),"")</f>
        <v>A</v>
      </c>
      <c r="AB2" s="47" t="str">
        <f>IFERROR(VLOOKUP($A$1&amp;"-"&amp;ROW(AN1),基本資料填寫!$A:$DN,COLUMN(基本資料填寫!CK2),0),"")</f>
        <v>1973B</v>
      </c>
      <c r="AC2" s="47" t="str">
        <f>IFERROR(VLOOKUP($A$1&amp;"-"&amp;ROW(AP1),基本資料填寫!$A:$DN,COLUMN(基本資料填寫!CN2),0),"")</f>
        <v>2</v>
      </c>
      <c r="AD2" s="47">
        <f>IFERROR(VLOOKUP($A$1&amp;"-"&amp;ROW(AQ1),基本資料填寫!$A:$DN,COLUMN(基本資料填寫!CO2),0),"")</f>
        <v>3</v>
      </c>
      <c r="AE2" s="47" t="str">
        <f>IFERROR(VLOOKUP($A$1&amp;"-"&amp;ROW(AR1),基本資料填寫!$A:$DN,COLUMN(基本資料填寫!CP2),0),"")</f>
        <v>27NYE0823</v>
      </c>
      <c r="AF2" s="47" t="str">
        <f>IFERROR(VLOOKUP($A$1&amp;"-"&amp;ROW(AS1),基本資料填寫!$A:$DN,COLUMN(基本資料填寫!CQ2),0),"")</f>
        <v>FFG</v>
      </c>
      <c r="AG2" s="47" t="str">
        <f>IFERROR(VLOOKUP($A$1&amp;"-"&amp;ROW(AT1),基本資料填寫!$A:$DN,COLUMN(基本資料填寫!CR2),0),"")</f>
        <v>TA-4CI</v>
      </c>
      <c r="AH2" s="47" t="str">
        <f>IFERROR(VLOOKUP($A$1&amp;"-"&amp;ROW(AU1),基本資料填寫!$A:$DN,COLUMN(基本資料填寫!CS2),0),"")</f>
        <v>聲力電話系統</v>
      </c>
      <c r="AI2" s="47" t="str">
        <f>IFERROR(VLOOKUP($A$1&amp;"-"&amp;ROW(P1),基本資料填寫!$A:$DN,COLUMN(基本資料填寫!X2),0),"")</f>
        <v>1</v>
      </c>
      <c r="AJ2" s="47" t="str">
        <f>IFERROR(VLOOKUP($A$1&amp;"-"&amp;ROW(AV1),基本資料填寫!$A:$DN,COLUMN(基本資料填寫!CT2),0),"")</f>
        <v>前/後機艙</v>
      </c>
      <c r="AK2" s="47" t="str">
        <f>IFERROR(VLOOKUP($A$1&amp;"-"&amp;ROW(AC1),基本資料填寫!$A:$DN,COLUMN(基本資料填寫!AQ2),0),"")</f>
        <v>聲力電話系統技術手冊</v>
      </c>
      <c r="AL2" s="47" t="str">
        <f>IFERROR(VLOOKUP($A$1&amp;"-"&amp;ROW(AO1),基本資料填寫!$A:$DN,COLUMN(基本資料填寫!CM2),0),"")</f>
        <v>SCM SISTEMAS,S.L.</v>
      </c>
      <c r="AM2" s="47" t="str">
        <f>IFERROR(VLOOKUP($A$1&amp;"-"&amp;ROW(AD1),基本資料填寫!$A:$DN,COLUMN(基本資料填寫!AR2),0),"")</f>
        <v>堃翊工程有限公司</v>
      </c>
      <c r="AN2" s="47" t="str">
        <f>IFERROR(VLOOKUP($A$1&amp;"-"&amp;ROW(K1),基本資料填寫!$A:$DN,COLUMN(基本資料填寫!AP2),0),"")</f>
        <v>A545Q0</v>
      </c>
      <c r="AO2" s="47" t="str">
        <f>IFERROR(VLOOKUP($A$1&amp;"-"&amp;ROW(J1),基本資料填寫!$A:$DN,COLUMN(基本資料填寫!AO2),0),"")</f>
        <v>00710</v>
      </c>
      <c r="AP2" s="47" t="str">
        <f>IFERROR(VLOOKUP($A$1&amp;"-"&amp;ROW(AE1),基本資料填寫!$A:$DN,COLUMN(基本資料填寫!AS2),0),"")</f>
        <v>CLQL</v>
      </c>
      <c r="AQ2" s="47" t="str">
        <f>IFERROR(VLOOKUP($A$1&amp;"-"&amp;ROW(AF1),基本資料填寫!$A:$DN,COLUMN(基本資料填寫!AT2),0),"")</f>
        <v>COLLOQUIAL NAME</v>
      </c>
      <c r="AR2" s="47" t="str">
        <f>IFERROR(VLOOKUP($A$1&amp;"-"&amp;ROW(AG1),基本資料填寫!$A:$DN,COLUMN(基本資料填寫!AU2),0),"")</f>
        <v>口語名稱</v>
      </c>
      <c r="AS2" s="47" t="str">
        <f>IFERROR(VLOOKUP($A$1&amp;"-"&amp;ROW(AH1),基本資料填寫!$A:$DN,COLUMN(基本資料填寫!AV2),0),"")</f>
        <v>Portable chest head sound powered telephone (with/without foot switch)</v>
      </c>
      <c r="AT2" s="47" t="str">
        <f>IFERROR(VLOOKUP($A$1&amp;"-"&amp;ROW(AI1),基本資料填寫!$A:$DN,COLUMN(基本資料填寫!AW2),0),"")</f>
        <v>頭戴式聲力電話(頭戴型及腳控型)</v>
      </c>
      <c r="AU2" s="47" t="str">
        <f>IFERROR(VLOOKUP($A$1&amp;"-"&amp;ROW(AJ1),基本資料填寫!$A:$DN,COLUMN(基本資料填寫!AX2),0),"")</f>
        <v>AHES</v>
      </c>
      <c r="AV2" s="47" t="str">
        <f>IFERROR(VLOOKUP($A$1&amp;"-"&amp;ROW(AK1),基本資料填寫!$A:$DN,COLUMN(基本資料填寫!AY2),0),"")</f>
        <v>EARPHONE QUANTITY</v>
      </c>
      <c r="AW2" s="47" t="str">
        <f>IFERROR(VLOOKUP($A$1&amp;"-"&amp;ROW(AL1),基本資料填寫!$A:$DN,COLUMN(基本資料填寫!AZ2),0),"")</f>
        <v>耳機數量</v>
      </c>
      <c r="AX2" s="47">
        <f>IFERROR(VLOOKUP($A$1&amp;"-"&amp;ROW(AM1),基本資料填寫!$A:$DN,COLUMN(基本資料填寫!BA2),0),"")</f>
        <v>2</v>
      </c>
      <c r="AY2" s="47" t="str">
        <f>IFERROR(VLOOKUP($A$1&amp;"-"&amp;ROW(AN1),基本資料填寫!$A:$DN,COLUMN(基本資料填寫!BB2),0),"")</f>
        <v>2，左右耳</v>
      </c>
      <c r="AZ2" s="47" t="str">
        <f>IFERROR(VLOOKUP($A$1&amp;"-"&amp;ROW(AO1),基本資料填寫!$A:$DN,COLUMN(基本資料填寫!BC2),0),"")</f>
        <v>CBBL</v>
      </c>
      <c r="BA2" s="47" t="str">
        <f>IFERROR(VLOOKUP($A$1&amp;"-"&amp;ROW(AP1),基本資料填寫!$A:$DN,COLUMN(基本資料填寫!BD2),0),"")</f>
        <v>FEATURES PROVIDED</v>
      </c>
      <c r="BB2" s="47" t="str">
        <f>IFERROR(VLOOKUP($A$1&amp;"-"&amp;ROW(AQ1),基本資料填寫!$A:$DN,COLUMN(基本資料填寫!BE2),0),"")</f>
        <v>提供的附加功能</v>
      </c>
      <c r="BC2" s="47" t="str">
        <f>IFERROR(VLOOKUP($A$1&amp;"-"&amp;ROW(AR1),基本資料填寫!$A:$DN,COLUMN(基本資料填寫!BF2),0),"")</f>
        <v>FOOT SWITCH (TA-PC-FS only)</v>
      </c>
      <c r="BD2" s="47" t="str">
        <f>IFERROR(VLOOKUP($A$1&amp;"-"&amp;ROW(AS1),基本資料填寫!$A:$DN,COLUMN(基本資料填寫!BG2),0),"")</f>
        <v>腳控發話功能（僅限 TA-PC-FS）</v>
      </c>
      <c r="BE2" s="47">
        <f>IFERROR(VLOOKUP($A$1&amp;"-"&amp;ROW(AT1),基本資料填寫!$A:$DN,COLUMN(基本資料填寫!BH2),0),"")</f>
        <v>0</v>
      </c>
      <c r="BF2" s="47">
        <f>IFERROR(VLOOKUP($A$1&amp;"-"&amp;ROW(AU1),基本資料填寫!$A:$DN,COLUMN(基本資料填寫!BI2),0),"")</f>
        <v>0</v>
      </c>
      <c r="BG2" s="47">
        <f>IFERROR(VLOOKUP($A$1&amp;"-"&amp;ROW(AV1),基本資料填寫!$A:$DN,COLUMN(基本資料填寫!BJ2),0),"")</f>
        <v>0</v>
      </c>
      <c r="BH2" s="47">
        <f>IFERROR(VLOOKUP($A$1&amp;"-"&amp;ROW(AW1),基本資料填寫!$A:$DN,COLUMN(基本資料填寫!BK2),0),"")</f>
        <v>0</v>
      </c>
      <c r="BI2" s="47">
        <f>IFERROR(VLOOKUP($A$1&amp;"-"&amp;ROW(AX1),基本資料填寫!$A:$DN,COLUMN(基本資料填寫!BL2),0),"")</f>
        <v>0</v>
      </c>
      <c r="BJ2" s="47">
        <f>IFERROR(VLOOKUP($A$1&amp;"-"&amp;ROW(AY1),基本資料填寫!$A:$DN,COLUMN(基本資料填寫!BM2),0),"")</f>
        <v>0</v>
      </c>
      <c r="BK2" s="47">
        <f>IFERROR(VLOOKUP($A$1&amp;"-"&amp;ROW(AZ1),基本資料填寫!$A:$DN,COLUMN(基本資料填寫!BN2),0),"")</f>
        <v>0</v>
      </c>
      <c r="BL2" s="47">
        <f>IFERROR(VLOOKUP($A$1&amp;"-"&amp;ROW(BA1),基本資料填寫!$A:$DN,COLUMN(基本資料填寫!BO2),0),"")</f>
        <v>0</v>
      </c>
      <c r="BM2" s="47">
        <f>IFERROR(VLOOKUP($A$1&amp;"-"&amp;ROW(BB1),基本資料填寫!$A:$DN,COLUMN(基本資料填寫!BP2),0),"")</f>
        <v>0</v>
      </c>
      <c r="BN2" s="47">
        <f>IFERROR(VLOOKUP($A$1&amp;"-"&amp;ROW(BC1),基本資料填寫!$A:$DN,COLUMN(基本資料填寫!BQ2),0),"")</f>
        <v>0</v>
      </c>
      <c r="BO2" s="47" t="str">
        <f>IFERROR(VLOOKUP($A$1&amp;"-"&amp;ROW(BD1),基本資料填寫!$A:$DN,COLUMN(基本資料填寫!BR2),0),"")</f>
        <v>C:\\SynologyDrive\\01 JSSC專案\\12 料號申編\\06 次要裝備\\50 聲力電話\\圖片\\06.頭戴式.jpg</v>
      </c>
    </row>
    <row r="3" spans="1:67" x14ac:dyDescent="0.3">
      <c r="B3" s="47" t="str">
        <f>IFERROR(VLOOKUP($A$1&amp;"-"&amp;ROW(A2),基本資料填寫!$A:$DN,COLUMN(基本資料填寫!K3),0),"")</f>
        <v>待送出</v>
      </c>
      <c r="C3" s="47" t="str">
        <f>IFERROR(VLOOKUP($A$1&amp;"-"&amp;ROW(B2),基本資料填寫!$A:$DN,COLUMN(基本資料填寫!L3),0),"")</f>
        <v>A0074</v>
      </c>
      <c r="D3" s="47">
        <f>IF(E3="","",COUNTA($E$2:E3))</f>
        <v>2</v>
      </c>
      <c r="E3" s="47" t="str">
        <f>IFERROR(VLOOKUP($A$1&amp;"-"&amp;ROW(E2),基本資料填寫!$A:$DN,COLUMN(基本資料填寫!S3),0),"")</f>
        <v>5965</v>
      </c>
      <c r="G3" s="47" t="str">
        <f>IFERROR(VLOOKUP($A$1&amp;"-"&amp;ROW(G2),基本資料填寫!$A:$DN,COLUMN(基本資料填寫!V3),0),"")</f>
        <v>YETL申請中</v>
      </c>
      <c r="H3" s="47" t="str">
        <f>IFERROR(VLOOKUP($A$1&amp;"-"&amp;ROW(BI2),基本資料填寫!$A:$DN,COLUMN(基本資料填寫!BW3),0),"")</f>
        <v>C35</v>
      </c>
      <c r="I3" s="47" t="str">
        <f>IFERROR(VLOOKUP($A$1&amp;"-"&amp;ROW(I2),基本資料填寫!$A:$DN,COLUMN(基本資料填寫!AN3),0),"")</f>
        <v>LOUDSPEAKER-AMPLIFIER</v>
      </c>
      <c r="J3" s="47" t="str">
        <f>IFERROR(VLOOKUP($A$1&amp;"-"&amp;ROW(K2),基本資料填寫!$A:$DN,COLUMN(基本資料填寫!R3),0),"")</f>
        <v>聲力電話放大器</v>
      </c>
      <c r="K3" s="47" t="str">
        <f>IFERROR(VLOOKUP($A$1&amp;"-"&amp;ROW(AA2),基本資料填寫!$A:$DN,COLUMN(基本資料填寫!BX3),0),"")</f>
        <v>B21317</v>
      </c>
      <c r="L3" s="47" t="str">
        <f>IFERROR(VLOOKUP($A$1&amp;"-"&amp;ROW(S2),基本資料填寫!$A:$DN,COLUMN(基本資料填寫!Z3),0),"")</f>
        <v>EA</v>
      </c>
      <c r="M3" s="47">
        <f>IFERROR(VLOOKUP($A$1&amp;"-"&amp;ROW(T2),基本資料填寫!$A:$DN,COLUMN(基本資料填寫!AA3),0),"")</f>
        <v>650</v>
      </c>
      <c r="N3" s="47" t="str">
        <f>IFERROR(VLOOKUP($A$1&amp;"-"&amp;ROW(AB2),基本資料填寫!$A:$DN,COLUMN(基本資料填寫!BY3),0),"")</f>
        <v>1</v>
      </c>
      <c r="O3" s="47" t="str">
        <f>IFERROR(VLOOKUP($A$1&amp;"-"&amp;ROW(AC2),基本資料填寫!$A:$DN,COLUMN(基本資料填寫!BZ3),0),"")</f>
        <v>0</v>
      </c>
      <c r="P3" s="47" t="str">
        <f>IFERROR(VLOOKUP($A$1&amp;"-"&amp;ROW(AD2),基本資料填寫!$A:$DN,COLUMN(基本資料填寫!CA3),0),"")</f>
        <v>C</v>
      </c>
      <c r="Q3" s="47" t="str">
        <f>IFERROR(VLOOKUP($A$1&amp;"-"&amp;ROW(J2),基本資料填寫!$A:$DN,COLUMN(基本資料填寫!AO3),0),"")</f>
        <v>52110</v>
      </c>
      <c r="R3" s="47" t="str">
        <f>IFERROR(VLOOKUP($A$1&amp;"-"&amp;ROW(AE2),基本資料填寫!$A:$DN,COLUMN(基本資料填寫!CB3),0),"")</f>
        <v>U</v>
      </c>
      <c r="S3" s="47" t="str">
        <f>IFERROR(VLOOKUP($A$1&amp;"-"&amp;ROW(AF2),基本資料填寫!$A:$DN,COLUMN(基本資料填寫!CC3),0),"")</f>
        <v>M</v>
      </c>
      <c r="T3" s="47" t="str">
        <f>IFERROR(VLOOKUP($A$1&amp;"-"&amp;ROW(AG2),基本資料填寫!$A:$DN,COLUMN(基本資料填寫!CD3),0),"")</f>
        <v>E</v>
      </c>
      <c r="U3" s="47" t="str">
        <f>IFERROR(VLOOKUP($A$1&amp;"-"&amp;ROW(AH2),基本資料填寫!$A:$DN,COLUMN(基本資料填寫!CE3),0),"")</f>
        <v>C</v>
      </c>
      <c r="V3" s="47" t="str">
        <f>IFERROR(VLOOKUP($A$1&amp;"-"&amp;ROW(AI2),基本資料填寫!$A:$DN,COLUMN(基本資料填寫!CF3),0),"")</f>
        <v>A</v>
      </c>
      <c r="W3" s="47" t="str">
        <f>IFERROR(VLOOKUP($A$1&amp;"-"&amp;ROW(AJ2),基本資料填寫!$A:$DN,COLUMN(基本資料填寫!CG3),0),"")</f>
        <v>00</v>
      </c>
      <c r="X3" s="47" t="str">
        <f>IFERROR(VLOOKUP($A$1&amp;"-"&amp;ROW(AK2),基本資料填寫!$A:$DN,COLUMN(基本資料填寫!CH3),0),"")</f>
        <v>E</v>
      </c>
      <c r="Y3" s="47" t="str">
        <f>IFERROR(VLOOKUP($A$1&amp;"-"&amp;ROW(AL2),基本資料填寫!$A:$DN,COLUMN(基本資料填寫!CI3),0),"")</f>
        <v>0</v>
      </c>
      <c r="Z3" s="47" t="str">
        <f>IFERROR(VLOOKUP($A$1&amp;"-"&amp;ROW(H2),基本資料填寫!$A:$DN,COLUMN(基本資料填寫!O3),0),"")</f>
        <v>455.805</v>
      </c>
      <c r="AA3" s="47" t="str">
        <f>IFERROR(VLOOKUP($A$1&amp;"-"&amp;ROW(AM2),基本資料填寫!$A:$DN,COLUMN(基本資料填寫!CJ3),0),"")</f>
        <v>A</v>
      </c>
      <c r="AB3" s="47" t="str">
        <f>IFERROR(VLOOKUP($A$1&amp;"-"&amp;ROW(AN2),基本資料填寫!$A:$DN,COLUMN(基本資料填寫!CK3),0),"")</f>
        <v>1973B</v>
      </c>
      <c r="AC3" s="47" t="str">
        <f>IFERROR(VLOOKUP($A$1&amp;"-"&amp;ROW(AP2),基本資料填寫!$A:$DN,COLUMN(基本資料填寫!CN3),0),"")</f>
        <v>2</v>
      </c>
      <c r="AD3" s="47">
        <f>IFERROR(VLOOKUP($A$1&amp;"-"&amp;ROW(AQ2),基本資料填寫!$A:$DN,COLUMN(基本資料填寫!CO3),0),"")</f>
        <v>3</v>
      </c>
      <c r="AE3" s="47" t="str">
        <f>IFERROR(VLOOKUP($A$1&amp;"-"&amp;ROW(AR2),基本資料填寫!$A:$DN,COLUMN(基本資料填寫!CP3),0),"")</f>
        <v>27NYE0823</v>
      </c>
      <c r="AF3" s="47" t="str">
        <f>IFERROR(VLOOKUP($A$1&amp;"-"&amp;ROW(AS2),基本資料填寫!$A:$DN,COLUMN(基本資料填寫!CQ3),0),"")</f>
        <v>FFG</v>
      </c>
      <c r="AG3" s="47" t="str">
        <f>IFERROR(VLOOKUP($A$1&amp;"-"&amp;ROW(AT2),基本資料填寫!$A:$DN,COLUMN(基本資料填寫!CR3),0),"")</f>
        <v>TA-4CI</v>
      </c>
      <c r="AH3" s="47" t="str">
        <f>IFERROR(VLOOKUP($A$1&amp;"-"&amp;ROW(AU2),基本資料填寫!$A:$DN,COLUMN(基本資料填寫!CS3),0),"")</f>
        <v>聲力電話系統</v>
      </c>
      <c r="AI3" s="47" t="str">
        <f>IFERROR(VLOOKUP($A$1&amp;"-"&amp;ROW(P2),基本資料填寫!$A:$DN,COLUMN(基本資料填寫!X3),0),"")</f>
        <v>1</v>
      </c>
      <c r="AJ3" s="47" t="str">
        <f>IFERROR(VLOOKUP($A$1&amp;"-"&amp;ROW(AV2),基本資料填寫!$A:$DN,COLUMN(基本資料填寫!CT3),0),"")</f>
        <v>前/後機艙</v>
      </c>
      <c r="AK3" s="47" t="str">
        <f>IFERROR(VLOOKUP($A$1&amp;"-"&amp;ROW(AC2),基本資料填寫!$A:$DN,COLUMN(基本資料填寫!AQ3),0),"")</f>
        <v>聲力電話系統技術手冊</v>
      </c>
      <c r="AL3" s="47" t="str">
        <f>IFERROR(VLOOKUP($A$1&amp;"-"&amp;ROW(AO2),基本資料填寫!$A:$DN,COLUMN(基本資料填寫!CM3),0),"")</f>
        <v>SCM SISTEMAS,S.L.</v>
      </c>
      <c r="AM3" s="47" t="str">
        <f>IFERROR(VLOOKUP($A$1&amp;"-"&amp;ROW(AD2),基本資料填寫!$A:$DN,COLUMN(基本資料填寫!AR3),0),"")</f>
        <v>堃翊工程有限公司</v>
      </c>
      <c r="AN3" s="47" t="str">
        <f>IFERROR(VLOOKUP($A$1&amp;"-"&amp;ROW(K2),基本資料填寫!$A:$DN,COLUMN(基本資料填寫!AP3),0),"")</f>
        <v>A11600</v>
      </c>
      <c r="AO3" s="47" t="str">
        <f>IFERROR(VLOOKUP($A$1&amp;"-"&amp;ROW(J2),基本資料填寫!$A:$DN,COLUMN(基本資料填寫!AO3),0),"")</f>
        <v>52110</v>
      </c>
      <c r="AP3" s="47" t="str">
        <f>IFERROR(VLOOKUP($A$1&amp;"-"&amp;ROW(AE2),基本資料填寫!$A:$DN,COLUMN(基本資料填寫!AS3),0),"")</f>
        <v>CLQL</v>
      </c>
      <c r="AQ3" s="47" t="str">
        <f>IFERROR(VLOOKUP($A$1&amp;"-"&amp;ROW(AF2),基本資料填寫!$A:$DN,COLUMN(基本資料填寫!AT3),0),"")</f>
        <v>COLLOQUIAL NAME</v>
      </c>
      <c r="AR3" s="47" t="str">
        <f>IFERROR(VLOOKUP($A$1&amp;"-"&amp;ROW(AG2),基本資料填寫!$A:$DN,COLUMN(基本資料填寫!AU3),0),"")</f>
        <v>口語名稱</v>
      </c>
      <c r="AS3" s="47" t="str">
        <f>IFERROR(VLOOKUP($A$1&amp;"-"&amp;ROW(AH2),基本資料填寫!$A:$DN,COLUMN(基本資料填寫!AV3),0),"")</f>
        <v>Audio Frecuency Amplifie</v>
      </c>
      <c r="AT3" s="47" t="str">
        <f>IFERROR(VLOOKUP($A$1&amp;"-"&amp;ROW(AI2),基本資料填寫!$A:$DN,COLUMN(基本資料填寫!AW3),0),"")</f>
        <v>聲力電話放大器</v>
      </c>
      <c r="AU3" s="47" t="str">
        <f>IFERROR(VLOOKUP($A$1&amp;"-"&amp;ROW(AJ2),基本資料填寫!$A:$DN,COLUMN(基本資料填寫!AX3),0),"")</f>
        <v>STYL</v>
      </c>
      <c r="AV3" s="47" t="str">
        <f>IFERROR(VLOOKUP($A$1&amp;"-"&amp;ROW(AK2),基本資料填寫!$A:$DN,COLUMN(基本資料填寫!AY3),0),"")</f>
        <v>STYLE DESIGNATOR</v>
      </c>
      <c r="AW3" s="47" t="str">
        <f>IFERROR(VLOOKUP($A$1&amp;"-"&amp;ROW(AL2),基本資料填寫!$A:$DN,COLUMN(基本資料填寫!AZ3),0),"")</f>
        <v>外觀型式</v>
      </c>
      <c r="AX3" s="47" t="str">
        <f>IFERROR(VLOOKUP($A$1&amp;"-"&amp;ROW(AM2),基本資料填寫!$A:$DN,COLUMN(基本資料填寫!BA3),0),"")</f>
        <v>Style Designator</v>
      </c>
      <c r="AY3" s="47" t="str">
        <f>IFERROR(VLOOKUP($A$1&amp;"-"&amp;ROW(AN2),基本資料填寫!$A:$DN,COLUMN(基本資料填寫!BB3),0),"")</f>
        <v>長方形／方形外殼</v>
      </c>
      <c r="AZ3" s="47" t="str">
        <f>IFERROR(VLOOKUP($A$1&amp;"-"&amp;ROW(AO2),基本資料填寫!$A:$DN,COLUMN(基本資料填寫!BC3),0),"")</f>
        <v>ABMK</v>
      </c>
      <c r="BA3" s="47" t="str">
        <f>IFERROR(VLOOKUP($A$1&amp;"-"&amp;ROW(AP2),基本資料填寫!$A:$DN,COLUMN(基本資料填寫!BD3),0),"")</f>
        <v>OVERALL WIDTH</v>
      </c>
      <c r="BB3" s="47" t="str">
        <f>IFERROR(VLOOKUP($A$1&amp;"-"&amp;ROW(AQ2),基本資料填寫!$A:$DN,COLUMN(基本資料填寫!BE3),0),"")</f>
        <v>總寬度</v>
      </c>
      <c r="BC3" s="47" t="str">
        <f>IFERROR(VLOOKUP($A$1&amp;"-"&amp;ROW(AR2),基本資料填寫!$A:$DN,COLUMN(基本資料填寫!BF3),0),"")</f>
        <v>230mm</v>
      </c>
      <c r="BD3" s="47" t="str">
        <f>IFERROR(VLOOKUP($A$1&amp;"-"&amp;ROW(AS2),基本資料填寫!$A:$DN,COLUMN(基本資料填寫!BG3),0),"")</f>
        <v>230mm</v>
      </c>
      <c r="BE3" s="47" t="str">
        <f>IFERROR(VLOOKUP($A$1&amp;"-"&amp;ROW(AT2),基本資料填寫!$A:$DN,COLUMN(基本資料填寫!BH3),0),"")</f>
        <v>ABKW</v>
      </c>
      <c r="BF3" s="47" t="str">
        <f>IFERROR(VLOOKUP($A$1&amp;"-"&amp;ROW(AU2),基本資料填寫!$A:$DN,COLUMN(基本資料填寫!BI3),0),"")</f>
        <v>OVERALL HEIGHT</v>
      </c>
      <c r="BG3" s="47" t="str">
        <f>IFERROR(VLOOKUP($A$1&amp;"-"&amp;ROW(AV2),基本資料填寫!$A:$DN,COLUMN(基本資料填寫!BJ3),0),"")</f>
        <v>總高度</v>
      </c>
      <c r="BH3" s="47" t="str">
        <f>IFERROR(VLOOKUP($A$1&amp;"-"&amp;ROW(AW2),基本資料填寫!$A:$DN,COLUMN(基本資料填寫!BK3),0),"")</f>
        <v>176mm</v>
      </c>
      <c r="BI3" s="47" t="str">
        <f>IFERROR(VLOOKUP($A$1&amp;"-"&amp;ROW(AX2),基本資料填寫!$A:$DN,COLUMN(基本資料填寫!BL3),0),"")</f>
        <v>176mm</v>
      </c>
      <c r="BJ3" s="47">
        <f>IFERROR(VLOOKUP($A$1&amp;"-"&amp;ROW(AY2),基本資料填寫!$A:$DN,COLUMN(基本資料填寫!BM3),0),"")</f>
        <v>0</v>
      </c>
      <c r="BK3" s="47">
        <f>IFERROR(VLOOKUP($A$1&amp;"-"&amp;ROW(AZ2),基本資料填寫!$A:$DN,COLUMN(基本資料填寫!BN3),0),"")</f>
        <v>0</v>
      </c>
      <c r="BL3" s="47">
        <f>IFERROR(VLOOKUP($A$1&amp;"-"&amp;ROW(BA2),基本資料填寫!$A:$DN,COLUMN(基本資料填寫!BO3),0),"")</f>
        <v>0</v>
      </c>
      <c r="BM3" s="47">
        <f>IFERROR(VLOOKUP($A$1&amp;"-"&amp;ROW(BB2),基本資料填寫!$A:$DN,COLUMN(基本資料填寫!BP3),0),"")</f>
        <v>0</v>
      </c>
      <c r="BN3" s="47">
        <f>IFERROR(VLOOKUP($A$1&amp;"-"&amp;ROW(BC2),基本資料填寫!$A:$DN,COLUMN(基本資料填寫!BQ3),0),"")</f>
        <v>0</v>
      </c>
      <c r="BO3" s="47" t="str">
        <f>IFERROR(VLOOKUP($A$1&amp;"-"&amp;ROW(BD2),基本資料填寫!$A:$DN,COLUMN(基本資料填寫!BR3),0),"")</f>
        <v>C:\\SynologyDrive\\01 JSSC專案\\12 料號申編\\06 次要裝備\\50 聲力電話\\圖片\\09.放大器.jpg</v>
      </c>
    </row>
    <row r="4" spans="1:67" x14ac:dyDescent="0.3">
      <c r="B4" s="47" t="str">
        <f>IFERROR(VLOOKUP($A$1&amp;"-"&amp;ROW(A3),基本資料填寫!$A:$DN,COLUMN(基本資料填寫!K4),0),"")</f>
        <v>待送出</v>
      </c>
      <c r="C4" s="47" t="str">
        <f>IFERROR(VLOOKUP($A$1&amp;"-"&amp;ROW(B3),基本資料填寫!$A:$DN,COLUMN(基本資料填寫!L4),0),"")</f>
        <v>A0075</v>
      </c>
      <c r="D4" s="47">
        <f>IF(E4="","",COUNTA($E$2:E4))</f>
        <v>3</v>
      </c>
      <c r="E4" s="47" t="str">
        <f>IFERROR(VLOOKUP($A$1&amp;"-"&amp;ROW(E3),基本資料填寫!$A:$DN,COLUMN(基本資料填寫!S4),0),"")</f>
        <v>5965</v>
      </c>
      <c r="G4" s="47" t="str">
        <f>IFERROR(VLOOKUP($A$1&amp;"-"&amp;ROW(G3),基本資料填寫!$A:$DN,COLUMN(基本資料填寫!V4),0),"")</f>
        <v>YETL申請中</v>
      </c>
      <c r="H4" s="47" t="str">
        <f>IFERROR(VLOOKUP($A$1&amp;"-"&amp;ROW(BI3),基本資料填寫!$A:$DN,COLUMN(基本資料填寫!BW4),0),"")</f>
        <v>C35</v>
      </c>
      <c r="I4" s="47" t="str">
        <f>IFERROR(VLOOKUP($A$1&amp;"-"&amp;ROW(I3),基本資料填寫!$A:$DN,COLUMN(基本資料填寫!AN4),0),"")</f>
        <v xml:space="preserve">Loudspeaker, Electromagnetic	</v>
      </c>
      <c r="J4" s="47" t="str">
        <f>IFERROR(VLOOKUP($A$1&amp;"-"&amp;ROW(K3),基本資料填寫!$A:$DN,COLUMN(基本資料填寫!R4),0),"")</f>
        <v>揚聲防水喇叭</v>
      </c>
      <c r="K4" s="47" t="str">
        <f>IFERROR(VLOOKUP($A$1&amp;"-"&amp;ROW(AA3),基本資料填寫!$A:$DN,COLUMN(基本資料填寫!BX4),0),"")</f>
        <v>B21317</v>
      </c>
      <c r="L4" s="47" t="str">
        <f>IFERROR(VLOOKUP($A$1&amp;"-"&amp;ROW(S3),基本資料填寫!$A:$DN,COLUMN(基本資料填寫!Z4),0),"")</f>
        <v>EA</v>
      </c>
      <c r="M4" s="47">
        <f>IFERROR(VLOOKUP($A$1&amp;"-"&amp;ROW(T3),基本資料填寫!$A:$DN,COLUMN(基本資料填寫!AA4),0),"")</f>
        <v>150</v>
      </c>
      <c r="N4" s="47" t="str">
        <f>IFERROR(VLOOKUP($A$1&amp;"-"&amp;ROW(AB3),基本資料填寫!$A:$DN,COLUMN(基本資料填寫!BY4),0),"")</f>
        <v>1</v>
      </c>
      <c r="O4" s="47" t="str">
        <f>IFERROR(VLOOKUP($A$1&amp;"-"&amp;ROW(AC3),基本資料填寫!$A:$DN,COLUMN(基本資料填寫!BZ4),0),"")</f>
        <v>0</v>
      </c>
      <c r="P4" s="47" t="str">
        <f>IFERROR(VLOOKUP($A$1&amp;"-"&amp;ROW(AD3),基本資料填寫!$A:$DN,COLUMN(基本資料填寫!CA4),0),"")</f>
        <v>C</v>
      </c>
      <c r="Q4" s="47" t="str">
        <f>IFERROR(VLOOKUP($A$1&amp;"-"&amp;ROW(J3),基本資料填寫!$A:$DN,COLUMN(基本資料填寫!AO4),0),"")</f>
        <v>00714</v>
      </c>
      <c r="R4" s="47" t="str">
        <f>IFERROR(VLOOKUP($A$1&amp;"-"&amp;ROW(AE3),基本資料填寫!$A:$DN,COLUMN(基本資料填寫!CB4),0),"")</f>
        <v>U</v>
      </c>
      <c r="S4" s="47" t="str">
        <f>IFERROR(VLOOKUP($A$1&amp;"-"&amp;ROW(AF3),基本資料填寫!$A:$DN,COLUMN(基本資料填寫!CC4),0),"")</f>
        <v>M</v>
      </c>
      <c r="T4" s="47" t="str">
        <f>IFERROR(VLOOKUP($A$1&amp;"-"&amp;ROW(AG3),基本資料填寫!$A:$DN,COLUMN(基本資料填寫!CD4),0),"")</f>
        <v>E</v>
      </c>
      <c r="U4" s="47" t="str">
        <f>IFERROR(VLOOKUP($A$1&amp;"-"&amp;ROW(AH3),基本資料填寫!$A:$DN,COLUMN(基本資料填寫!CE4),0),"")</f>
        <v>C</v>
      </c>
      <c r="V4" s="47" t="str">
        <f>IFERROR(VLOOKUP($A$1&amp;"-"&amp;ROW(AI3),基本資料填寫!$A:$DN,COLUMN(基本資料填寫!CF4),0),"")</f>
        <v>A</v>
      </c>
      <c r="W4" s="47" t="str">
        <f>IFERROR(VLOOKUP($A$1&amp;"-"&amp;ROW(AJ3),基本資料填寫!$A:$DN,COLUMN(基本資料填寫!CG4),0),"")</f>
        <v>00</v>
      </c>
      <c r="X4" s="47" t="str">
        <f>IFERROR(VLOOKUP($A$1&amp;"-"&amp;ROW(AK3),基本資料填寫!$A:$DN,COLUMN(基本資料填寫!CH4),0),"")</f>
        <v>E</v>
      </c>
      <c r="Y4" s="47" t="str">
        <f>IFERROR(VLOOKUP($A$1&amp;"-"&amp;ROW(AL3),基本資料填寫!$A:$DN,COLUMN(基本資料填寫!CI4),0),"")</f>
        <v>0</v>
      </c>
      <c r="Z4" s="47" t="str">
        <f>IFERROR(VLOOKUP($A$1&amp;"-"&amp;ROW(H3),基本資料填寫!$A:$DN,COLUMN(基本資料填寫!O4),0),"")</f>
        <v>149.907</v>
      </c>
      <c r="AA4" s="47" t="str">
        <f>IFERROR(VLOOKUP($A$1&amp;"-"&amp;ROW(AM3),基本資料填寫!$A:$DN,COLUMN(基本資料填寫!CJ4),0),"")</f>
        <v>A</v>
      </c>
      <c r="AB4" s="47" t="str">
        <f>IFERROR(VLOOKUP($A$1&amp;"-"&amp;ROW(AN3),基本資料填寫!$A:$DN,COLUMN(基本資料填寫!CK4),0),"")</f>
        <v>1973B</v>
      </c>
      <c r="AC4" s="47" t="str">
        <f>IFERROR(VLOOKUP($A$1&amp;"-"&amp;ROW(AP3),基本資料填寫!$A:$DN,COLUMN(基本資料填寫!CN4),0),"")</f>
        <v>2</v>
      </c>
      <c r="AD4" s="47">
        <f>IFERROR(VLOOKUP($A$1&amp;"-"&amp;ROW(AQ3),基本資料填寫!$A:$DN,COLUMN(基本資料填寫!CO4),0),"")</f>
        <v>3</v>
      </c>
      <c r="AE4" s="47" t="str">
        <f>IFERROR(VLOOKUP($A$1&amp;"-"&amp;ROW(AR3),基本資料填寫!$A:$DN,COLUMN(基本資料填寫!CP4),0),"")</f>
        <v>27NYE0823</v>
      </c>
      <c r="AF4" s="47" t="str">
        <f>IFERROR(VLOOKUP($A$1&amp;"-"&amp;ROW(AS3),基本資料填寫!$A:$DN,COLUMN(基本資料填寫!CQ4),0),"")</f>
        <v>FFG</v>
      </c>
      <c r="AG4" s="47" t="str">
        <f>IFERROR(VLOOKUP($A$1&amp;"-"&amp;ROW(AT3),基本資料填寫!$A:$DN,COLUMN(基本資料填寫!CR4),0),"")</f>
        <v>TA-4CI</v>
      </c>
      <c r="AH4" s="47" t="str">
        <f>IFERROR(VLOOKUP($A$1&amp;"-"&amp;ROW(AU3),基本資料填寫!$A:$DN,COLUMN(基本資料填寫!CS4),0),"")</f>
        <v>聲力電話系統</v>
      </c>
      <c r="AI4" s="47" t="str">
        <f>IFERROR(VLOOKUP($A$1&amp;"-"&amp;ROW(P3),基本資料填寫!$A:$DN,COLUMN(基本資料填寫!X4),0),"")</f>
        <v>1</v>
      </c>
      <c r="AJ4" s="47" t="str">
        <f>IFERROR(VLOOKUP($A$1&amp;"-"&amp;ROW(AV3),基本資料填寫!$A:$DN,COLUMN(基本資料填寫!CT4),0),"")</f>
        <v>前/後機艙</v>
      </c>
      <c r="AK4" s="47" t="str">
        <f>IFERROR(VLOOKUP($A$1&amp;"-"&amp;ROW(AC3),基本資料填寫!$A:$DN,COLUMN(基本資料填寫!AQ4),0),"")</f>
        <v>聲力電話系統技術手冊</v>
      </c>
      <c r="AL4" s="47" t="str">
        <f>IFERROR(VLOOKUP($A$1&amp;"-"&amp;ROW(AO3),基本資料填寫!$A:$DN,COLUMN(基本資料填寫!CM4),0),"")</f>
        <v>SCM SISTEMAS,S.L.</v>
      </c>
      <c r="AM4" s="47" t="str">
        <f>IFERROR(VLOOKUP($A$1&amp;"-"&amp;ROW(AD3),基本資料填寫!$A:$DN,COLUMN(基本資料填寫!AR4),0),"")</f>
        <v>堃翊工程有限公司</v>
      </c>
      <c r="AN4" s="47" t="str">
        <f>IFERROR(VLOOKUP($A$1&amp;"-"&amp;ROW(K3),基本資料填寫!$A:$DN,COLUMN(基本資料填寫!AP4),0),"")</f>
        <v>A11600</v>
      </c>
      <c r="AO4" s="47" t="str">
        <f>IFERROR(VLOOKUP($A$1&amp;"-"&amp;ROW(J3),基本資料填寫!$A:$DN,COLUMN(基本資料填寫!AO4),0),"")</f>
        <v>00714</v>
      </c>
      <c r="AP4" s="47" t="str">
        <f>IFERROR(VLOOKUP($A$1&amp;"-"&amp;ROW(AE3),基本資料填寫!$A:$DN,COLUMN(基本資料填寫!AS4),0),"")</f>
        <v>CLQL</v>
      </c>
      <c r="AQ4" s="47" t="str">
        <f>IFERROR(VLOOKUP($A$1&amp;"-"&amp;ROW(AF3),基本資料填寫!$A:$DN,COLUMN(基本資料填寫!AT4),0),"")</f>
        <v>COLLOQUIAL NAME</v>
      </c>
      <c r="AR4" s="47" t="str">
        <f>IFERROR(VLOOKUP($A$1&amp;"-"&amp;ROW(AG3),基本資料填寫!$A:$DN,COLUMN(基本資料填寫!AU4),0),"")</f>
        <v>口語名稱</v>
      </c>
      <c r="AS4" s="47" t="str">
        <f>IFERROR(VLOOKUP($A$1&amp;"-"&amp;ROW(AH3),基本資料填寫!$A:$DN,COLUMN(基本資料填寫!AV4),0),"")</f>
        <v>Exponential Speaker</v>
      </c>
      <c r="AT4" s="47" t="str">
        <f>IFERROR(VLOOKUP($A$1&amp;"-"&amp;ROW(AI3),基本資料填寫!$A:$DN,COLUMN(基本資料填寫!AW4),0),"")</f>
        <v>揚聲防水喇叭</v>
      </c>
      <c r="AU4" s="47" t="str">
        <f>IFERROR(VLOOKUP($A$1&amp;"-"&amp;ROW(AJ3),基本資料填寫!$A:$DN,COLUMN(基本資料填寫!AX4),0),"")</f>
        <v>AKVS</v>
      </c>
      <c r="AV4" s="47" t="str">
        <f>IFERROR(VLOOKUP($A$1&amp;"-"&amp;ROW(AK3),基本資料填寫!$A:$DN,COLUMN(基本資料填寫!AY4),0),"")</f>
        <v>TRANSDUCER TYPE</v>
      </c>
      <c r="AW4" s="47" t="str">
        <f>IFERROR(VLOOKUP($A$1&amp;"-"&amp;ROW(AL3),基本資料填寫!$A:$DN,COLUMN(基本資料填寫!AZ4),0),"")</f>
        <v>換能器類型</v>
      </c>
      <c r="AX4" s="47" t="str">
        <f>IFERROR(VLOOKUP($A$1&amp;"-"&amp;ROW(AM3),基本資料填寫!$A:$DN,COLUMN(基本資料填寫!BA4),0),"")</f>
        <v>CONE</v>
      </c>
      <c r="AY4" s="47" t="str">
        <f>IFERROR(VLOOKUP($A$1&amp;"-"&amp;ROW(AN3),基本資料填寫!$A:$DN,COLUMN(基本資料填寫!BB4),0),"")</f>
        <v>錐形振膜式換能器</v>
      </c>
      <c r="AZ4" s="47" t="str">
        <f>IFERROR(VLOOKUP($A$1&amp;"-"&amp;ROW(AO3),基本資料填寫!$A:$DN,COLUMN(基本資料填寫!BC4),0),"")</f>
        <v>ALBY</v>
      </c>
      <c r="BA4" s="47" t="str">
        <f>IFERROR(VLOOKUP($A$1&amp;"-"&amp;ROW(AP3),基本資料填寫!$A:$DN,COLUMN(基本資料填寫!BD4),0),"")</f>
        <v>USAGE DESIGN</v>
      </c>
      <c r="BB4" s="47" t="str">
        <f>IFERROR(VLOOKUP($A$1&amp;"-"&amp;ROW(AQ3),基本資料填寫!$A:$DN,COLUMN(基本資料填寫!BE4),0),"")</f>
        <v>設計用途</v>
      </c>
      <c r="BC4" s="47" t="str">
        <f>IFERROR(VLOOKUP($A$1&amp;"-"&amp;ROW(AR3),基本資料填寫!$A:$DN,COLUMN(基本資料填寫!BF4),0),"")</f>
        <v>OUTDOOR</v>
      </c>
      <c r="BD4" s="47" t="str">
        <f>IFERROR(VLOOKUP($A$1&amp;"-"&amp;ROW(AS3),基本資料填寫!$A:$DN,COLUMN(基本資料填寫!BG4),0),"")</f>
        <v>戶外使用（船艦外部、暴露區）</v>
      </c>
      <c r="BE4" s="47" t="str">
        <f>IFERROR(VLOOKUP($A$1&amp;"-"&amp;ROW(AT3),基本資料填寫!$A:$DN,COLUMN(基本資料填寫!BH4),0),"")</f>
        <v>AMQY</v>
      </c>
      <c r="BF4" s="47" t="str">
        <f>IFERROR(VLOOKUP($A$1&amp;"-"&amp;ROW(AU3),基本資料填寫!$A:$DN,COLUMN(基本資料填寫!BI4),0),"")</f>
        <v>INSTALLATION DESIGN</v>
      </c>
      <c r="BG4" s="47" t="str">
        <f>IFERROR(VLOOKUP($A$1&amp;"-"&amp;ROW(AV3),基本資料填寫!$A:$DN,COLUMN(基本資料填寫!BJ4),0),"")</f>
        <v>安裝設計</v>
      </c>
      <c r="BH4" s="47" t="str">
        <f>IFERROR(VLOOKUP($A$1&amp;"-"&amp;ROW(AW3),基本資料填寫!$A:$DN,COLUMN(基本資料填寫!BK4),0),"")</f>
        <v>NONPORTABLE</v>
      </c>
      <c r="BI4" s="47" t="str">
        <f>IFERROR(VLOOKUP($A$1&amp;"-"&amp;ROW(AX3),基本資料填寫!$A:$DN,COLUMN(基本資料填寫!BL4),0),"")</f>
        <v>固定式設備，不可攜</v>
      </c>
      <c r="BJ4" s="47" t="str">
        <f>IFERROR(VLOOKUP($A$1&amp;"-"&amp;ROW(AY3),基本資料填寫!$A:$DN,COLUMN(基本資料填寫!BM4),0),"")</f>
        <v>ABMK</v>
      </c>
      <c r="BK4" s="47" t="str">
        <f>IFERROR(VLOOKUP($A$1&amp;"-"&amp;ROW(AZ3),基本資料填寫!$A:$DN,COLUMN(基本資料填寫!BN4),0),"")</f>
        <v>OVERALL WIDTH</v>
      </c>
      <c r="BL4" s="47" t="str">
        <f>IFERROR(VLOOKUP($A$1&amp;"-"&amp;ROW(BA3),基本資料填寫!$A:$DN,COLUMN(基本資料填寫!BO4),0),"")</f>
        <v>總寬度</v>
      </c>
      <c r="BM4" s="47" t="str">
        <f>IFERROR(VLOOKUP($A$1&amp;"-"&amp;ROW(BB3),基本資料填寫!$A:$DN,COLUMN(基本資料填寫!BP4),0),"")</f>
        <v>222 mm</v>
      </c>
      <c r="BN4" s="47" t="str">
        <f>IFERROR(VLOOKUP($A$1&amp;"-"&amp;ROW(BC3),基本資料填寫!$A:$DN,COLUMN(基本資料填寫!BQ4),0),"")</f>
        <v>222 mm，喇叭正面最寬部分</v>
      </c>
      <c r="BO4" s="47" t="str">
        <f>IFERROR(VLOOKUP($A$1&amp;"-"&amp;ROW(BD3),基本資料填寫!$A:$DN,COLUMN(基本資料填寫!BR4),0),"")</f>
        <v>C:\\SynologyDrive\\01 JSSC專案\\12 料號申編\\06 次要裝備\\50 聲力電話\\圖片\\10.喇叭.jpg</v>
      </c>
    </row>
    <row r="5" spans="1:67" x14ac:dyDescent="0.3">
      <c r="B5" s="47" t="str">
        <f>IFERROR(VLOOKUP($A$1&amp;"-"&amp;ROW(A4),基本資料填寫!$A:$DN,COLUMN(基本資料填寫!K5),0),"")</f>
        <v/>
      </c>
      <c r="C5" s="47" t="str">
        <f>IFERROR(VLOOKUP($A$1&amp;"-"&amp;ROW(B4),基本資料填寫!$A:$DN,COLUMN(基本資料填寫!L5),0),"")</f>
        <v/>
      </c>
      <c r="D5" s="47" t="str">
        <f>IF(E5="","",COUNTA($E$2:E5))</f>
        <v/>
      </c>
      <c r="E5" s="47" t="str">
        <f>IFERROR(VLOOKUP($A$1&amp;"-"&amp;ROW(E4),基本資料填寫!$A:$DN,COLUMN(基本資料填寫!S5),0),"")</f>
        <v/>
      </c>
      <c r="G5" s="47" t="str">
        <f>IFERROR(VLOOKUP($A$1&amp;"-"&amp;ROW(G4),基本資料填寫!$A:$DN,COLUMN(基本資料填寫!V5),0),"")</f>
        <v/>
      </c>
      <c r="H5" s="47" t="str">
        <f>IFERROR(VLOOKUP($A$1&amp;"-"&amp;ROW(BI4),基本資料填寫!$A:$DN,COLUMN(基本資料填寫!BW5),0),"")</f>
        <v/>
      </c>
      <c r="I5" s="47" t="str">
        <f>IFERROR(VLOOKUP($A$1&amp;"-"&amp;ROW(I4),基本資料填寫!$A:$DN,COLUMN(基本資料填寫!AN5),0),"")</f>
        <v/>
      </c>
      <c r="J5" s="47" t="str">
        <f>IFERROR(VLOOKUP($A$1&amp;"-"&amp;ROW(K4),基本資料填寫!$A:$DN,COLUMN(基本資料填寫!R5),0),"")</f>
        <v/>
      </c>
      <c r="K5" s="47" t="str">
        <f>IFERROR(VLOOKUP($A$1&amp;"-"&amp;ROW(AA4),基本資料填寫!$A:$DN,COLUMN(基本資料填寫!BX5),0),"")</f>
        <v/>
      </c>
      <c r="L5" s="47" t="str">
        <f>IFERROR(VLOOKUP($A$1&amp;"-"&amp;ROW(S4),基本資料填寫!$A:$DN,COLUMN(基本資料填寫!Z5),0),"")</f>
        <v/>
      </c>
      <c r="M5" s="47" t="str">
        <f>IFERROR(VLOOKUP($A$1&amp;"-"&amp;ROW(T4),基本資料填寫!$A:$DN,COLUMN(基本資料填寫!AA5),0),"")</f>
        <v/>
      </c>
      <c r="N5" s="47" t="str">
        <f>IFERROR(VLOOKUP($A$1&amp;"-"&amp;ROW(AB4),基本資料填寫!$A:$DN,COLUMN(基本資料填寫!BY5),0),"")</f>
        <v/>
      </c>
      <c r="O5" s="47" t="str">
        <f>IFERROR(VLOOKUP($A$1&amp;"-"&amp;ROW(AC4),基本資料填寫!$A:$DN,COLUMN(基本資料填寫!BZ5),0),"")</f>
        <v/>
      </c>
      <c r="P5" s="47" t="str">
        <f>IFERROR(VLOOKUP($A$1&amp;"-"&amp;ROW(AD4),基本資料填寫!$A:$DN,COLUMN(基本資料填寫!CA5),0),"")</f>
        <v/>
      </c>
      <c r="Q5" s="47" t="str">
        <f>IFERROR(VLOOKUP($A$1&amp;"-"&amp;ROW(J4),基本資料填寫!$A:$DN,COLUMN(基本資料填寫!AO5),0),"")</f>
        <v/>
      </c>
      <c r="R5" s="47" t="str">
        <f>IFERROR(VLOOKUP($A$1&amp;"-"&amp;ROW(AE4),基本資料填寫!$A:$DN,COLUMN(基本資料填寫!CB5),0),"")</f>
        <v/>
      </c>
      <c r="S5" s="47" t="str">
        <f>IFERROR(VLOOKUP($A$1&amp;"-"&amp;ROW(AF4),基本資料填寫!$A:$DN,COLUMN(基本資料填寫!CC5),0),"")</f>
        <v/>
      </c>
      <c r="T5" s="47" t="str">
        <f>IFERROR(VLOOKUP($A$1&amp;"-"&amp;ROW(AG4),基本資料填寫!$A:$DN,COLUMN(基本資料填寫!CD5),0),"")</f>
        <v/>
      </c>
      <c r="U5" s="47" t="str">
        <f>IFERROR(VLOOKUP($A$1&amp;"-"&amp;ROW(AH4),基本資料填寫!$A:$DN,COLUMN(基本資料填寫!CE5),0),"")</f>
        <v/>
      </c>
      <c r="V5" s="47" t="str">
        <f>IFERROR(VLOOKUP($A$1&amp;"-"&amp;ROW(AI4),基本資料填寫!$A:$DN,COLUMN(基本資料填寫!CF5),0),"")</f>
        <v/>
      </c>
      <c r="W5" s="47" t="str">
        <f>IFERROR(VLOOKUP($A$1&amp;"-"&amp;ROW(AJ4),基本資料填寫!$A:$DN,COLUMN(基本資料填寫!CG5),0),"")</f>
        <v/>
      </c>
      <c r="X5" s="47" t="str">
        <f>IFERROR(VLOOKUP($A$1&amp;"-"&amp;ROW(AK4),基本資料填寫!$A:$DN,COLUMN(基本資料填寫!CH5),0),"")</f>
        <v/>
      </c>
      <c r="Y5" s="47" t="str">
        <f>IFERROR(VLOOKUP($A$1&amp;"-"&amp;ROW(AL4),基本資料填寫!$A:$DN,COLUMN(基本資料填寫!CI5),0),"")</f>
        <v/>
      </c>
      <c r="Z5" s="47" t="str">
        <f>IFERROR(VLOOKUP($A$1&amp;"-"&amp;ROW(H4),基本資料填寫!$A:$DN,COLUMN(基本資料填寫!O5),0),"")</f>
        <v/>
      </c>
      <c r="AA5" s="47" t="str">
        <f>IFERROR(VLOOKUP($A$1&amp;"-"&amp;ROW(AM4),基本資料填寫!$A:$DN,COLUMN(基本資料填寫!CJ5),0),"")</f>
        <v/>
      </c>
      <c r="AB5" s="47" t="str">
        <f>IFERROR(VLOOKUP($A$1&amp;"-"&amp;ROW(AN4),基本資料填寫!$A:$DN,COLUMN(基本資料填寫!CK5),0),"")</f>
        <v/>
      </c>
      <c r="AC5" s="47" t="str">
        <f>IFERROR(VLOOKUP($A$1&amp;"-"&amp;ROW(AP4),基本資料填寫!$A:$DN,COLUMN(基本資料填寫!CN5),0),"")</f>
        <v/>
      </c>
      <c r="AD5" s="47" t="str">
        <f>IFERROR(VLOOKUP($A$1&amp;"-"&amp;ROW(AQ4),基本資料填寫!$A:$DN,COLUMN(基本資料填寫!CO5),0),"")</f>
        <v/>
      </c>
      <c r="AE5" s="47" t="str">
        <f>IFERROR(VLOOKUP($A$1&amp;"-"&amp;ROW(AR4),基本資料填寫!$A:$DN,COLUMN(基本資料填寫!CP5),0),"")</f>
        <v/>
      </c>
      <c r="AF5" s="47" t="str">
        <f>IFERROR(VLOOKUP($A$1&amp;"-"&amp;ROW(AS4),基本資料填寫!$A:$DN,COLUMN(基本資料填寫!CQ5),0),"")</f>
        <v/>
      </c>
      <c r="AG5" s="47" t="str">
        <f>IFERROR(VLOOKUP($A$1&amp;"-"&amp;ROW(AT4),基本資料填寫!$A:$DN,COLUMN(基本資料填寫!CR5),0),"")</f>
        <v/>
      </c>
      <c r="AH5" s="47" t="str">
        <f>IFERROR(VLOOKUP($A$1&amp;"-"&amp;ROW(AU4),基本資料填寫!$A:$DN,COLUMN(基本資料填寫!CS5),0),"")</f>
        <v/>
      </c>
      <c r="AI5" s="47" t="str">
        <f>IFERROR(VLOOKUP($A$1&amp;"-"&amp;ROW(P4),基本資料填寫!$A:$DN,COLUMN(基本資料填寫!X5),0),"")</f>
        <v/>
      </c>
      <c r="AJ5" s="47" t="str">
        <f>IFERROR(VLOOKUP($A$1&amp;"-"&amp;ROW(AV4),基本資料填寫!$A:$DN,COLUMN(基本資料填寫!CT5),0),"")</f>
        <v/>
      </c>
      <c r="AK5" s="47" t="str">
        <f>IFERROR(VLOOKUP($A$1&amp;"-"&amp;ROW(AC4),基本資料填寫!$A:$DN,COLUMN(基本資料填寫!AQ5),0),"")</f>
        <v/>
      </c>
      <c r="AL5" s="47" t="str">
        <f>IFERROR(VLOOKUP($A$1&amp;"-"&amp;ROW(AO4),基本資料填寫!$A:$DN,COLUMN(基本資料填寫!CM5),0),"")</f>
        <v/>
      </c>
      <c r="AM5" s="47" t="str">
        <f>IFERROR(VLOOKUP($A$1&amp;"-"&amp;ROW(AD4),基本資料填寫!$A:$DN,COLUMN(基本資料填寫!AR5),0),"")</f>
        <v/>
      </c>
      <c r="AN5" s="47" t="str">
        <f>IFERROR(VLOOKUP($A$1&amp;"-"&amp;ROW(K4),基本資料填寫!$A:$DN,COLUMN(基本資料填寫!AP5),0),"")</f>
        <v/>
      </c>
      <c r="AO5" s="47" t="str">
        <f>IFERROR(VLOOKUP($A$1&amp;"-"&amp;ROW(J4),基本資料填寫!$A:$DN,COLUMN(基本資料填寫!AO5),0),"")</f>
        <v/>
      </c>
      <c r="AP5" s="47" t="str">
        <f>IFERROR(VLOOKUP($A$1&amp;"-"&amp;ROW(AE4),基本資料填寫!$A:$DN,COLUMN(基本資料填寫!AS5),0),"")</f>
        <v/>
      </c>
      <c r="AQ5" s="47" t="str">
        <f>IFERROR(VLOOKUP($A$1&amp;"-"&amp;ROW(AF4),基本資料填寫!$A:$DN,COLUMN(基本資料填寫!AT5),0),"")</f>
        <v/>
      </c>
      <c r="AR5" s="47" t="str">
        <f>IFERROR(VLOOKUP($A$1&amp;"-"&amp;ROW(AG4),基本資料填寫!$A:$DN,COLUMN(基本資料填寫!AU5),0),"")</f>
        <v/>
      </c>
      <c r="AS5" s="47" t="str">
        <f>IFERROR(VLOOKUP($A$1&amp;"-"&amp;ROW(AH4),基本資料填寫!$A:$DN,COLUMN(基本資料填寫!AV5),0),"")</f>
        <v/>
      </c>
      <c r="AT5" s="47" t="str">
        <f>IFERROR(VLOOKUP($A$1&amp;"-"&amp;ROW(AI4),基本資料填寫!$A:$DN,COLUMN(基本資料填寫!AW5),0),"")</f>
        <v/>
      </c>
      <c r="AU5" s="47" t="str">
        <f>IFERROR(VLOOKUP($A$1&amp;"-"&amp;ROW(AJ4),基本資料填寫!$A:$DN,COLUMN(基本資料填寫!AX5),0),"")</f>
        <v/>
      </c>
      <c r="AV5" s="47" t="str">
        <f>IFERROR(VLOOKUP($A$1&amp;"-"&amp;ROW(AK4),基本資料填寫!$A:$DN,COLUMN(基本資料填寫!AY5),0),"")</f>
        <v/>
      </c>
      <c r="AW5" s="47" t="str">
        <f>IFERROR(VLOOKUP($A$1&amp;"-"&amp;ROW(AL4),基本資料填寫!$A:$DN,COLUMN(基本資料填寫!AZ5),0),"")</f>
        <v/>
      </c>
      <c r="AX5" s="47" t="str">
        <f>IFERROR(VLOOKUP($A$1&amp;"-"&amp;ROW(AM4),基本資料填寫!$A:$DN,COLUMN(基本資料填寫!BA5),0),"")</f>
        <v/>
      </c>
      <c r="AY5" s="47" t="str">
        <f>IFERROR(VLOOKUP($A$1&amp;"-"&amp;ROW(AN4),基本資料填寫!$A:$DN,COLUMN(基本資料填寫!BB5),0),"")</f>
        <v/>
      </c>
      <c r="AZ5" s="47" t="str">
        <f>IFERROR(VLOOKUP($A$1&amp;"-"&amp;ROW(AO4),基本資料填寫!$A:$DN,COLUMN(基本資料填寫!BC5),0),"")</f>
        <v/>
      </c>
      <c r="BA5" s="47" t="str">
        <f>IFERROR(VLOOKUP($A$1&amp;"-"&amp;ROW(AP4),基本資料填寫!$A:$DN,COLUMN(基本資料填寫!BD5),0),"")</f>
        <v/>
      </c>
      <c r="BB5" s="47" t="str">
        <f>IFERROR(VLOOKUP($A$1&amp;"-"&amp;ROW(AQ4),基本資料填寫!$A:$DN,COLUMN(基本資料填寫!BE5),0),"")</f>
        <v/>
      </c>
      <c r="BC5" s="47" t="str">
        <f>IFERROR(VLOOKUP($A$1&amp;"-"&amp;ROW(AR4),基本資料填寫!$A:$DN,COLUMN(基本資料填寫!BF5),0),"")</f>
        <v/>
      </c>
      <c r="BD5" s="47" t="str">
        <f>IFERROR(VLOOKUP($A$1&amp;"-"&amp;ROW(AS4),基本資料填寫!$A:$DN,COLUMN(基本資料填寫!BG5),0),"")</f>
        <v/>
      </c>
      <c r="BE5" s="47" t="str">
        <f>IFERROR(VLOOKUP($A$1&amp;"-"&amp;ROW(AT4),基本資料填寫!$A:$DN,COLUMN(基本資料填寫!BH5),0),"")</f>
        <v/>
      </c>
      <c r="BF5" s="47" t="str">
        <f>IFERROR(VLOOKUP($A$1&amp;"-"&amp;ROW(AU4),基本資料填寫!$A:$DN,COLUMN(基本資料填寫!BI5),0),"")</f>
        <v/>
      </c>
      <c r="BG5" s="47" t="str">
        <f>IFERROR(VLOOKUP($A$1&amp;"-"&amp;ROW(AV4),基本資料填寫!$A:$DN,COLUMN(基本資料填寫!BJ5),0),"")</f>
        <v/>
      </c>
      <c r="BH5" s="47" t="str">
        <f>IFERROR(VLOOKUP($A$1&amp;"-"&amp;ROW(AW4),基本資料填寫!$A:$DN,COLUMN(基本資料填寫!BK5),0),"")</f>
        <v/>
      </c>
      <c r="BI5" s="47" t="str">
        <f>IFERROR(VLOOKUP($A$1&amp;"-"&amp;ROW(AX4),基本資料填寫!$A:$DN,COLUMN(基本資料填寫!BL5),0),"")</f>
        <v/>
      </c>
      <c r="BJ5" s="47" t="str">
        <f>IFERROR(VLOOKUP($A$1&amp;"-"&amp;ROW(AY4),基本資料填寫!$A:$DN,COLUMN(基本資料填寫!BM5),0),"")</f>
        <v/>
      </c>
      <c r="BK5" s="47" t="str">
        <f>IFERROR(VLOOKUP($A$1&amp;"-"&amp;ROW(AZ4),基本資料填寫!$A:$DN,COLUMN(基本資料填寫!BN5),0),"")</f>
        <v/>
      </c>
      <c r="BL5" s="47" t="str">
        <f>IFERROR(VLOOKUP($A$1&amp;"-"&amp;ROW(BA4),基本資料填寫!$A:$DN,COLUMN(基本資料填寫!BO5),0),"")</f>
        <v/>
      </c>
      <c r="BM5" s="47" t="str">
        <f>IFERROR(VLOOKUP($A$1&amp;"-"&amp;ROW(BB4),基本資料填寫!$A:$DN,COLUMN(基本資料填寫!BP5),0),"")</f>
        <v/>
      </c>
      <c r="BN5" s="47" t="str">
        <f>IFERROR(VLOOKUP($A$1&amp;"-"&amp;ROW(BC4),基本資料填寫!$A:$DN,COLUMN(基本資料填寫!BQ5),0),"")</f>
        <v/>
      </c>
      <c r="BO5" s="47" t="str">
        <f>IFERROR(VLOOKUP($A$1&amp;"-"&amp;ROW(BD4),基本資料填寫!$A:$DN,COLUMN(基本資料填寫!BR5),0),"")</f>
        <v/>
      </c>
    </row>
    <row r="6" spans="1:67" x14ac:dyDescent="0.3">
      <c r="B6" s="47" t="str">
        <f>IFERROR(VLOOKUP($A$1&amp;"-"&amp;ROW(A5),基本資料填寫!$A:$DN,COLUMN(基本資料填寫!K6),0),"")</f>
        <v/>
      </c>
      <c r="C6" s="47" t="str">
        <f>IFERROR(VLOOKUP($A$1&amp;"-"&amp;ROW(B5),基本資料填寫!$A:$DN,COLUMN(基本資料填寫!L6),0),"")</f>
        <v/>
      </c>
      <c r="D6" s="47" t="str">
        <f>IF(E6="","",COUNTA($E$2:E6))</f>
        <v/>
      </c>
      <c r="E6" s="47" t="str">
        <f>IFERROR(VLOOKUP($A$1&amp;"-"&amp;ROW(E5),基本資料填寫!$A:$DN,COLUMN(基本資料填寫!S6),0),"")</f>
        <v/>
      </c>
      <c r="G6" s="47" t="str">
        <f>IFERROR(VLOOKUP($A$1&amp;"-"&amp;ROW(G5),基本資料填寫!$A:$DN,COLUMN(基本資料填寫!V6),0),"")</f>
        <v/>
      </c>
      <c r="H6" s="47" t="str">
        <f>IFERROR(VLOOKUP($A$1&amp;"-"&amp;ROW(BI5),基本資料填寫!$A:$DN,COLUMN(基本資料填寫!BW6),0),"")</f>
        <v/>
      </c>
      <c r="I6" s="47" t="str">
        <f>IFERROR(VLOOKUP($A$1&amp;"-"&amp;ROW(I5),基本資料填寫!$A:$DN,COLUMN(基本資料填寫!AN6),0),"")</f>
        <v/>
      </c>
      <c r="J6" s="47" t="str">
        <f>IFERROR(VLOOKUP($A$1&amp;"-"&amp;ROW(K5),基本資料填寫!$A:$DN,COLUMN(基本資料填寫!R6),0),"")</f>
        <v/>
      </c>
      <c r="K6" s="47" t="str">
        <f>IFERROR(VLOOKUP($A$1&amp;"-"&amp;ROW(AA5),基本資料填寫!$A:$DN,COLUMN(基本資料填寫!BX6),0),"")</f>
        <v/>
      </c>
      <c r="L6" s="47" t="str">
        <f>IFERROR(VLOOKUP($A$1&amp;"-"&amp;ROW(S5),基本資料填寫!$A:$DN,COLUMN(基本資料填寫!Z6),0),"")</f>
        <v/>
      </c>
      <c r="M6" s="47" t="str">
        <f>IFERROR(VLOOKUP($A$1&amp;"-"&amp;ROW(T5),基本資料填寫!$A:$DN,COLUMN(基本資料填寫!AA6),0),"")</f>
        <v/>
      </c>
      <c r="N6" s="47" t="str">
        <f>IFERROR(VLOOKUP($A$1&amp;"-"&amp;ROW(AB5),基本資料填寫!$A:$DN,COLUMN(基本資料填寫!BY6),0),"")</f>
        <v/>
      </c>
      <c r="O6" s="47" t="str">
        <f>IFERROR(VLOOKUP($A$1&amp;"-"&amp;ROW(AC5),基本資料填寫!$A:$DN,COLUMN(基本資料填寫!BZ6),0),"")</f>
        <v/>
      </c>
      <c r="P6" s="47" t="str">
        <f>IFERROR(VLOOKUP($A$1&amp;"-"&amp;ROW(AD5),基本資料填寫!$A:$DN,COLUMN(基本資料填寫!CA6),0),"")</f>
        <v/>
      </c>
      <c r="Q6" s="47" t="str">
        <f>IFERROR(VLOOKUP($A$1&amp;"-"&amp;ROW(J5),基本資料填寫!$A:$DN,COLUMN(基本資料填寫!AO6),0),"")</f>
        <v/>
      </c>
      <c r="R6" s="47" t="str">
        <f>IFERROR(VLOOKUP($A$1&amp;"-"&amp;ROW(AE5),基本資料填寫!$A:$DN,COLUMN(基本資料填寫!CB6),0),"")</f>
        <v/>
      </c>
      <c r="S6" s="47" t="str">
        <f>IFERROR(VLOOKUP($A$1&amp;"-"&amp;ROW(AF5),基本資料填寫!$A:$DN,COLUMN(基本資料填寫!CC6),0),"")</f>
        <v/>
      </c>
      <c r="T6" s="47" t="str">
        <f>IFERROR(VLOOKUP($A$1&amp;"-"&amp;ROW(AG5),基本資料填寫!$A:$DN,COLUMN(基本資料填寫!CD6),0),"")</f>
        <v/>
      </c>
      <c r="U6" s="47" t="str">
        <f>IFERROR(VLOOKUP($A$1&amp;"-"&amp;ROW(AH5),基本資料填寫!$A:$DN,COLUMN(基本資料填寫!CE6),0),"")</f>
        <v/>
      </c>
      <c r="V6" s="47" t="str">
        <f>IFERROR(VLOOKUP($A$1&amp;"-"&amp;ROW(AI5),基本資料填寫!$A:$DN,COLUMN(基本資料填寫!CF6),0),"")</f>
        <v/>
      </c>
      <c r="W6" s="47" t="str">
        <f>IFERROR(VLOOKUP($A$1&amp;"-"&amp;ROW(AJ5),基本資料填寫!$A:$DN,COLUMN(基本資料填寫!CG6),0),"")</f>
        <v/>
      </c>
      <c r="X6" s="47" t="str">
        <f>IFERROR(VLOOKUP($A$1&amp;"-"&amp;ROW(AK5),基本資料填寫!$A:$DN,COLUMN(基本資料填寫!CH6),0),"")</f>
        <v/>
      </c>
      <c r="Y6" s="47" t="str">
        <f>IFERROR(VLOOKUP($A$1&amp;"-"&amp;ROW(AL5),基本資料填寫!$A:$DN,COLUMN(基本資料填寫!CI6),0),"")</f>
        <v/>
      </c>
      <c r="Z6" s="47" t="str">
        <f>IFERROR(VLOOKUP($A$1&amp;"-"&amp;ROW(H5),基本資料填寫!$A:$DN,COLUMN(基本資料填寫!O6),0),"")</f>
        <v/>
      </c>
      <c r="AA6" s="47" t="str">
        <f>IFERROR(VLOOKUP($A$1&amp;"-"&amp;ROW(AM5),基本資料填寫!$A:$DN,COLUMN(基本資料填寫!CJ6),0),"")</f>
        <v/>
      </c>
      <c r="AB6" s="47" t="str">
        <f>IFERROR(VLOOKUP($A$1&amp;"-"&amp;ROW(AN5),基本資料填寫!$A:$DN,COLUMN(基本資料填寫!CK6),0),"")</f>
        <v/>
      </c>
      <c r="AC6" s="47" t="str">
        <f>IFERROR(VLOOKUP($A$1&amp;"-"&amp;ROW(AP5),基本資料填寫!$A:$DN,COLUMN(基本資料填寫!CN6),0),"")</f>
        <v/>
      </c>
      <c r="AD6" s="47" t="str">
        <f>IFERROR(VLOOKUP($A$1&amp;"-"&amp;ROW(AQ5),基本資料填寫!$A:$DN,COLUMN(基本資料填寫!CO6),0),"")</f>
        <v/>
      </c>
      <c r="AE6" s="47" t="str">
        <f>IFERROR(VLOOKUP($A$1&amp;"-"&amp;ROW(AR5),基本資料填寫!$A:$DN,COLUMN(基本資料填寫!CP6),0),"")</f>
        <v/>
      </c>
      <c r="AF6" s="47" t="str">
        <f>IFERROR(VLOOKUP($A$1&amp;"-"&amp;ROW(AS5),基本資料填寫!$A:$DN,COLUMN(基本資料填寫!CQ6),0),"")</f>
        <v/>
      </c>
      <c r="AG6" s="47" t="str">
        <f>IFERROR(VLOOKUP($A$1&amp;"-"&amp;ROW(AT5),基本資料填寫!$A:$DN,COLUMN(基本資料填寫!CR6),0),"")</f>
        <v/>
      </c>
      <c r="AH6" s="47" t="str">
        <f>IFERROR(VLOOKUP($A$1&amp;"-"&amp;ROW(AU5),基本資料填寫!$A:$DN,COLUMN(基本資料填寫!CS6),0),"")</f>
        <v/>
      </c>
      <c r="AI6" s="47" t="str">
        <f>IFERROR(VLOOKUP($A$1&amp;"-"&amp;ROW(P5),基本資料填寫!$A:$DN,COLUMN(基本資料填寫!X6),0),"")</f>
        <v/>
      </c>
      <c r="AJ6" s="47" t="str">
        <f>IFERROR(VLOOKUP($A$1&amp;"-"&amp;ROW(AV5),基本資料填寫!$A:$DN,COLUMN(基本資料填寫!CT6),0),"")</f>
        <v/>
      </c>
      <c r="AK6" s="47" t="str">
        <f>IFERROR(VLOOKUP($A$1&amp;"-"&amp;ROW(AC5),基本資料填寫!$A:$DN,COLUMN(基本資料填寫!AQ6),0),"")</f>
        <v/>
      </c>
      <c r="AL6" s="47" t="str">
        <f>IFERROR(VLOOKUP($A$1&amp;"-"&amp;ROW(AO5),基本資料填寫!$A:$DN,COLUMN(基本資料填寫!CM6),0),"")</f>
        <v/>
      </c>
      <c r="AM6" s="47" t="str">
        <f>IFERROR(VLOOKUP($A$1&amp;"-"&amp;ROW(AD5),基本資料填寫!$A:$DN,COLUMN(基本資料填寫!AR6),0),"")</f>
        <v/>
      </c>
      <c r="AN6" s="47" t="str">
        <f>IFERROR(VLOOKUP($A$1&amp;"-"&amp;ROW(K5),基本資料填寫!$A:$DN,COLUMN(基本資料填寫!AP6),0),"")</f>
        <v/>
      </c>
      <c r="AO6" s="47" t="str">
        <f>IFERROR(VLOOKUP($A$1&amp;"-"&amp;ROW(J5),基本資料填寫!$A:$DN,COLUMN(基本資料填寫!AO6),0),"")</f>
        <v/>
      </c>
      <c r="AP6" s="47" t="str">
        <f>IFERROR(VLOOKUP($A$1&amp;"-"&amp;ROW(AE5),基本資料填寫!$A:$DN,COLUMN(基本資料填寫!AS6),0),"")</f>
        <v/>
      </c>
      <c r="AQ6" s="47" t="str">
        <f>IFERROR(VLOOKUP($A$1&amp;"-"&amp;ROW(AF5),基本資料填寫!$A:$DN,COLUMN(基本資料填寫!AT6),0),"")</f>
        <v/>
      </c>
      <c r="AR6" s="47" t="str">
        <f>IFERROR(VLOOKUP($A$1&amp;"-"&amp;ROW(AG5),基本資料填寫!$A:$DN,COLUMN(基本資料填寫!AU6),0),"")</f>
        <v/>
      </c>
      <c r="AS6" s="47" t="str">
        <f>IFERROR(VLOOKUP($A$1&amp;"-"&amp;ROW(AH5),基本資料填寫!$A:$DN,COLUMN(基本資料填寫!AV6),0),"")</f>
        <v/>
      </c>
      <c r="AT6" s="47" t="str">
        <f>IFERROR(VLOOKUP($A$1&amp;"-"&amp;ROW(AI5),基本資料填寫!$A:$DN,COLUMN(基本資料填寫!AW6),0),"")</f>
        <v/>
      </c>
      <c r="AU6" s="47" t="str">
        <f>IFERROR(VLOOKUP($A$1&amp;"-"&amp;ROW(AJ5),基本資料填寫!$A:$DN,COLUMN(基本資料填寫!AX6),0),"")</f>
        <v/>
      </c>
      <c r="AV6" s="47" t="str">
        <f>IFERROR(VLOOKUP($A$1&amp;"-"&amp;ROW(AK5),基本資料填寫!$A:$DN,COLUMN(基本資料填寫!AY6),0),"")</f>
        <v/>
      </c>
      <c r="AW6" s="47" t="str">
        <f>IFERROR(VLOOKUP($A$1&amp;"-"&amp;ROW(AL5),基本資料填寫!$A:$DN,COLUMN(基本資料填寫!AZ6),0),"")</f>
        <v/>
      </c>
      <c r="AX6" s="47" t="str">
        <f>IFERROR(VLOOKUP($A$1&amp;"-"&amp;ROW(AM5),基本資料填寫!$A:$DN,COLUMN(基本資料填寫!BA6),0),"")</f>
        <v/>
      </c>
      <c r="AY6" s="47" t="str">
        <f>IFERROR(VLOOKUP($A$1&amp;"-"&amp;ROW(AN5),基本資料填寫!$A:$DN,COLUMN(基本資料填寫!BB6),0),"")</f>
        <v/>
      </c>
      <c r="AZ6" s="47" t="str">
        <f>IFERROR(VLOOKUP($A$1&amp;"-"&amp;ROW(AO5),基本資料填寫!$A:$DN,COLUMN(基本資料填寫!BC6),0),"")</f>
        <v/>
      </c>
      <c r="BA6" s="47" t="str">
        <f>IFERROR(VLOOKUP($A$1&amp;"-"&amp;ROW(AP5),基本資料填寫!$A:$DN,COLUMN(基本資料填寫!BD6),0),"")</f>
        <v/>
      </c>
      <c r="BB6" s="47" t="str">
        <f>IFERROR(VLOOKUP($A$1&amp;"-"&amp;ROW(AQ5),基本資料填寫!$A:$DN,COLUMN(基本資料填寫!BE6),0),"")</f>
        <v/>
      </c>
      <c r="BC6" s="47" t="str">
        <f>IFERROR(VLOOKUP($A$1&amp;"-"&amp;ROW(AR5),基本資料填寫!$A:$DN,COLUMN(基本資料填寫!BF6),0),"")</f>
        <v/>
      </c>
      <c r="BD6" s="47" t="str">
        <f>IFERROR(VLOOKUP($A$1&amp;"-"&amp;ROW(AS5),基本資料填寫!$A:$DN,COLUMN(基本資料填寫!BG6),0),"")</f>
        <v/>
      </c>
      <c r="BE6" s="47" t="str">
        <f>IFERROR(VLOOKUP($A$1&amp;"-"&amp;ROW(AT5),基本資料填寫!$A:$DN,COLUMN(基本資料填寫!BH6),0),"")</f>
        <v/>
      </c>
      <c r="BF6" s="47" t="str">
        <f>IFERROR(VLOOKUP($A$1&amp;"-"&amp;ROW(AU5),基本資料填寫!$A:$DN,COLUMN(基本資料填寫!BI6),0),"")</f>
        <v/>
      </c>
      <c r="BG6" s="47" t="str">
        <f>IFERROR(VLOOKUP($A$1&amp;"-"&amp;ROW(AV5),基本資料填寫!$A:$DN,COLUMN(基本資料填寫!BJ6),0),"")</f>
        <v/>
      </c>
      <c r="BH6" s="47" t="str">
        <f>IFERROR(VLOOKUP($A$1&amp;"-"&amp;ROW(AW5),基本資料填寫!$A:$DN,COLUMN(基本資料填寫!BK6),0),"")</f>
        <v/>
      </c>
      <c r="BI6" s="47" t="str">
        <f>IFERROR(VLOOKUP($A$1&amp;"-"&amp;ROW(AX5),基本資料填寫!$A:$DN,COLUMN(基本資料填寫!BL6),0),"")</f>
        <v/>
      </c>
      <c r="BJ6" s="47" t="str">
        <f>IFERROR(VLOOKUP($A$1&amp;"-"&amp;ROW(AY5),基本資料填寫!$A:$DN,COLUMN(基本資料填寫!BM6),0),"")</f>
        <v/>
      </c>
      <c r="BK6" s="47" t="str">
        <f>IFERROR(VLOOKUP($A$1&amp;"-"&amp;ROW(AZ5),基本資料填寫!$A:$DN,COLUMN(基本資料填寫!BN6),0),"")</f>
        <v/>
      </c>
      <c r="BL6" s="47" t="str">
        <f>IFERROR(VLOOKUP($A$1&amp;"-"&amp;ROW(BA5),基本資料填寫!$A:$DN,COLUMN(基本資料填寫!BO6),0),"")</f>
        <v/>
      </c>
      <c r="BM6" s="47" t="str">
        <f>IFERROR(VLOOKUP($A$1&amp;"-"&amp;ROW(BB5),基本資料填寫!$A:$DN,COLUMN(基本資料填寫!BP6),0),"")</f>
        <v/>
      </c>
      <c r="BN6" s="47" t="str">
        <f>IFERROR(VLOOKUP($A$1&amp;"-"&amp;ROW(BC5),基本資料填寫!$A:$DN,COLUMN(基本資料填寫!BQ6),0),"")</f>
        <v/>
      </c>
      <c r="BO6" s="47" t="str">
        <f>IFERROR(VLOOKUP($A$1&amp;"-"&amp;ROW(BD5),基本資料填寫!$A:$DN,COLUMN(基本資料填寫!BR6),0),"")</f>
        <v/>
      </c>
    </row>
    <row r="7" spans="1:67" x14ac:dyDescent="0.3">
      <c r="B7" s="47" t="str">
        <f>IFERROR(VLOOKUP($A$1&amp;"-"&amp;ROW(A6),基本資料填寫!$A:$DN,COLUMN(基本資料填寫!K7),0),"")</f>
        <v/>
      </c>
      <c r="C7" s="47" t="str">
        <f>IFERROR(VLOOKUP($A$1&amp;"-"&amp;ROW(B6),基本資料填寫!$A:$DN,COLUMN(基本資料填寫!L7),0),"")</f>
        <v/>
      </c>
      <c r="D7" s="47" t="str">
        <f>IF(E7="","",COUNTA($E$2:E7))</f>
        <v/>
      </c>
      <c r="E7" s="47" t="str">
        <f>IFERROR(VLOOKUP($A$1&amp;"-"&amp;ROW(E6),基本資料填寫!$A:$DN,COLUMN(基本資料填寫!S7),0),"")</f>
        <v/>
      </c>
      <c r="G7" s="47" t="str">
        <f>IFERROR(VLOOKUP($A$1&amp;"-"&amp;ROW(G6),基本資料填寫!$A:$DN,COLUMN(基本資料填寫!V7),0),"")</f>
        <v/>
      </c>
      <c r="H7" s="47" t="str">
        <f>IFERROR(VLOOKUP($A$1&amp;"-"&amp;ROW(BI6),基本資料填寫!$A:$DN,COLUMN(基本資料填寫!BW7),0),"")</f>
        <v/>
      </c>
      <c r="I7" s="47" t="str">
        <f>IFERROR(VLOOKUP($A$1&amp;"-"&amp;ROW(I6),基本資料填寫!$A:$DN,COLUMN(基本資料填寫!AN7),0),"")</f>
        <v/>
      </c>
      <c r="J7" s="47" t="str">
        <f>IFERROR(VLOOKUP($A$1&amp;"-"&amp;ROW(K6),基本資料填寫!$A:$DN,COLUMN(基本資料填寫!R7),0),"")</f>
        <v/>
      </c>
      <c r="K7" s="47" t="str">
        <f>IFERROR(VLOOKUP($A$1&amp;"-"&amp;ROW(AA6),基本資料填寫!$A:$DN,COLUMN(基本資料填寫!BX7),0),"")</f>
        <v/>
      </c>
      <c r="L7" s="47" t="str">
        <f>IFERROR(VLOOKUP($A$1&amp;"-"&amp;ROW(S6),基本資料填寫!$A:$DN,COLUMN(基本資料填寫!Z7),0),"")</f>
        <v/>
      </c>
      <c r="M7" s="47" t="str">
        <f>IFERROR(VLOOKUP($A$1&amp;"-"&amp;ROW(T6),基本資料填寫!$A:$DN,COLUMN(基本資料填寫!AA7),0),"")</f>
        <v/>
      </c>
      <c r="N7" s="47" t="str">
        <f>IFERROR(VLOOKUP($A$1&amp;"-"&amp;ROW(AB6),基本資料填寫!$A:$DN,COLUMN(基本資料填寫!BY7),0),"")</f>
        <v/>
      </c>
      <c r="O7" s="47" t="str">
        <f>IFERROR(VLOOKUP($A$1&amp;"-"&amp;ROW(AC6),基本資料填寫!$A:$DN,COLUMN(基本資料填寫!BZ7),0),"")</f>
        <v/>
      </c>
      <c r="P7" s="47" t="str">
        <f>IFERROR(VLOOKUP($A$1&amp;"-"&amp;ROW(AD6),基本資料填寫!$A:$DN,COLUMN(基本資料填寫!CA7),0),"")</f>
        <v/>
      </c>
      <c r="Q7" s="47" t="str">
        <f>IFERROR(VLOOKUP($A$1&amp;"-"&amp;ROW(J6),基本資料填寫!$A:$DN,COLUMN(基本資料填寫!AO7),0),"")</f>
        <v/>
      </c>
      <c r="R7" s="47" t="str">
        <f>IFERROR(VLOOKUP($A$1&amp;"-"&amp;ROW(AE6),基本資料填寫!$A:$DN,COLUMN(基本資料填寫!CB7),0),"")</f>
        <v/>
      </c>
      <c r="S7" s="47" t="str">
        <f>IFERROR(VLOOKUP($A$1&amp;"-"&amp;ROW(AF6),基本資料填寫!$A:$DN,COLUMN(基本資料填寫!CC7),0),"")</f>
        <v/>
      </c>
      <c r="T7" s="47" t="str">
        <f>IFERROR(VLOOKUP($A$1&amp;"-"&amp;ROW(AG6),基本資料填寫!$A:$DN,COLUMN(基本資料填寫!CD7),0),"")</f>
        <v/>
      </c>
      <c r="U7" s="47" t="str">
        <f>IFERROR(VLOOKUP($A$1&amp;"-"&amp;ROW(AH6),基本資料填寫!$A:$DN,COLUMN(基本資料填寫!CE7),0),"")</f>
        <v/>
      </c>
      <c r="V7" s="47" t="str">
        <f>IFERROR(VLOOKUP($A$1&amp;"-"&amp;ROW(AI6),基本資料填寫!$A:$DN,COLUMN(基本資料填寫!CF7),0),"")</f>
        <v/>
      </c>
      <c r="W7" s="47" t="str">
        <f>IFERROR(VLOOKUP($A$1&amp;"-"&amp;ROW(AJ6),基本資料填寫!$A:$DN,COLUMN(基本資料填寫!CG7),0),"")</f>
        <v/>
      </c>
      <c r="X7" s="47" t="str">
        <f>IFERROR(VLOOKUP($A$1&amp;"-"&amp;ROW(AK6),基本資料填寫!$A:$DN,COLUMN(基本資料填寫!CH7),0),"")</f>
        <v/>
      </c>
      <c r="Y7" s="47" t="str">
        <f>IFERROR(VLOOKUP($A$1&amp;"-"&amp;ROW(AL6),基本資料填寫!$A:$DN,COLUMN(基本資料填寫!CI7),0),"")</f>
        <v/>
      </c>
      <c r="Z7" s="47" t="str">
        <f>IFERROR(VLOOKUP($A$1&amp;"-"&amp;ROW(H6),基本資料填寫!$A:$DN,COLUMN(基本資料填寫!O7),0),"")</f>
        <v/>
      </c>
      <c r="AA7" s="47" t="str">
        <f>IFERROR(VLOOKUP($A$1&amp;"-"&amp;ROW(AM6),基本資料填寫!$A:$DN,COLUMN(基本資料填寫!CJ7),0),"")</f>
        <v/>
      </c>
      <c r="AB7" s="47" t="str">
        <f>IFERROR(VLOOKUP($A$1&amp;"-"&amp;ROW(AN6),基本資料填寫!$A:$DN,COLUMN(基本資料填寫!CK7),0),"")</f>
        <v/>
      </c>
      <c r="AC7" s="47" t="str">
        <f>IFERROR(VLOOKUP($A$1&amp;"-"&amp;ROW(AP6),基本資料填寫!$A:$DN,COLUMN(基本資料填寫!CN7),0),"")</f>
        <v/>
      </c>
      <c r="AD7" s="47" t="str">
        <f>IFERROR(VLOOKUP($A$1&amp;"-"&amp;ROW(AQ6),基本資料填寫!$A:$DN,COLUMN(基本資料填寫!CO7),0),"")</f>
        <v/>
      </c>
      <c r="AE7" s="47" t="str">
        <f>IFERROR(VLOOKUP($A$1&amp;"-"&amp;ROW(AR6),基本資料填寫!$A:$DN,COLUMN(基本資料填寫!CP7),0),"")</f>
        <v/>
      </c>
      <c r="AF7" s="47" t="str">
        <f>IFERROR(VLOOKUP($A$1&amp;"-"&amp;ROW(AS6),基本資料填寫!$A:$DN,COLUMN(基本資料填寫!CQ7),0),"")</f>
        <v/>
      </c>
      <c r="AG7" s="47" t="str">
        <f>IFERROR(VLOOKUP($A$1&amp;"-"&amp;ROW(AT6),基本資料填寫!$A:$DN,COLUMN(基本資料填寫!CR7),0),"")</f>
        <v/>
      </c>
      <c r="AH7" s="47" t="str">
        <f>IFERROR(VLOOKUP($A$1&amp;"-"&amp;ROW(AU6),基本資料填寫!$A:$DN,COLUMN(基本資料填寫!CS7),0),"")</f>
        <v/>
      </c>
      <c r="AI7" s="47" t="str">
        <f>IFERROR(VLOOKUP($A$1&amp;"-"&amp;ROW(P6),基本資料填寫!$A:$DN,COLUMN(基本資料填寫!X7),0),"")</f>
        <v/>
      </c>
      <c r="AJ7" s="47" t="str">
        <f>IFERROR(VLOOKUP($A$1&amp;"-"&amp;ROW(AV6),基本資料填寫!$A:$DN,COLUMN(基本資料填寫!CT7),0),"")</f>
        <v/>
      </c>
      <c r="AK7" s="47" t="str">
        <f>IFERROR(VLOOKUP($A$1&amp;"-"&amp;ROW(AC6),基本資料填寫!$A:$DN,COLUMN(基本資料填寫!AQ7),0),"")</f>
        <v/>
      </c>
      <c r="AL7" s="47" t="str">
        <f>IFERROR(VLOOKUP($A$1&amp;"-"&amp;ROW(AO6),基本資料填寫!$A:$DN,COLUMN(基本資料填寫!CM7),0),"")</f>
        <v/>
      </c>
      <c r="AM7" s="47" t="str">
        <f>IFERROR(VLOOKUP($A$1&amp;"-"&amp;ROW(AD6),基本資料填寫!$A:$DN,COLUMN(基本資料填寫!AR7),0),"")</f>
        <v/>
      </c>
      <c r="AN7" s="47" t="str">
        <f>IFERROR(VLOOKUP($A$1&amp;"-"&amp;ROW(K6),基本資料填寫!$A:$DN,COLUMN(基本資料填寫!AP7),0),"")</f>
        <v/>
      </c>
      <c r="AO7" s="47" t="str">
        <f>IFERROR(VLOOKUP($A$1&amp;"-"&amp;ROW(J6),基本資料填寫!$A:$DN,COLUMN(基本資料填寫!AO7),0),"")</f>
        <v/>
      </c>
      <c r="AP7" s="47" t="str">
        <f>IFERROR(VLOOKUP($A$1&amp;"-"&amp;ROW(AE6),基本資料填寫!$A:$DN,COLUMN(基本資料填寫!AS7),0),"")</f>
        <v/>
      </c>
      <c r="AQ7" s="47" t="str">
        <f>IFERROR(VLOOKUP($A$1&amp;"-"&amp;ROW(AF6),基本資料填寫!$A:$DN,COLUMN(基本資料填寫!AT7),0),"")</f>
        <v/>
      </c>
      <c r="AR7" s="47" t="str">
        <f>IFERROR(VLOOKUP($A$1&amp;"-"&amp;ROW(AG6),基本資料填寫!$A:$DN,COLUMN(基本資料填寫!AU7),0),"")</f>
        <v/>
      </c>
      <c r="AS7" s="47" t="str">
        <f>IFERROR(VLOOKUP($A$1&amp;"-"&amp;ROW(AH6),基本資料填寫!$A:$DN,COLUMN(基本資料填寫!AV7),0),"")</f>
        <v/>
      </c>
      <c r="AT7" s="47" t="str">
        <f>IFERROR(VLOOKUP($A$1&amp;"-"&amp;ROW(AI6),基本資料填寫!$A:$DN,COLUMN(基本資料填寫!AW7),0),"")</f>
        <v/>
      </c>
      <c r="AU7" s="47" t="str">
        <f>IFERROR(VLOOKUP($A$1&amp;"-"&amp;ROW(AJ6),基本資料填寫!$A:$DN,COLUMN(基本資料填寫!AX7),0),"")</f>
        <v/>
      </c>
      <c r="AV7" s="47" t="str">
        <f>IFERROR(VLOOKUP($A$1&amp;"-"&amp;ROW(AK6),基本資料填寫!$A:$DN,COLUMN(基本資料填寫!AY7),0),"")</f>
        <v/>
      </c>
      <c r="AW7" s="47" t="str">
        <f>IFERROR(VLOOKUP($A$1&amp;"-"&amp;ROW(AL6),基本資料填寫!$A:$DN,COLUMN(基本資料填寫!AZ7),0),"")</f>
        <v/>
      </c>
      <c r="AX7" s="47" t="str">
        <f>IFERROR(VLOOKUP($A$1&amp;"-"&amp;ROW(AM6),基本資料填寫!$A:$DN,COLUMN(基本資料填寫!BA7),0),"")</f>
        <v/>
      </c>
      <c r="AY7" s="47" t="str">
        <f>IFERROR(VLOOKUP($A$1&amp;"-"&amp;ROW(AN6),基本資料填寫!$A:$DN,COLUMN(基本資料填寫!BB7),0),"")</f>
        <v/>
      </c>
      <c r="AZ7" s="47" t="str">
        <f>IFERROR(VLOOKUP($A$1&amp;"-"&amp;ROW(AO6),基本資料填寫!$A:$DN,COLUMN(基本資料填寫!BC7),0),"")</f>
        <v/>
      </c>
      <c r="BA7" s="47" t="str">
        <f>IFERROR(VLOOKUP($A$1&amp;"-"&amp;ROW(AP6),基本資料填寫!$A:$DN,COLUMN(基本資料填寫!BD7),0),"")</f>
        <v/>
      </c>
      <c r="BB7" s="47" t="str">
        <f>IFERROR(VLOOKUP($A$1&amp;"-"&amp;ROW(AQ6),基本資料填寫!$A:$DN,COLUMN(基本資料填寫!BE7),0),"")</f>
        <v/>
      </c>
      <c r="BC7" s="47" t="str">
        <f>IFERROR(VLOOKUP($A$1&amp;"-"&amp;ROW(AR6),基本資料填寫!$A:$DN,COLUMN(基本資料填寫!BF7),0),"")</f>
        <v/>
      </c>
      <c r="BD7" s="47" t="str">
        <f>IFERROR(VLOOKUP($A$1&amp;"-"&amp;ROW(AS6),基本資料填寫!$A:$DN,COLUMN(基本資料填寫!BG7),0),"")</f>
        <v/>
      </c>
      <c r="BE7" s="47" t="str">
        <f>IFERROR(VLOOKUP($A$1&amp;"-"&amp;ROW(AT6),基本資料填寫!$A:$DN,COLUMN(基本資料填寫!BH7),0),"")</f>
        <v/>
      </c>
      <c r="BF7" s="47" t="str">
        <f>IFERROR(VLOOKUP($A$1&amp;"-"&amp;ROW(AU6),基本資料填寫!$A:$DN,COLUMN(基本資料填寫!BI7),0),"")</f>
        <v/>
      </c>
      <c r="BG7" s="47" t="str">
        <f>IFERROR(VLOOKUP($A$1&amp;"-"&amp;ROW(AV6),基本資料填寫!$A:$DN,COLUMN(基本資料填寫!BJ7),0),"")</f>
        <v/>
      </c>
      <c r="BH7" s="47" t="str">
        <f>IFERROR(VLOOKUP($A$1&amp;"-"&amp;ROW(AW6),基本資料填寫!$A:$DN,COLUMN(基本資料填寫!BK7),0),"")</f>
        <v/>
      </c>
      <c r="BI7" s="47" t="str">
        <f>IFERROR(VLOOKUP($A$1&amp;"-"&amp;ROW(AX6),基本資料填寫!$A:$DN,COLUMN(基本資料填寫!BL7),0),"")</f>
        <v/>
      </c>
      <c r="BJ7" s="47" t="str">
        <f>IFERROR(VLOOKUP($A$1&amp;"-"&amp;ROW(AY6),基本資料填寫!$A:$DN,COLUMN(基本資料填寫!BM7),0),"")</f>
        <v/>
      </c>
      <c r="BK7" s="47" t="str">
        <f>IFERROR(VLOOKUP($A$1&amp;"-"&amp;ROW(AZ6),基本資料填寫!$A:$DN,COLUMN(基本資料填寫!BN7),0),"")</f>
        <v/>
      </c>
      <c r="BL7" s="47" t="str">
        <f>IFERROR(VLOOKUP($A$1&amp;"-"&amp;ROW(BA6),基本資料填寫!$A:$DN,COLUMN(基本資料填寫!BO7),0),"")</f>
        <v/>
      </c>
      <c r="BM7" s="47" t="str">
        <f>IFERROR(VLOOKUP($A$1&amp;"-"&amp;ROW(BB6),基本資料填寫!$A:$DN,COLUMN(基本資料填寫!BP7),0),"")</f>
        <v/>
      </c>
      <c r="BN7" s="47" t="str">
        <f>IFERROR(VLOOKUP($A$1&amp;"-"&amp;ROW(BC6),基本資料填寫!$A:$DN,COLUMN(基本資料填寫!BQ7),0),"")</f>
        <v/>
      </c>
      <c r="BO7" s="47" t="str">
        <f>IFERROR(VLOOKUP($A$1&amp;"-"&amp;ROW(BD6),基本資料填寫!$A:$DN,COLUMN(基本資料填寫!BR7),0),"")</f>
        <v/>
      </c>
    </row>
    <row r="8" spans="1:67" x14ac:dyDescent="0.3">
      <c r="B8" s="47" t="str">
        <f>IFERROR(VLOOKUP($A$1&amp;"-"&amp;ROW(A7),基本資料填寫!$A:$DN,COLUMN(基本資料填寫!K8),0),"")</f>
        <v/>
      </c>
      <c r="C8" s="47" t="str">
        <f>IFERROR(VLOOKUP($A$1&amp;"-"&amp;ROW(B7),基本資料填寫!$A:$DN,COLUMN(基本資料填寫!L8),0),"")</f>
        <v/>
      </c>
      <c r="D8" s="47" t="str">
        <f>IF(E8="","",COUNTA($E$2:E8))</f>
        <v/>
      </c>
      <c r="E8" s="47" t="str">
        <f>IFERROR(VLOOKUP($A$1&amp;"-"&amp;ROW(E7),基本資料填寫!$A:$DN,COLUMN(基本資料填寫!S8),0),"")</f>
        <v/>
      </c>
      <c r="G8" s="47" t="str">
        <f>IFERROR(VLOOKUP($A$1&amp;"-"&amp;ROW(G7),基本資料填寫!$A:$DN,COLUMN(基本資料填寫!V8),0),"")</f>
        <v/>
      </c>
      <c r="H8" s="47" t="str">
        <f>IFERROR(VLOOKUP($A$1&amp;"-"&amp;ROW(BI7),基本資料填寫!$A:$DN,COLUMN(基本資料填寫!BW8),0),"")</f>
        <v/>
      </c>
      <c r="I8" s="47" t="str">
        <f>IFERROR(VLOOKUP($A$1&amp;"-"&amp;ROW(I7),基本資料填寫!$A:$DN,COLUMN(基本資料填寫!AN8),0),"")</f>
        <v/>
      </c>
      <c r="J8" s="47" t="str">
        <f>IFERROR(VLOOKUP($A$1&amp;"-"&amp;ROW(K7),基本資料填寫!$A:$DN,COLUMN(基本資料填寫!R8),0),"")</f>
        <v/>
      </c>
      <c r="K8" s="47" t="str">
        <f>IFERROR(VLOOKUP($A$1&amp;"-"&amp;ROW(AA7),基本資料填寫!$A:$DN,COLUMN(基本資料填寫!BX8),0),"")</f>
        <v/>
      </c>
      <c r="L8" s="47" t="str">
        <f>IFERROR(VLOOKUP($A$1&amp;"-"&amp;ROW(S7),基本資料填寫!$A:$DN,COLUMN(基本資料填寫!Z8),0),"")</f>
        <v/>
      </c>
      <c r="M8" s="47" t="str">
        <f>IFERROR(VLOOKUP($A$1&amp;"-"&amp;ROW(T7),基本資料填寫!$A:$DN,COLUMN(基本資料填寫!AA8),0),"")</f>
        <v/>
      </c>
      <c r="N8" s="47" t="str">
        <f>IFERROR(VLOOKUP($A$1&amp;"-"&amp;ROW(AB7),基本資料填寫!$A:$DN,COLUMN(基本資料填寫!BY8),0),"")</f>
        <v/>
      </c>
      <c r="O8" s="47" t="str">
        <f>IFERROR(VLOOKUP($A$1&amp;"-"&amp;ROW(AC7),基本資料填寫!$A:$DN,COLUMN(基本資料填寫!BZ8),0),"")</f>
        <v/>
      </c>
      <c r="P8" s="47" t="str">
        <f>IFERROR(VLOOKUP($A$1&amp;"-"&amp;ROW(AD7),基本資料填寫!$A:$DN,COLUMN(基本資料填寫!CA8),0),"")</f>
        <v/>
      </c>
      <c r="Q8" s="47" t="str">
        <f>IFERROR(VLOOKUP($A$1&amp;"-"&amp;ROW(J7),基本資料填寫!$A:$DN,COLUMN(基本資料填寫!AO8),0),"")</f>
        <v/>
      </c>
      <c r="R8" s="47" t="str">
        <f>IFERROR(VLOOKUP($A$1&amp;"-"&amp;ROW(AE7),基本資料填寫!$A:$DN,COLUMN(基本資料填寫!CB8),0),"")</f>
        <v/>
      </c>
      <c r="S8" s="47" t="str">
        <f>IFERROR(VLOOKUP($A$1&amp;"-"&amp;ROW(AF7),基本資料填寫!$A:$DN,COLUMN(基本資料填寫!CC8),0),"")</f>
        <v/>
      </c>
      <c r="T8" s="47" t="str">
        <f>IFERROR(VLOOKUP($A$1&amp;"-"&amp;ROW(AG7),基本資料填寫!$A:$DN,COLUMN(基本資料填寫!CD8),0),"")</f>
        <v/>
      </c>
      <c r="U8" s="47" t="str">
        <f>IFERROR(VLOOKUP($A$1&amp;"-"&amp;ROW(AH7),基本資料填寫!$A:$DN,COLUMN(基本資料填寫!CE8),0),"")</f>
        <v/>
      </c>
      <c r="V8" s="47" t="str">
        <f>IFERROR(VLOOKUP($A$1&amp;"-"&amp;ROW(AI7),基本資料填寫!$A:$DN,COLUMN(基本資料填寫!CF8),0),"")</f>
        <v/>
      </c>
      <c r="W8" s="47" t="str">
        <f>IFERROR(VLOOKUP($A$1&amp;"-"&amp;ROW(AJ7),基本資料填寫!$A:$DN,COLUMN(基本資料填寫!CG8),0),"")</f>
        <v/>
      </c>
      <c r="X8" s="47" t="str">
        <f>IFERROR(VLOOKUP($A$1&amp;"-"&amp;ROW(AK7),基本資料填寫!$A:$DN,COLUMN(基本資料填寫!CH8),0),"")</f>
        <v/>
      </c>
      <c r="Y8" s="47" t="str">
        <f>IFERROR(VLOOKUP($A$1&amp;"-"&amp;ROW(AL7),基本資料填寫!$A:$DN,COLUMN(基本資料填寫!CI8),0),"")</f>
        <v/>
      </c>
      <c r="Z8" s="47" t="str">
        <f>IFERROR(VLOOKUP($A$1&amp;"-"&amp;ROW(H7),基本資料填寫!$A:$DN,COLUMN(基本資料填寫!O8),0),"")</f>
        <v/>
      </c>
      <c r="AA8" s="47" t="str">
        <f>IFERROR(VLOOKUP($A$1&amp;"-"&amp;ROW(AM7),基本資料填寫!$A:$DN,COLUMN(基本資料填寫!CJ8),0),"")</f>
        <v/>
      </c>
      <c r="AB8" s="47" t="str">
        <f>IFERROR(VLOOKUP($A$1&amp;"-"&amp;ROW(AN7),基本資料填寫!$A:$DN,COLUMN(基本資料填寫!CK8),0),"")</f>
        <v/>
      </c>
      <c r="AC8" s="47" t="str">
        <f>IFERROR(VLOOKUP($A$1&amp;"-"&amp;ROW(AP7),基本資料填寫!$A:$DN,COLUMN(基本資料填寫!CN8),0),"")</f>
        <v/>
      </c>
      <c r="AD8" s="47" t="str">
        <f>IFERROR(VLOOKUP($A$1&amp;"-"&amp;ROW(AQ7),基本資料填寫!$A:$DN,COLUMN(基本資料填寫!CO8),0),"")</f>
        <v/>
      </c>
      <c r="AE8" s="47" t="str">
        <f>IFERROR(VLOOKUP($A$1&amp;"-"&amp;ROW(AR7),基本資料填寫!$A:$DN,COLUMN(基本資料填寫!CP8),0),"")</f>
        <v/>
      </c>
      <c r="AF8" s="47" t="str">
        <f>IFERROR(VLOOKUP($A$1&amp;"-"&amp;ROW(AS7),基本資料填寫!$A:$DN,COLUMN(基本資料填寫!CQ8),0),"")</f>
        <v/>
      </c>
      <c r="AG8" s="47" t="str">
        <f>IFERROR(VLOOKUP($A$1&amp;"-"&amp;ROW(AT7),基本資料填寫!$A:$DN,COLUMN(基本資料填寫!CR8),0),"")</f>
        <v/>
      </c>
      <c r="AH8" s="47" t="str">
        <f>IFERROR(VLOOKUP($A$1&amp;"-"&amp;ROW(AU7),基本資料填寫!$A:$DN,COLUMN(基本資料填寫!CS8),0),"")</f>
        <v/>
      </c>
      <c r="AI8" s="47" t="str">
        <f>IFERROR(VLOOKUP($A$1&amp;"-"&amp;ROW(P7),基本資料填寫!$A:$DN,COLUMN(基本資料填寫!X8),0),"")</f>
        <v/>
      </c>
      <c r="AJ8" s="47" t="str">
        <f>IFERROR(VLOOKUP($A$1&amp;"-"&amp;ROW(AV7),基本資料填寫!$A:$DN,COLUMN(基本資料填寫!CT8),0),"")</f>
        <v/>
      </c>
      <c r="AK8" s="47" t="str">
        <f>IFERROR(VLOOKUP($A$1&amp;"-"&amp;ROW(AC7),基本資料填寫!$A:$DN,COLUMN(基本資料填寫!AQ8),0),"")</f>
        <v/>
      </c>
      <c r="AL8" s="47" t="str">
        <f>IFERROR(VLOOKUP($A$1&amp;"-"&amp;ROW(AO7),基本資料填寫!$A:$DN,COLUMN(基本資料填寫!CM8),0),"")</f>
        <v/>
      </c>
      <c r="AM8" s="47" t="str">
        <f>IFERROR(VLOOKUP($A$1&amp;"-"&amp;ROW(AD7),基本資料填寫!$A:$DN,COLUMN(基本資料填寫!AR8),0),"")</f>
        <v/>
      </c>
      <c r="AN8" s="47" t="str">
        <f>IFERROR(VLOOKUP($A$1&amp;"-"&amp;ROW(K7),基本資料填寫!$A:$DN,COLUMN(基本資料填寫!AP8),0),"")</f>
        <v/>
      </c>
      <c r="AO8" s="47" t="str">
        <f>IFERROR(VLOOKUP($A$1&amp;"-"&amp;ROW(J7),基本資料填寫!$A:$DN,COLUMN(基本資料填寫!AO8),0),"")</f>
        <v/>
      </c>
      <c r="AP8" s="47" t="str">
        <f>IFERROR(VLOOKUP($A$1&amp;"-"&amp;ROW(AE7),基本資料填寫!$A:$DN,COLUMN(基本資料填寫!AS8),0),"")</f>
        <v/>
      </c>
      <c r="AQ8" s="47" t="str">
        <f>IFERROR(VLOOKUP($A$1&amp;"-"&amp;ROW(AF7),基本資料填寫!$A:$DN,COLUMN(基本資料填寫!AT8),0),"")</f>
        <v/>
      </c>
      <c r="AR8" s="47" t="str">
        <f>IFERROR(VLOOKUP($A$1&amp;"-"&amp;ROW(AG7),基本資料填寫!$A:$DN,COLUMN(基本資料填寫!AU8),0),"")</f>
        <v/>
      </c>
      <c r="AS8" s="47" t="str">
        <f>IFERROR(VLOOKUP($A$1&amp;"-"&amp;ROW(AH7),基本資料填寫!$A:$DN,COLUMN(基本資料填寫!AV8),0),"")</f>
        <v/>
      </c>
      <c r="AT8" s="47" t="str">
        <f>IFERROR(VLOOKUP($A$1&amp;"-"&amp;ROW(AI7),基本資料填寫!$A:$DN,COLUMN(基本資料填寫!AW8),0),"")</f>
        <v/>
      </c>
      <c r="AU8" s="47" t="str">
        <f>IFERROR(VLOOKUP($A$1&amp;"-"&amp;ROW(AJ7),基本資料填寫!$A:$DN,COLUMN(基本資料填寫!AX8),0),"")</f>
        <v/>
      </c>
      <c r="AV8" s="47" t="str">
        <f>IFERROR(VLOOKUP($A$1&amp;"-"&amp;ROW(AK7),基本資料填寫!$A:$DN,COLUMN(基本資料填寫!AY8),0),"")</f>
        <v/>
      </c>
      <c r="AW8" s="47" t="str">
        <f>IFERROR(VLOOKUP($A$1&amp;"-"&amp;ROW(AL7),基本資料填寫!$A:$DN,COLUMN(基本資料填寫!AZ8),0),"")</f>
        <v/>
      </c>
      <c r="AX8" s="47" t="str">
        <f>IFERROR(VLOOKUP($A$1&amp;"-"&amp;ROW(AM7),基本資料填寫!$A:$DN,COLUMN(基本資料填寫!BA8),0),"")</f>
        <v/>
      </c>
      <c r="AY8" s="47" t="str">
        <f>IFERROR(VLOOKUP($A$1&amp;"-"&amp;ROW(AN7),基本資料填寫!$A:$DN,COLUMN(基本資料填寫!BB8),0),"")</f>
        <v/>
      </c>
      <c r="AZ8" s="47" t="str">
        <f>IFERROR(VLOOKUP($A$1&amp;"-"&amp;ROW(AO7),基本資料填寫!$A:$DN,COLUMN(基本資料填寫!BC8),0),"")</f>
        <v/>
      </c>
      <c r="BA8" s="47" t="str">
        <f>IFERROR(VLOOKUP($A$1&amp;"-"&amp;ROW(AP7),基本資料填寫!$A:$DN,COLUMN(基本資料填寫!BD8),0),"")</f>
        <v/>
      </c>
      <c r="BB8" s="47" t="str">
        <f>IFERROR(VLOOKUP($A$1&amp;"-"&amp;ROW(AQ7),基本資料填寫!$A:$DN,COLUMN(基本資料填寫!BE8),0),"")</f>
        <v/>
      </c>
      <c r="BC8" s="47" t="str">
        <f>IFERROR(VLOOKUP($A$1&amp;"-"&amp;ROW(AR7),基本資料填寫!$A:$DN,COLUMN(基本資料填寫!BF8),0),"")</f>
        <v/>
      </c>
      <c r="BD8" s="47" t="str">
        <f>IFERROR(VLOOKUP($A$1&amp;"-"&amp;ROW(AS7),基本資料填寫!$A:$DN,COLUMN(基本資料填寫!BG8),0),"")</f>
        <v/>
      </c>
      <c r="BE8" s="47" t="str">
        <f>IFERROR(VLOOKUP($A$1&amp;"-"&amp;ROW(AT7),基本資料填寫!$A:$DN,COLUMN(基本資料填寫!BH8),0),"")</f>
        <v/>
      </c>
      <c r="BF8" s="47" t="str">
        <f>IFERROR(VLOOKUP($A$1&amp;"-"&amp;ROW(AU7),基本資料填寫!$A:$DN,COLUMN(基本資料填寫!BI8),0),"")</f>
        <v/>
      </c>
      <c r="BG8" s="47" t="str">
        <f>IFERROR(VLOOKUP($A$1&amp;"-"&amp;ROW(AV7),基本資料填寫!$A:$DN,COLUMN(基本資料填寫!BJ8),0),"")</f>
        <v/>
      </c>
      <c r="BH8" s="47" t="str">
        <f>IFERROR(VLOOKUP($A$1&amp;"-"&amp;ROW(AW7),基本資料填寫!$A:$DN,COLUMN(基本資料填寫!BK8),0),"")</f>
        <v/>
      </c>
      <c r="BI8" s="47" t="str">
        <f>IFERROR(VLOOKUP($A$1&amp;"-"&amp;ROW(AX7),基本資料填寫!$A:$DN,COLUMN(基本資料填寫!BL8),0),"")</f>
        <v/>
      </c>
      <c r="BJ8" s="47" t="str">
        <f>IFERROR(VLOOKUP($A$1&amp;"-"&amp;ROW(AY7),基本資料填寫!$A:$DN,COLUMN(基本資料填寫!BM8),0),"")</f>
        <v/>
      </c>
      <c r="BK8" s="47" t="str">
        <f>IFERROR(VLOOKUP($A$1&amp;"-"&amp;ROW(AZ7),基本資料填寫!$A:$DN,COLUMN(基本資料填寫!BN8),0),"")</f>
        <v/>
      </c>
      <c r="BL8" s="47" t="str">
        <f>IFERROR(VLOOKUP($A$1&amp;"-"&amp;ROW(BA7),基本資料填寫!$A:$DN,COLUMN(基本資料填寫!BO8),0),"")</f>
        <v/>
      </c>
      <c r="BM8" s="47" t="str">
        <f>IFERROR(VLOOKUP($A$1&amp;"-"&amp;ROW(BB7),基本資料填寫!$A:$DN,COLUMN(基本資料填寫!BP8),0),"")</f>
        <v/>
      </c>
      <c r="BN8" s="47" t="str">
        <f>IFERROR(VLOOKUP($A$1&amp;"-"&amp;ROW(BC7),基本資料填寫!$A:$DN,COLUMN(基本資料填寫!BQ8),0),"")</f>
        <v/>
      </c>
      <c r="BO8" s="47" t="str">
        <f>IFERROR(VLOOKUP($A$1&amp;"-"&amp;ROW(BD7),基本資料填寫!$A:$DN,COLUMN(基本資料填寫!BR8),0),"")</f>
        <v/>
      </c>
    </row>
    <row r="9" spans="1:67" x14ac:dyDescent="0.3">
      <c r="B9" s="47" t="str">
        <f>IFERROR(VLOOKUP($A$1&amp;"-"&amp;ROW(A8),基本資料填寫!$A:$DN,COLUMN(基本資料填寫!K9),0),"")</f>
        <v/>
      </c>
      <c r="C9" s="47" t="str">
        <f>IFERROR(VLOOKUP($A$1&amp;"-"&amp;ROW(B8),基本資料填寫!$A:$DN,COLUMN(基本資料填寫!L9),0),"")</f>
        <v/>
      </c>
      <c r="D9" s="47" t="str">
        <f>IF(E9="","",COUNTA($E$2:E9))</f>
        <v/>
      </c>
      <c r="E9" s="47" t="str">
        <f>IFERROR(VLOOKUP($A$1&amp;"-"&amp;ROW(E8),基本資料填寫!$A:$DN,COLUMN(基本資料填寫!S9),0),"")</f>
        <v/>
      </c>
      <c r="G9" s="47" t="str">
        <f>IFERROR(VLOOKUP($A$1&amp;"-"&amp;ROW(G8),基本資料填寫!$A:$DN,COLUMN(基本資料填寫!V9),0),"")</f>
        <v/>
      </c>
      <c r="H9" s="47" t="str">
        <f>IFERROR(VLOOKUP($A$1&amp;"-"&amp;ROW(BI8),基本資料填寫!$A:$DN,COLUMN(基本資料填寫!BW9),0),"")</f>
        <v/>
      </c>
      <c r="I9" s="47" t="str">
        <f>IFERROR(VLOOKUP($A$1&amp;"-"&amp;ROW(I8),基本資料填寫!$A:$DN,COLUMN(基本資料填寫!AN9),0),"")</f>
        <v/>
      </c>
      <c r="J9" s="47" t="str">
        <f>IFERROR(VLOOKUP($A$1&amp;"-"&amp;ROW(K8),基本資料填寫!$A:$DN,COLUMN(基本資料填寫!R9),0),"")</f>
        <v/>
      </c>
      <c r="K9" s="47" t="str">
        <f>IFERROR(VLOOKUP($A$1&amp;"-"&amp;ROW(AA8),基本資料填寫!$A:$DN,COLUMN(基本資料填寫!BX9),0),"")</f>
        <v/>
      </c>
      <c r="L9" s="47" t="str">
        <f>IFERROR(VLOOKUP($A$1&amp;"-"&amp;ROW(S8),基本資料填寫!$A:$DN,COLUMN(基本資料填寫!Z9),0),"")</f>
        <v/>
      </c>
      <c r="M9" s="47" t="str">
        <f>IFERROR(VLOOKUP($A$1&amp;"-"&amp;ROW(T8),基本資料填寫!$A:$DN,COLUMN(基本資料填寫!AA9),0),"")</f>
        <v/>
      </c>
      <c r="N9" s="47" t="str">
        <f>IFERROR(VLOOKUP($A$1&amp;"-"&amp;ROW(AB8),基本資料填寫!$A:$DN,COLUMN(基本資料填寫!BY9),0),"")</f>
        <v/>
      </c>
      <c r="O9" s="47" t="str">
        <f>IFERROR(VLOOKUP($A$1&amp;"-"&amp;ROW(AC8),基本資料填寫!$A:$DN,COLUMN(基本資料填寫!BZ9),0),"")</f>
        <v/>
      </c>
      <c r="P9" s="47" t="str">
        <f>IFERROR(VLOOKUP($A$1&amp;"-"&amp;ROW(AD8),基本資料填寫!$A:$DN,COLUMN(基本資料填寫!CA9),0),"")</f>
        <v/>
      </c>
      <c r="Q9" s="47" t="str">
        <f>IFERROR(VLOOKUP($A$1&amp;"-"&amp;ROW(J8),基本資料填寫!$A:$DN,COLUMN(基本資料填寫!AO9),0),"")</f>
        <v/>
      </c>
      <c r="R9" s="47" t="str">
        <f>IFERROR(VLOOKUP($A$1&amp;"-"&amp;ROW(AE8),基本資料填寫!$A:$DN,COLUMN(基本資料填寫!CB9),0),"")</f>
        <v/>
      </c>
      <c r="S9" s="47" t="str">
        <f>IFERROR(VLOOKUP($A$1&amp;"-"&amp;ROW(AF8),基本資料填寫!$A:$DN,COLUMN(基本資料填寫!CC9),0),"")</f>
        <v/>
      </c>
      <c r="T9" s="47" t="str">
        <f>IFERROR(VLOOKUP($A$1&amp;"-"&amp;ROW(AG8),基本資料填寫!$A:$DN,COLUMN(基本資料填寫!CD9),0),"")</f>
        <v/>
      </c>
      <c r="U9" s="47" t="str">
        <f>IFERROR(VLOOKUP($A$1&amp;"-"&amp;ROW(AH8),基本資料填寫!$A:$DN,COLUMN(基本資料填寫!CE9),0),"")</f>
        <v/>
      </c>
      <c r="V9" s="47" t="str">
        <f>IFERROR(VLOOKUP($A$1&amp;"-"&amp;ROW(AI8),基本資料填寫!$A:$DN,COLUMN(基本資料填寫!CF9),0),"")</f>
        <v/>
      </c>
      <c r="W9" s="47" t="str">
        <f>IFERROR(VLOOKUP($A$1&amp;"-"&amp;ROW(AJ8),基本資料填寫!$A:$DN,COLUMN(基本資料填寫!CG9),0),"")</f>
        <v/>
      </c>
      <c r="X9" s="47" t="str">
        <f>IFERROR(VLOOKUP($A$1&amp;"-"&amp;ROW(AK8),基本資料填寫!$A:$DN,COLUMN(基本資料填寫!CH9),0),"")</f>
        <v/>
      </c>
      <c r="Y9" s="47" t="str">
        <f>IFERROR(VLOOKUP($A$1&amp;"-"&amp;ROW(AL8),基本資料填寫!$A:$DN,COLUMN(基本資料填寫!CI9),0),"")</f>
        <v/>
      </c>
      <c r="Z9" s="47" t="str">
        <f>IFERROR(VLOOKUP($A$1&amp;"-"&amp;ROW(H8),基本資料填寫!$A:$DN,COLUMN(基本資料填寫!O9),0),"")</f>
        <v/>
      </c>
      <c r="AA9" s="47" t="str">
        <f>IFERROR(VLOOKUP($A$1&amp;"-"&amp;ROW(AM8),基本資料填寫!$A:$DN,COLUMN(基本資料填寫!CJ9),0),"")</f>
        <v/>
      </c>
      <c r="AB9" s="47" t="str">
        <f>IFERROR(VLOOKUP($A$1&amp;"-"&amp;ROW(AN8),基本資料填寫!$A:$DN,COLUMN(基本資料填寫!CK9),0),"")</f>
        <v/>
      </c>
      <c r="AC9" s="47" t="str">
        <f>IFERROR(VLOOKUP($A$1&amp;"-"&amp;ROW(AP8),基本資料填寫!$A:$DN,COLUMN(基本資料填寫!CN9),0),"")</f>
        <v/>
      </c>
      <c r="AD9" s="47" t="str">
        <f>IFERROR(VLOOKUP($A$1&amp;"-"&amp;ROW(AQ8),基本資料填寫!$A:$DN,COLUMN(基本資料填寫!CO9),0),"")</f>
        <v/>
      </c>
      <c r="AE9" s="47" t="str">
        <f>IFERROR(VLOOKUP($A$1&amp;"-"&amp;ROW(AR8),基本資料填寫!$A:$DN,COLUMN(基本資料填寫!CP9),0),"")</f>
        <v/>
      </c>
      <c r="AF9" s="47" t="str">
        <f>IFERROR(VLOOKUP($A$1&amp;"-"&amp;ROW(AS8),基本資料填寫!$A:$DN,COLUMN(基本資料填寫!CQ9),0),"")</f>
        <v/>
      </c>
      <c r="AG9" s="47" t="str">
        <f>IFERROR(VLOOKUP($A$1&amp;"-"&amp;ROW(AT8),基本資料填寫!$A:$DN,COLUMN(基本資料填寫!CR9),0),"")</f>
        <v/>
      </c>
      <c r="AH9" s="47" t="str">
        <f>IFERROR(VLOOKUP($A$1&amp;"-"&amp;ROW(AU8),基本資料填寫!$A:$DN,COLUMN(基本資料填寫!CS9),0),"")</f>
        <v/>
      </c>
      <c r="AI9" s="47" t="str">
        <f>IFERROR(VLOOKUP($A$1&amp;"-"&amp;ROW(P8),基本資料填寫!$A:$DN,COLUMN(基本資料填寫!X9),0),"")</f>
        <v/>
      </c>
      <c r="AJ9" s="47" t="str">
        <f>IFERROR(VLOOKUP($A$1&amp;"-"&amp;ROW(AV8),基本資料填寫!$A:$DN,COLUMN(基本資料填寫!CT9),0),"")</f>
        <v/>
      </c>
      <c r="AK9" s="47" t="str">
        <f>IFERROR(VLOOKUP($A$1&amp;"-"&amp;ROW(AC8),基本資料填寫!$A:$DN,COLUMN(基本資料填寫!AQ9),0),"")</f>
        <v/>
      </c>
      <c r="AL9" s="47" t="str">
        <f>IFERROR(VLOOKUP($A$1&amp;"-"&amp;ROW(AO8),基本資料填寫!$A:$DN,COLUMN(基本資料填寫!CM9),0),"")</f>
        <v/>
      </c>
      <c r="AM9" s="47" t="str">
        <f>IFERROR(VLOOKUP($A$1&amp;"-"&amp;ROW(AD8),基本資料填寫!$A:$DN,COLUMN(基本資料填寫!AR9),0),"")</f>
        <v/>
      </c>
      <c r="AN9" s="47" t="str">
        <f>IFERROR(VLOOKUP($A$1&amp;"-"&amp;ROW(K8),基本資料填寫!$A:$DN,COLUMN(基本資料填寫!AP9),0),"")</f>
        <v/>
      </c>
      <c r="AO9" s="47" t="str">
        <f>IFERROR(VLOOKUP($A$1&amp;"-"&amp;ROW(J8),基本資料填寫!$A:$DN,COLUMN(基本資料填寫!AO9),0),"")</f>
        <v/>
      </c>
      <c r="AP9" s="47" t="str">
        <f>IFERROR(VLOOKUP($A$1&amp;"-"&amp;ROW(AE8),基本資料填寫!$A:$DN,COLUMN(基本資料填寫!AS9),0),"")</f>
        <v/>
      </c>
      <c r="AQ9" s="47" t="str">
        <f>IFERROR(VLOOKUP($A$1&amp;"-"&amp;ROW(AF8),基本資料填寫!$A:$DN,COLUMN(基本資料填寫!AT9),0),"")</f>
        <v/>
      </c>
      <c r="AR9" s="47" t="str">
        <f>IFERROR(VLOOKUP($A$1&amp;"-"&amp;ROW(AG8),基本資料填寫!$A:$DN,COLUMN(基本資料填寫!AU9),0),"")</f>
        <v/>
      </c>
      <c r="AS9" s="47" t="str">
        <f>IFERROR(VLOOKUP($A$1&amp;"-"&amp;ROW(AH8),基本資料填寫!$A:$DN,COLUMN(基本資料填寫!AV9),0),"")</f>
        <v/>
      </c>
      <c r="AT9" s="47" t="str">
        <f>IFERROR(VLOOKUP($A$1&amp;"-"&amp;ROW(AI8),基本資料填寫!$A:$DN,COLUMN(基本資料填寫!AW9),0),"")</f>
        <v/>
      </c>
      <c r="AU9" s="47" t="str">
        <f>IFERROR(VLOOKUP($A$1&amp;"-"&amp;ROW(AJ8),基本資料填寫!$A:$DN,COLUMN(基本資料填寫!AX9),0),"")</f>
        <v/>
      </c>
      <c r="AV9" s="47" t="str">
        <f>IFERROR(VLOOKUP($A$1&amp;"-"&amp;ROW(AK8),基本資料填寫!$A:$DN,COLUMN(基本資料填寫!AY9),0),"")</f>
        <v/>
      </c>
      <c r="AW9" s="47" t="str">
        <f>IFERROR(VLOOKUP($A$1&amp;"-"&amp;ROW(AL8),基本資料填寫!$A:$DN,COLUMN(基本資料填寫!AZ9),0),"")</f>
        <v/>
      </c>
      <c r="AX9" s="47" t="str">
        <f>IFERROR(VLOOKUP($A$1&amp;"-"&amp;ROW(AM8),基本資料填寫!$A:$DN,COLUMN(基本資料填寫!BA9),0),"")</f>
        <v/>
      </c>
      <c r="AY9" s="47" t="str">
        <f>IFERROR(VLOOKUP($A$1&amp;"-"&amp;ROW(AN8),基本資料填寫!$A:$DN,COLUMN(基本資料填寫!BB9),0),"")</f>
        <v/>
      </c>
      <c r="AZ9" s="47" t="str">
        <f>IFERROR(VLOOKUP($A$1&amp;"-"&amp;ROW(AO8),基本資料填寫!$A:$DN,COLUMN(基本資料填寫!BC9),0),"")</f>
        <v/>
      </c>
      <c r="BA9" s="47" t="str">
        <f>IFERROR(VLOOKUP($A$1&amp;"-"&amp;ROW(AP8),基本資料填寫!$A:$DN,COLUMN(基本資料填寫!BD9),0),"")</f>
        <v/>
      </c>
      <c r="BB9" s="47" t="str">
        <f>IFERROR(VLOOKUP($A$1&amp;"-"&amp;ROW(AQ8),基本資料填寫!$A:$DN,COLUMN(基本資料填寫!BE9),0),"")</f>
        <v/>
      </c>
      <c r="BC9" s="47" t="str">
        <f>IFERROR(VLOOKUP($A$1&amp;"-"&amp;ROW(AR8),基本資料填寫!$A:$DN,COLUMN(基本資料填寫!BF9),0),"")</f>
        <v/>
      </c>
      <c r="BD9" s="47" t="str">
        <f>IFERROR(VLOOKUP($A$1&amp;"-"&amp;ROW(AS8),基本資料填寫!$A:$DN,COLUMN(基本資料填寫!BG9),0),"")</f>
        <v/>
      </c>
      <c r="BE9" s="47" t="str">
        <f>IFERROR(VLOOKUP($A$1&amp;"-"&amp;ROW(AT8),基本資料填寫!$A:$DN,COLUMN(基本資料填寫!BH9),0),"")</f>
        <v/>
      </c>
      <c r="BF9" s="47" t="str">
        <f>IFERROR(VLOOKUP($A$1&amp;"-"&amp;ROW(AU8),基本資料填寫!$A:$DN,COLUMN(基本資料填寫!BI9),0),"")</f>
        <v/>
      </c>
      <c r="BG9" s="47" t="str">
        <f>IFERROR(VLOOKUP($A$1&amp;"-"&amp;ROW(AV8),基本資料填寫!$A:$DN,COLUMN(基本資料填寫!BJ9),0),"")</f>
        <v/>
      </c>
      <c r="BH9" s="47" t="str">
        <f>IFERROR(VLOOKUP($A$1&amp;"-"&amp;ROW(AW8),基本資料填寫!$A:$DN,COLUMN(基本資料填寫!BK9),0),"")</f>
        <v/>
      </c>
      <c r="BI9" s="47" t="str">
        <f>IFERROR(VLOOKUP($A$1&amp;"-"&amp;ROW(AX8),基本資料填寫!$A:$DN,COLUMN(基本資料填寫!BL9),0),"")</f>
        <v/>
      </c>
      <c r="BJ9" s="47" t="str">
        <f>IFERROR(VLOOKUP($A$1&amp;"-"&amp;ROW(AY8),基本資料填寫!$A:$DN,COLUMN(基本資料填寫!BM9),0),"")</f>
        <v/>
      </c>
      <c r="BK9" s="47" t="str">
        <f>IFERROR(VLOOKUP($A$1&amp;"-"&amp;ROW(AZ8),基本資料填寫!$A:$DN,COLUMN(基本資料填寫!BN9),0),"")</f>
        <v/>
      </c>
      <c r="BL9" s="47" t="str">
        <f>IFERROR(VLOOKUP($A$1&amp;"-"&amp;ROW(BA8),基本資料填寫!$A:$DN,COLUMN(基本資料填寫!BO9),0),"")</f>
        <v/>
      </c>
      <c r="BM9" s="47" t="str">
        <f>IFERROR(VLOOKUP($A$1&amp;"-"&amp;ROW(BB8),基本資料填寫!$A:$DN,COLUMN(基本資料填寫!BP9),0),"")</f>
        <v/>
      </c>
      <c r="BN9" s="47" t="str">
        <f>IFERROR(VLOOKUP($A$1&amp;"-"&amp;ROW(BC8),基本資料填寫!$A:$DN,COLUMN(基本資料填寫!BQ9),0),"")</f>
        <v/>
      </c>
      <c r="BO9" s="47" t="str">
        <f>IFERROR(VLOOKUP($A$1&amp;"-"&amp;ROW(BD8),基本資料填寫!$A:$DN,COLUMN(基本資料填寫!BR9),0),"")</f>
        <v/>
      </c>
    </row>
    <row r="10" spans="1:67" x14ac:dyDescent="0.3">
      <c r="B10" s="47" t="str">
        <f>IFERROR(VLOOKUP($A$1&amp;"-"&amp;ROW(A9),基本資料填寫!$A:$DN,COLUMN(基本資料填寫!K10),0),"")</f>
        <v/>
      </c>
      <c r="C10" s="47" t="str">
        <f>IFERROR(VLOOKUP($A$1&amp;"-"&amp;ROW(B9),基本資料填寫!$A:$DN,COLUMN(基本資料填寫!L10),0),"")</f>
        <v/>
      </c>
      <c r="D10" s="47" t="str">
        <f>IF(E10="","",COUNTA($E$2:E10))</f>
        <v/>
      </c>
      <c r="E10" s="47" t="str">
        <f>IFERROR(VLOOKUP($A$1&amp;"-"&amp;ROW(E9),基本資料填寫!$A:$DN,COLUMN(基本資料填寫!S10),0),"")</f>
        <v/>
      </c>
      <c r="G10" s="47" t="str">
        <f>IFERROR(VLOOKUP($A$1&amp;"-"&amp;ROW(G9),基本資料填寫!$A:$DN,COLUMN(基本資料填寫!V10),0),"")</f>
        <v/>
      </c>
      <c r="H10" s="47" t="str">
        <f>IFERROR(VLOOKUP($A$1&amp;"-"&amp;ROW(BI9),基本資料填寫!$A:$DN,COLUMN(基本資料填寫!BW10),0),"")</f>
        <v/>
      </c>
      <c r="I10" s="47" t="str">
        <f>IFERROR(VLOOKUP($A$1&amp;"-"&amp;ROW(I9),基本資料填寫!$A:$DN,COLUMN(基本資料填寫!AN10),0),"")</f>
        <v/>
      </c>
      <c r="J10" s="47" t="str">
        <f>IFERROR(VLOOKUP($A$1&amp;"-"&amp;ROW(K9),基本資料填寫!$A:$DN,COLUMN(基本資料填寫!R10),0),"")</f>
        <v/>
      </c>
      <c r="K10" s="47" t="str">
        <f>IFERROR(VLOOKUP($A$1&amp;"-"&amp;ROW(AA9),基本資料填寫!$A:$DN,COLUMN(基本資料填寫!BX10),0),"")</f>
        <v/>
      </c>
      <c r="L10" s="47" t="str">
        <f>IFERROR(VLOOKUP($A$1&amp;"-"&amp;ROW(S9),基本資料填寫!$A:$DN,COLUMN(基本資料填寫!Z10),0),"")</f>
        <v/>
      </c>
      <c r="M10" s="47" t="str">
        <f>IFERROR(VLOOKUP($A$1&amp;"-"&amp;ROW(T9),基本資料填寫!$A:$DN,COLUMN(基本資料填寫!AA10),0),"")</f>
        <v/>
      </c>
      <c r="N10" s="47" t="str">
        <f>IFERROR(VLOOKUP($A$1&amp;"-"&amp;ROW(AB9),基本資料填寫!$A:$DN,COLUMN(基本資料填寫!BY10),0),"")</f>
        <v/>
      </c>
      <c r="O10" s="47" t="str">
        <f>IFERROR(VLOOKUP($A$1&amp;"-"&amp;ROW(AC9),基本資料填寫!$A:$DN,COLUMN(基本資料填寫!BZ10),0),"")</f>
        <v/>
      </c>
      <c r="P10" s="47" t="str">
        <f>IFERROR(VLOOKUP($A$1&amp;"-"&amp;ROW(AD9),基本資料填寫!$A:$DN,COLUMN(基本資料填寫!CA10),0),"")</f>
        <v/>
      </c>
      <c r="Q10" s="47" t="str">
        <f>IFERROR(VLOOKUP($A$1&amp;"-"&amp;ROW(J9),基本資料填寫!$A:$DN,COLUMN(基本資料填寫!AO10),0),"")</f>
        <v/>
      </c>
      <c r="R10" s="47" t="str">
        <f>IFERROR(VLOOKUP($A$1&amp;"-"&amp;ROW(AE9),基本資料填寫!$A:$DN,COLUMN(基本資料填寫!CB10),0),"")</f>
        <v/>
      </c>
      <c r="S10" s="47" t="str">
        <f>IFERROR(VLOOKUP($A$1&amp;"-"&amp;ROW(AF9),基本資料填寫!$A:$DN,COLUMN(基本資料填寫!CC10),0),"")</f>
        <v/>
      </c>
      <c r="T10" s="47" t="str">
        <f>IFERROR(VLOOKUP($A$1&amp;"-"&amp;ROW(AG9),基本資料填寫!$A:$DN,COLUMN(基本資料填寫!CD10),0),"")</f>
        <v/>
      </c>
      <c r="U10" s="47" t="str">
        <f>IFERROR(VLOOKUP($A$1&amp;"-"&amp;ROW(AH9),基本資料填寫!$A:$DN,COLUMN(基本資料填寫!CE10),0),"")</f>
        <v/>
      </c>
      <c r="V10" s="47" t="str">
        <f>IFERROR(VLOOKUP($A$1&amp;"-"&amp;ROW(AI9),基本資料填寫!$A:$DN,COLUMN(基本資料填寫!CF10),0),"")</f>
        <v/>
      </c>
      <c r="W10" s="47" t="str">
        <f>IFERROR(VLOOKUP($A$1&amp;"-"&amp;ROW(AJ9),基本資料填寫!$A:$DN,COLUMN(基本資料填寫!CG10),0),"")</f>
        <v/>
      </c>
      <c r="X10" s="47" t="str">
        <f>IFERROR(VLOOKUP($A$1&amp;"-"&amp;ROW(AK9),基本資料填寫!$A:$DN,COLUMN(基本資料填寫!CH10),0),"")</f>
        <v/>
      </c>
      <c r="Y10" s="47" t="str">
        <f>IFERROR(VLOOKUP($A$1&amp;"-"&amp;ROW(AL9),基本資料填寫!$A:$DN,COLUMN(基本資料填寫!CI10),0),"")</f>
        <v/>
      </c>
      <c r="Z10" s="47" t="str">
        <f>IFERROR(VLOOKUP($A$1&amp;"-"&amp;ROW(H9),基本資料填寫!$A:$DN,COLUMN(基本資料填寫!O10),0),"")</f>
        <v/>
      </c>
      <c r="AA10" s="47" t="str">
        <f>IFERROR(VLOOKUP($A$1&amp;"-"&amp;ROW(AM9),基本資料填寫!$A:$DN,COLUMN(基本資料填寫!CJ10),0),"")</f>
        <v/>
      </c>
      <c r="AB10" s="47" t="str">
        <f>IFERROR(VLOOKUP($A$1&amp;"-"&amp;ROW(AN9),基本資料填寫!$A:$DN,COLUMN(基本資料填寫!CK10),0),"")</f>
        <v/>
      </c>
      <c r="AC10" s="47" t="str">
        <f>IFERROR(VLOOKUP($A$1&amp;"-"&amp;ROW(AP9),基本資料填寫!$A:$DN,COLUMN(基本資料填寫!CN10),0),"")</f>
        <v/>
      </c>
      <c r="AD10" s="47" t="str">
        <f>IFERROR(VLOOKUP($A$1&amp;"-"&amp;ROW(AQ9),基本資料填寫!$A:$DN,COLUMN(基本資料填寫!CO10),0),"")</f>
        <v/>
      </c>
      <c r="AE10" s="47" t="str">
        <f>IFERROR(VLOOKUP($A$1&amp;"-"&amp;ROW(AR9),基本資料填寫!$A:$DN,COLUMN(基本資料填寫!CP10),0),"")</f>
        <v/>
      </c>
      <c r="AF10" s="47" t="str">
        <f>IFERROR(VLOOKUP($A$1&amp;"-"&amp;ROW(AS9),基本資料填寫!$A:$DN,COLUMN(基本資料填寫!CQ10),0),"")</f>
        <v/>
      </c>
      <c r="AG10" s="47" t="str">
        <f>IFERROR(VLOOKUP($A$1&amp;"-"&amp;ROW(AT9),基本資料填寫!$A:$DN,COLUMN(基本資料填寫!CR10),0),"")</f>
        <v/>
      </c>
      <c r="AH10" s="47" t="str">
        <f>IFERROR(VLOOKUP($A$1&amp;"-"&amp;ROW(AU9),基本資料填寫!$A:$DN,COLUMN(基本資料填寫!CS10),0),"")</f>
        <v/>
      </c>
      <c r="AI10" s="47" t="str">
        <f>IFERROR(VLOOKUP($A$1&amp;"-"&amp;ROW(P9),基本資料填寫!$A:$DN,COLUMN(基本資料填寫!X10),0),"")</f>
        <v/>
      </c>
      <c r="AJ10" s="47" t="str">
        <f>IFERROR(VLOOKUP($A$1&amp;"-"&amp;ROW(AV9),基本資料填寫!$A:$DN,COLUMN(基本資料填寫!CT10),0),"")</f>
        <v/>
      </c>
      <c r="AK10" s="47" t="str">
        <f>IFERROR(VLOOKUP($A$1&amp;"-"&amp;ROW(AC9),基本資料填寫!$A:$DN,COLUMN(基本資料填寫!AQ10),0),"")</f>
        <v/>
      </c>
      <c r="AL10" s="47" t="str">
        <f>IFERROR(VLOOKUP($A$1&amp;"-"&amp;ROW(AO9),基本資料填寫!$A:$DN,COLUMN(基本資料填寫!CM10),0),"")</f>
        <v/>
      </c>
      <c r="AM10" s="47" t="str">
        <f>IFERROR(VLOOKUP($A$1&amp;"-"&amp;ROW(AD9),基本資料填寫!$A:$DN,COLUMN(基本資料填寫!AR10),0),"")</f>
        <v/>
      </c>
      <c r="AN10" s="47" t="str">
        <f>IFERROR(VLOOKUP($A$1&amp;"-"&amp;ROW(K9),基本資料填寫!$A:$DN,COLUMN(基本資料填寫!AP10),0),"")</f>
        <v/>
      </c>
      <c r="AO10" s="47" t="str">
        <f>IFERROR(VLOOKUP($A$1&amp;"-"&amp;ROW(J9),基本資料填寫!$A:$DN,COLUMN(基本資料填寫!AO10),0),"")</f>
        <v/>
      </c>
      <c r="AP10" s="47" t="str">
        <f>IFERROR(VLOOKUP($A$1&amp;"-"&amp;ROW(AE9),基本資料填寫!$A:$DN,COLUMN(基本資料填寫!AS10),0),"")</f>
        <v/>
      </c>
      <c r="AQ10" s="47" t="str">
        <f>IFERROR(VLOOKUP($A$1&amp;"-"&amp;ROW(AF9),基本資料填寫!$A:$DN,COLUMN(基本資料填寫!AT10),0),"")</f>
        <v/>
      </c>
      <c r="AR10" s="47" t="str">
        <f>IFERROR(VLOOKUP($A$1&amp;"-"&amp;ROW(AG9),基本資料填寫!$A:$DN,COLUMN(基本資料填寫!AU10),0),"")</f>
        <v/>
      </c>
      <c r="AS10" s="47" t="str">
        <f>IFERROR(VLOOKUP($A$1&amp;"-"&amp;ROW(AH9),基本資料填寫!$A:$DN,COLUMN(基本資料填寫!AV10),0),"")</f>
        <v/>
      </c>
      <c r="AT10" s="47" t="str">
        <f>IFERROR(VLOOKUP($A$1&amp;"-"&amp;ROW(AI9),基本資料填寫!$A:$DN,COLUMN(基本資料填寫!AW10),0),"")</f>
        <v/>
      </c>
      <c r="AU10" s="47" t="str">
        <f>IFERROR(VLOOKUP($A$1&amp;"-"&amp;ROW(AJ9),基本資料填寫!$A:$DN,COLUMN(基本資料填寫!AX10),0),"")</f>
        <v/>
      </c>
      <c r="AV10" s="47" t="str">
        <f>IFERROR(VLOOKUP($A$1&amp;"-"&amp;ROW(AK9),基本資料填寫!$A:$DN,COLUMN(基本資料填寫!AY10),0),"")</f>
        <v/>
      </c>
      <c r="AW10" s="47" t="str">
        <f>IFERROR(VLOOKUP($A$1&amp;"-"&amp;ROW(AL9),基本資料填寫!$A:$DN,COLUMN(基本資料填寫!AZ10),0),"")</f>
        <v/>
      </c>
      <c r="AX10" s="47" t="str">
        <f>IFERROR(VLOOKUP($A$1&amp;"-"&amp;ROW(AM9),基本資料填寫!$A:$DN,COLUMN(基本資料填寫!BA10),0),"")</f>
        <v/>
      </c>
      <c r="AY10" s="47" t="str">
        <f>IFERROR(VLOOKUP($A$1&amp;"-"&amp;ROW(AN9),基本資料填寫!$A:$DN,COLUMN(基本資料填寫!BB10),0),"")</f>
        <v/>
      </c>
      <c r="AZ10" s="47" t="str">
        <f>IFERROR(VLOOKUP($A$1&amp;"-"&amp;ROW(AO9),基本資料填寫!$A:$DN,COLUMN(基本資料填寫!BC10),0),"")</f>
        <v/>
      </c>
      <c r="BA10" s="47" t="str">
        <f>IFERROR(VLOOKUP($A$1&amp;"-"&amp;ROW(AP9),基本資料填寫!$A:$DN,COLUMN(基本資料填寫!BD10),0),"")</f>
        <v/>
      </c>
      <c r="BB10" s="47" t="str">
        <f>IFERROR(VLOOKUP($A$1&amp;"-"&amp;ROW(AQ9),基本資料填寫!$A:$DN,COLUMN(基本資料填寫!BE10),0),"")</f>
        <v/>
      </c>
      <c r="BC10" s="47" t="str">
        <f>IFERROR(VLOOKUP($A$1&amp;"-"&amp;ROW(AR9),基本資料填寫!$A:$DN,COLUMN(基本資料填寫!BF10),0),"")</f>
        <v/>
      </c>
      <c r="BD10" s="47" t="str">
        <f>IFERROR(VLOOKUP($A$1&amp;"-"&amp;ROW(AS9),基本資料填寫!$A:$DN,COLUMN(基本資料填寫!BG10),0),"")</f>
        <v/>
      </c>
      <c r="BE10" s="47" t="str">
        <f>IFERROR(VLOOKUP($A$1&amp;"-"&amp;ROW(AT9),基本資料填寫!$A:$DN,COLUMN(基本資料填寫!BH10),0),"")</f>
        <v/>
      </c>
      <c r="BF10" s="47" t="str">
        <f>IFERROR(VLOOKUP($A$1&amp;"-"&amp;ROW(AU9),基本資料填寫!$A:$DN,COLUMN(基本資料填寫!BI10),0),"")</f>
        <v/>
      </c>
      <c r="BG10" s="47" t="str">
        <f>IFERROR(VLOOKUP($A$1&amp;"-"&amp;ROW(AV9),基本資料填寫!$A:$DN,COLUMN(基本資料填寫!BJ10),0),"")</f>
        <v/>
      </c>
      <c r="BH10" s="47" t="str">
        <f>IFERROR(VLOOKUP($A$1&amp;"-"&amp;ROW(AW9),基本資料填寫!$A:$DN,COLUMN(基本資料填寫!BK10),0),"")</f>
        <v/>
      </c>
      <c r="BI10" s="47" t="str">
        <f>IFERROR(VLOOKUP($A$1&amp;"-"&amp;ROW(AX9),基本資料填寫!$A:$DN,COLUMN(基本資料填寫!BL10),0),"")</f>
        <v/>
      </c>
      <c r="BJ10" s="47" t="str">
        <f>IFERROR(VLOOKUP($A$1&amp;"-"&amp;ROW(AY9),基本資料填寫!$A:$DN,COLUMN(基本資料填寫!BM10),0),"")</f>
        <v/>
      </c>
      <c r="BK10" s="47" t="str">
        <f>IFERROR(VLOOKUP($A$1&amp;"-"&amp;ROW(AZ9),基本資料填寫!$A:$DN,COLUMN(基本資料填寫!BN10),0),"")</f>
        <v/>
      </c>
      <c r="BL10" s="47" t="str">
        <f>IFERROR(VLOOKUP($A$1&amp;"-"&amp;ROW(BA9),基本資料填寫!$A:$DN,COLUMN(基本資料填寫!BO10),0),"")</f>
        <v/>
      </c>
      <c r="BM10" s="47" t="str">
        <f>IFERROR(VLOOKUP($A$1&amp;"-"&amp;ROW(BB9),基本資料填寫!$A:$DN,COLUMN(基本資料填寫!BP10),0),"")</f>
        <v/>
      </c>
      <c r="BN10" s="47" t="str">
        <f>IFERROR(VLOOKUP($A$1&amp;"-"&amp;ROW(BC9),基本資料填寫!$A:$DN,COLUMN(基本資料填寫!BQ10),0),"")</f>
        <v/>
      </c>
      <c r="BO10" s="47" t="str">
        <f>IFERROR(VLOOKUP($A$1&amp;"-"&amp;ROW(BD9),基本資料填寫!$A:$DN,COLUMN(基本資料填寫!BR10),0),"")</f>
        <v/>
      </c>
    </row>
    <row r="11" spans="1:67" x14ac:dyDescent="0.3">
      <c r="B11" s="47" t="str">
        <f>IFERROR(VLOOKUP($A$1&amp;"-"&amp;ROW(A10),基本資料填寫!$A:$DN,COLUMN(基本資料填寫!K11),0),"")</f>
        <v/>
      </c>
      <c r="C11" s="47" t="str">
        <f>IFERROR(VLOOKUP($A$1&amp;"-"&amp;ROW(B10),基本資料填寫!$A:$DN,COLUMN(基本資料填寫!L11),0),"")</f>
        <v/>
      </c>
      <c r="D11" s="47" t="str">
        <f>IF(E11="","",COUNTA($E$2:E11))</f>
        <v/>
      </c>
      <c r="E11" s="47" t="str">
        <f>IFERROR(VLOOKUP($A$1&amp;"-"&amp;ROW(E10),基本資料填寫!$A:$DN,COLUMN(基本資料填寫!S11),0),"")</f>
        <v/>
      </c>
      <c r="G11" s="47" t="str">
        <f>IFERROR(VLOOKUP($A$1&amp;"-"&amp;ROW(G10),基本資料填寫!$A:$DN,COLUMN(基本資料填寫!V11),0),"")</f>
        <v/>
      </c>
      <c r="H11" s="47" t="str">
        <f>IFERROR(VLOOKUP($A$1&amp;"-"&amp;ROW(BI10),基本資料填寫!$A:$DN,COLUMN(基本資料填寫!BW11),0),"")</f>
        <v/>
      </c>
      <c r="I11" s="47" t="str">
        <f>IFERROR(VLOOKUP($A$1&amp;"-"&amp;ROW(I10),基本資料填寫!$A:$DN,COLUMN(基本資料填寫!AN11),0),"")</f>
        <v/>
      </c>
      <c r="J11" s="47" t="str">
        <f>IFERROR(VLOOKUP($A$1&amp;"-"&amp;ROW(K10),基本資料填寫!$A:$DN,COLUMN(基本資料填寫!R11),0),"")</f>
        <v/>
      </c>
      <c r="K11" s="47" t="str">
        <f>IFERROR(VLOOKUP($A$1&amp;"-"&amp;ROW(AA10),基本資料填寫!$A:$DN,COLUMN(基本資料填寫!BX11),0),"")</f>
        <v/>
      </c>
      <c r="L11" s="47" t="str">
        <f>IFERROR(VLOOKUP($A$1&amp;"-"&amp;ROW(S10),基本資料填寫!$A:$DN,COLUMN(基本資料填寫!Z11),0),"")</f>
        <v/>
      </c>
      <c r="M11" s="47" t="str">
        <f>IFERROR(VLOOKUP($A$1&amp;"-"&amp;ROW(T10),基本資料填寫!$A:$DN,COLUMN(基本資料填寫!AA11),0),"")</f>
        <v/>
      </c>
      <c r="N11" s="47" t="str">
        <f>IFERROR(VLOOKUP($A$1&amp;"-"&amp;ROW(AB10),基本資料填寫!$A:$DN,COLUMN(基本資料填寫!BY11),0),"")</f>
        <v/>
      </c>
      <c r="O11" s="47" t="str">
        <f>IFERROR(VLOOKUP($A$1&amp;"-"&amp;ROW(AC10),基本資料填寫!$A:$DN,COLUMN(基本資料填寫!BZ11),0),"")</f>
        <v/>
      </c>
      <c r="P11" s="47" t="str">
        <f>IFERROR(VLOOKUP($A$1&amp;"-"&amp;ROW(AD10),基本資料填寫!$A:$DN,COLUMN(基本資料填寫!CA11),0),"")</f>
        <v/>
      </c>
      <c r="Q11" s="47" t="str">
        <f>IFERROR(VLOOKUP($A$1&amp;"-"&amp;ROW(J10),基本資料填寫!$A:$DN,COLUMN(基本資料填寫!AO11),0),"")</f>
        <v/>
      </c>
      <c r="R11" s="47" t="str">
        <f>IFERROR(VLOOKUP($A$1&amp;"-"&amp;ROW(AE10),基本資料填寫!$A:$DN,COLUMN(基本資料填寫!CB11),0),"")</f>
        <v/>
      </c>
      <c r="S11" s="47" t="str">
        <f>IFERROR(VLOOKUP($A$1&amp;"-"&amp;ROW(AF10),基本資料填寫!$A:$DN,COLUMN(基本資料填寫!CC11),0),"")</f>
        <v/>
      </c>
      <c r="T11" s="47" t="str">
        <f>IFERROR(VLOOKUP($A$1&amp;"-"&amp;ROW(AG10),基本資料填寫!$A:$DN,COLUMN(基本資料填寫!CD11),0),"")</f>
        <v/>
      </c>
      <c r="U11" s="47" t="str">
        <f>IFERROR(VLOOKUP($A$1&amp;"-"&amp;ROW(AH10),基本資料填寫!$A:$DN,COLUMN(基本資料填寫!CE11),0),"")</f>
        <v/>
      </c>
      <c r="V11" s="47" t="str">
        <f>IFERROR(VLOOKUP($A$1&amp;"-"&amp;ROW(AI10),基本資料填寫!$A:$DN,COLUMN(基本資料填寫!CF11),0),"")</f>
        <v/>
      </c>
      <c r="W11" s="47" t="str">
        <f>IFERROR(VLOOKUP($A$1&amp;"-"&amp;ROW(AJ10),基本資料填寫!$A:$DN,COLUMN(基本資料填寫!CG11),0),"")</f>
        <v/>
      </c>
      <c r="X11" s="47" t="str">
        <f>IFERROR(VLOOKUP($A$1&amp;"-"&amp;ROW(AK10),基本資料填寫!$A:$DN,COLUMN(基本資料填寫!CH11),0),"")</f>
        <v/>
      </c>
      <c r="Y11" s="47" t="str">
        <f>IFERROR(VLOOKUP($A$1&amp;"-"&amp;ROW(AL10),基本資料填寫!$A:$DN,COLUMN(基本資料填寫!CI11),0),"")</f>
        <v/>
      </c>
      <c r="Z11" s="47" t="str">
        <f>IFERROR(VLOOKUP($A$1&amp;"-"&amp;ROW(H10),基本資料填寫!$A:$DN,COLUMN(基本資料填寫!O11),0),"")</f>
        <v/>
      </c>
      <c r="AA11" s="47" t="str">
        <f>IFERROR(VLOOKUP($A$1&amp;"-"&amp;ROW(AM10),基本資料填寫!$A:$DN,COLUMN(基本資料填寫!CJ11),0),"")</f>
        <v/>
      </c>
      <c r="AB11" s="47" t="str">
        <f>IFERROR(VLOOKUP($A$1&amp;"-"&amp;ROW(AN10),基本資料填寫!$A:$DN,COLUMN(基本資料填寫!CK11),0),"")</f>
        <v/>
      </c>
      <c r="AC11" s="47" t="str">
        <f>IFERROR(VLOOKUP($A$1&amp;"-"&amp;ROW(AP10),基本資料填寫!$A:$DN,COLUMN(基本資料填寫!CN11),0),"")</f>
        <v/>
      </c>
      <c r="AD11" s="47" t="str">
        <f>IFERROR(VLOOKUP($A$1&amp;"-"&amp;ROW(AQ10),基本資料填寫!$A:$DN,COLUMN(基本資料填寫!CO11),0),"")</f>
        <v/>
      </c>
      <c r="AE11" s="47" t="str">
        <f>IFERROR(VLOOKUP($A$1&amp;"-"&amp;ROW(AR10),基本資料填寫!$A:$DN,COLUMN(基本資料填寫!CP11),0),"")</f>
        <v/>
      </c>
      <c r="AF11" s="47" t="str">
        <f>IFERROR(VLOOKUP($A$1&amp;"-"&amp;ROW(AS10),基本資料填寫!$A:$DN,COLUMN(基本資料填寫!CQ11),0),"")</f>
        <v/>
      </c>
      <c r="AG11" s="47" t="str">
        <f>IFERROR(VLOOKUP($A$1&amp;"-"&amp;ROW(AT10),基本資料填寫!$A:$DN,COLUMN(基本資料填寫!CR11),0),"")</f>
        <v/>
      </c>
      <c r="AH11" s="47" t="str">
        <f>IFERROR(VLOOKUP($A$1&amp;"-"&amp;ROW(AU10),基本資料填寫!$A:$DN,COLUMN(基本資料填寫!CS11),0),"")</f>
        <v/>
      </c>
      <c r="AI11" s="47" t="str">
        <f>IFERROR(VLOOKUP($A$1&amp;"-"&amp;ROW(P10),基本資料填寫!$A:$DN,COLUMN(基本資料填寫!X11),0),"")</f>
        <v/>
      </c>
      <c r="AJ11" s="47" t="str">
        <f>IFERROR(VLOOKUP($A$1&amp;"-"&amp;ROW(AV10),基本資料填寫!$A:$DN,COLUMN(基本資料填寫!CT11),0),"")</f>
        <v/>
      </c>
      <c r="AK11" s="47" t="str">
        <f>IFERROR(VLOOKUP($A$1&amp;"-"&amp;ROW(AC10),基本資料填寫!$A:$DN,COLUMN(基本資料填寫!AQ11),0),"")</f>
        <v/>
      </c>
      <c r="AL11" s="47" t="str">
        <f>IFERROR(VLOOKUP($A$1&amp;"-"&amp;ROW(AO10),基本資料填寫!$A:$DN,COLUMN(基本資料填寫!CM11),0),"")</f>
        <v/>
      </c>
      <c r="AM11" s="47" t="str">
        <f>IFERROR(VLOOKUP($A$1&amp;"-"&amp;ROW(AD10),基本資料填寫!$A:$DN,COLUMN(基本資料填寫!AR11),0),"")</f>
        <v/>
      </c>
      <c r="AN11" s="47" t="str">
        <f>IFERROR(VLOOKUP($A$1&amp;"-"&amp;ROW(K10),基本資料填寫!$A:$DN,COLUMN(基本資料填寫!AP11),0),"")</f>
        <v/>
      </c>
      <c r="AO11" s="47" t="str">
        <f>IFERROR(VLOOKUP($A$1&amp;"-"&amp;ROW(J10),基本資料填寫!$A:$DN,COLUMN(基本資料填寫!AO11),0),"")</f>
        <v/>
      </c>
      <c r="AP11" s="47" t="str">
        <f>IFERROR(VLOOKUP($A$1&amp;"-"&amp;ROW(AE10),基本資料填寫!$A:$DN,COLUMN(基本資料填寫!AS11),0),"")</f>
        <v/>
      </c>
      <c r="AQ11" s="47" t="str">
        <f>IFERROR(VLOOKUP($A$1&amp;"-"&amp;ROW(AF10),基本資料填寫!$A:$DN,COLUMN(基本資料填寫!AT11),0),"")</f>
        <v/>
      </c>
      <c r="AR11" s="47" t="str">
        <f>IFERROR(VLOOKUP($A$1&amp;"-"&amp;ROW(AG10),基本資料填寫!$A:$DN,COLUMN(基本資料填寫!AU11),0),"")</f>
        <v/>
      </c>
      <c r="AS11" s="47" t="str">
        <f>IFERROR(VLOOKUP($A$1&amp;"-"&amp;ROW(AH10),基本資料填寫!$A:$DN,COLUMN(基本資料填寫!AV11),0),"")</f>
        <v/>
      </c>
      <c r="AT11" s="47" t="str">
        <f>IFERROR(VLOOKUP($A$1&amp;"-"&amp;ROW(AI10),基本資料填寫!$A:$DN,COLUMN(基本資料填寫!AW11),0),"")</f>
        <v/>
      </c>
      <c r="AU11" s="47" t="str">
        <f>IFERROR(VLOOKUP($A$1&amp;"-"&amp;ROW(AJ10),基本資料填寫!$A:$DN,COLUMN(基本資料填寫!AX11),0),"")</f>
        <v/>
      </c>
      <c r="AV11" s="47" t="str">
        <f>IFERROR(VLOOKUP($A$1&amp;"-"&amp;ROW(AK10),基本資料填寫!$A:$DN,COLUMN(基本資料填寫!AY11),0),"")</f>
        <v/>
      </c>
      <c r="AW11" s="47" t="str">
        <f>IFERROR(VLOOKUP($A$1&amp;"-"&amp;ROW(AL10),基本資料填寫!$A:$DN,COLUMN(基本資料填寫!AZ11),0),"")</f>
        <v/>
      </c>
      <c r="AX11" s="47" t="str">
        <f>IFERROR(VLOOKUP($A$1&amp;"-"&amp;ROW(AM10),基本資料填寫!$A:$DN,COLUMN(基本資料填寫!BA11),0),"")</f>
        <v/>
      </c>
      <c r="AY11" s="47" t="str">
        <f>IFERROR(VLOOKUP($A$1&amp;"-"&amp;ROW(AN10),基本資料填寫!$A:$DN,COLUMN(基本資料填寫!BB11),0),"")</f>
        <v/>
      </c>
      <c r="AZ11" s="47" t="str">
        <f>IFERROR(VLOOKUP($A$1&amp;"-"&amp;ROW(AO10),基本資料填寫!$A:$DN,COLUMN(基本資料填寫!BC11),0),"")</f>
        <v/>
      </c>
      <c r="BA11" s="47" t="str">
        <f>IFERROR(VLOOKUP($A$1&amp;"-"&amp;ROW(AP10),基本資料填寫!$A:$DN,COLUMN(基本資料填寫!BD11),0),"")</f>
        <v/>
      </c>
      <c r="BB11" s="47" t="str">
        <f>IFERROR(VLOOKUP($A$1&amp;"-"&amp;ROW(AQ10),基本資料填寫!$A:$DN,COLUMN(基本資料填寫!BE11),0),"")</f>
        <v/>
      </c>
      <c r="BC11" s="47" t="str">
        <f>IFERROR(VLOOKUP($A$1&amp;"-"&amp;ROW(AR10),基本資料填寫!$A:$DN,COLUMN(基本資料填寫!BF11),0),"")</f>
        <v/>
      </c>
      <c r="BD11" s="47" t="str">
        <f>IFERROR(VLOOKUP($A$1&amp;"-"&amp;ROW(AS10),基本資料填寫!$A:$DN,COLUMN(基本資料填寫!BG11),0),"")</f>
        <v/>
      </c>
      <c r="BE11" s="47" t="str">
        <f>IFERROR(VLOOKUP($A$1&amp;"-"&amp;ROW(AT10),基本資料填寫!$A:$DN,COLUMN(基本資料填寫!BH11),0),"")</f>
        <v/>
      </c>
      <c r="BF11" s="47" t="str">
        <f>IFERROR(VLOOKUP($A$1&amp;"-"&amp;ROW(AU10),基本資料填寫!$A:$DN,COLUMN(基本資料填寫!BI11),0),"")</f>
        <v/>
      </c>
      <c r="BG11" s="47" t="str">
        <f>IFERROR(VLOOKUP($A$1&amp;"-"&amp;ROW(AV10),基本資料填寫!$A:$DN,COLUMN(基本資料填寫!BJ11),0),"")</f>
        <v/>
      </c>
      <c r="BH11" s="47" t="str">
        <f>IFERROR(VLOOKUP($A$1&amp;"-"&amp;ROW(AW10),基本資料填寫!$A:$DN,COLUMN(基本資料填寫!BK11),0),"")</f>
        <v/>
      </c>
      <c r="BI11" s="47" t="str">
        <f>IFERROR(VLOOKUP($A$1&amp;"-"&amp;ROW(AX10),基本資料填寫!$A:$DN,COLUMN(基本資料填寫!BL11),0),"")</f>
        <v/>
      </c>
      <c r="BJ11" s="47" t="str">
        <f>IFERROR(VLOOKUP($A$1&amp;"-"&amp;ROW(AY10),基本資料填寫!$A:$DN,COLUMN(基本資料填寫!BM11),0),"")</f>
        <v/>
      </c>
      <c r="BK11" s="47" t="str">
        <f>IFERROR(VLOOKUP($A$1&amp;"-"&amp;ROW(AZ10),基本資料填寫!$A:$DN,COLUMN(基本資料填寫!BN11),0),"")</f>
        <v/>
      </c>
      <c r="BL11" s="47" t="str">
        <f>IFERROR(VLOOKUP($A$1&amp;"-"&amp;ROW(BA10),基本資料填寫!$A:$DN,COLUMN(基本資料填寫!BO11),0),"")</f>
        <v/>
      </c>
      <c r="BM11" s="47" t="str">
        <f>IFERROR(VLOOKUP($A$1&amp;"-"&amp;ROW(BB10),基本資料填寫!$A:$DN,COLUMN(基本資料填寫!BP11),0),"")</f>
        <v/>
      </c>
      <c r="BN11" s="47" t="str">
        <f>IFERROR(VLOOKUP($A$1&amp;"-"&amp;ROW(BC10),基本資料填寫!$A:$DN,COLUMN(基本資料填寫!BQ11),0),"")</f>
        <v/>
      </c>
      <c r="BO11" s="47" t="str">
        <f>IFERROR(VLOOKUP($A$1&amp;"-"&amp;ROW(BD10),基本資料填寫!$A:$DN,COLUMN(基本資料填寫!BR11),0),"")</f>
        <v/>
      </c>
    </row>
    <row r="12" spans="1:67" x14ac:dyDescent="0.3">
      <c r="B12" s="47" t="str">
        <f>IFERROR(VLOOKUP($A$1&amp;"-"&amp;ROW(A11),基本資料填寫!$A:$DN,COLUMN(基本資料填寫!K12),0),"")</f>
        <v/>
      </c>
      <c r="C12" s="47" t="str">
        <f>IFERROR(VLOOKUP($A$1&amp;"-"&amp;ROW(B11),基本資料填寫!$A:$DN,COLUMN(基本資料填寫!L12),0),"")</f>
        <v/>
      </c>
      <c r="D12" s="47" t="str">
        <f>IF(E12="","",COUNTA($E$2:E12))</f>
        <v/>
      </c>
      <c r="E12" s="47" t="str">
        <f>IFERROR(VLOOKUP($A$1&amp;"-"&amp;ROW(E11),基本資料填寫!$A:$DN,COLUMN(基本資料填寫!S12),0),"")</f>
        <v/>
      </c>
      <c r="G12" s="47" t="str">
        <f>IFERROR(VLOOKUP($A$1&amp;"-"&amp;ROW(G11),基本資料填寫!$A:$DN,COLUMN(基本資料填寫!V12),0),"")</f>
        <v/>
      </c>
      <c r="H12" s="47" t="str">
        <f>IFERROR(VLOOKUP($A$1&amp;"-"&amp;ROW(BI11),基本資料填寫!$A:$DN,COLUMN(基本資料填寫!BW12),0),"")</f>
        <v/>
      </c>
      <c r="I12" s="47" t="str">
        <f>IFERROR(VLOOKUP($A$1&amp;"-"&amp;ROW(I11),基本資料填寫!$A:$DN,COLUMN(基本資料填寫!AN12),0),"")</f>
        <v/>
      </c>
      <c r="J12" s="47" t="str">
        <f>IFERROR(VLOOKUP($A$1&amp;"-"&amp;ROW(K11),基本資料填寫!$A:$DN,COLUMN(基本資料填寫!R12),0),"")</f>
        <v/>
      </c>
      <c r="K12" s="47" t="str">
        <f>IFERROR(VLOOKUP($A$1&amp;"-"&amp;ROW(AA11),基本資料填寫!$A:$DN,COLUMN(基本資料填寫!BX12),0),"")</f>
        <v/>
      </c>
      <c r="L12" s="47" t="str">
        <f>IFERROR(VLOOKUP($A$1&amp;"-"&amp;ROW(S11),基本資料填寫!$A:$DN,COLUMN(基本資料填寫!Z12),0),"")</f>
        <v/>
      </c>
      <c r="M12" s="47" t="str">
        <f>IFERROR(VLOOKUP($A$1&amp;"-"&amp;ROW(T11),基本資料填寫!$A:$DN,COLUMN(基本資料填寫!AA12),0),"")</f>
        <v/>
      </c>
      <c r="N12" s="47" t="str">
        <f>IFERROR(VLOOKUP($A$1&amp;"-"&amp;ROW(AB11),基本資料填寫!$A:$DN,COLUMN(基本資料填寫!BY12),0),"")</f>
        <v/>
      </c>
      <c r="O12" s="47" t="str">
        <f>IFERROR(VLOOKUP($A$1&amp;"-"&amp;ROW(AC11),基本資料填寫!$A:$DN,COLUMN(基本資料填寫!BZ12),0),"")</f>
        <v/>
      </c>
      <c r="P12" s="47" t="str">
        <f>IFERROR(VLOOKUP($A$1&amp;"-"&amp;ROW(AD11),基本資料填寫!$A:$DN,COLUMN(基本資料填寫!CA12),0),"")</f>
        <v/>
      </c>
      <c r="Q12" s="47" t="str">
        <f>IFERROR(VLOOKUP($A$1&amp;"-"&amp;ROW(J11),基本資料填寫!$A:$DN,COLUMN(基本資料填寫!AO12),0),"")</f>
        <v/>
      </c>
      <c r="R12" s="47" t="str">
        <f>IFERROR(VLOOKUP($A$1&amp;"-"&amp;ROW(AE11),基本資料填寫!$A:$DN,COLUMN(基本資料填寫!CB12),0),"")</f>
        <v/>
      </c>
      <c r="S12" s="47" t="str">
        <f>IFERROR(VLOOKUP($A$1&amp;"-"&amp;ROW(AF11),基本資料填寫!$A:$DN,COLUMN(基本資料填寫!CC12),0),"")</f>
        <v/>
      </c>
      <c r="T12" s="47" t="str">
        <f>IFERROR(VLOOKUP($A$1&amp;"-"&amp;ROW(AG11),基本資料填寫!$A:$DN,COLUMN(基本資料填寫!CD12),0),"")</f>
        <v/>
      </c>
      <c r="U12" s="47" t="str">
        <f>IFERROR(VLOOKUP($A$1&amp;"-"&amp;ROW(AH11),基本資料填寫!$A:$DN,COLUMN(基本資料填寫!CE12),0),"")</f>
        <v/>
      </c>
      <c r="V12" s="47" t="str">
        <f>IFERROR(VLOOKUP($A$1&amp;"-"&amp;ROW(AI11),基本資料填寫!$A:$DN,COLUMN(基本資料填寫!CF12),0),"")</f>
        <v/>
      </c>
      <c r="W12" s="47" t="str">
        <f>IFERROR(VLOOKUP($A$1&amp;"-"&amp;ROW(AJ11),基本資料填寫!$A:$DN,COLUMN(基本資料填寫!CG12),0),"")</f>
        <v/>
      </c>
      <c r="X12" s="47" t="str">
        <f>IFERROR(VLOOKUP($A$1&amp;"-"&amp;ROW(AK11),基本資料填寫!$A:$DN,COLUMN(基本資料填寫!CH12),0),"")</f>
        <v/>
      </c>
      <c r="Y12" s="47" t="str">
        <f>IFERROR(VLOOKUP($A$1&amp;"-"&amp;ROW(AL11),基本資料填寫!$A:$DN,COLUMN(基本資料填寫!CI12),0),"")</f>
        <v/>
      </c>
      <c r="Z12" s="47" t="str">
        <f>IFERROR(VLOOKUP($A$1&amp;"-"&amp;ROW(H11),基本資料填寫!$A:$DN,COLUMN(基本資料填寫!O12),0),"")</f>
        <v/>
      </c>
      <c r="AA12" s="47" t="str">
        <f>IFERROR(VLOOKUP($A$1&amp;"-"&amp;ROW(AM11),基本資料填寫!$A:$DN,COLUMN(基本資料填寫!CJ12),0),"")</f>
        <v/>
      </c>
      <c r="AB12" s="47" t="str">
        <f>IFERROR(VLOOKUP($A$1&amp;"-"&amp;ROW(AN11),基本資料填寫!$A:$DN,COLUMN(基本資料填寫!CK12),0),"")</f>
        <v/>
      </c>
      <c r="AC12" s="47" t="str">
        <f>IFERROR(VLOOKUP($A$1&amp;"-"&amp;ROW(AP11),基本資料填寫!$A:$DN,COLUMN(基本資料填寫!CN12),0),"")</f>
        <v/>
      </c>
      <c r="AD12" s="47" t="str">
        <f>IFERROR(VLOOKUP($A$1&amp;"-"&amp;ROW(AQ11),基本資料填寫!$A:$DN,COLUMN(基本資料填寫!CO12),0),"")</f>
        <v/>
      </c>
      <c r="AE12" s="47" t="str">
        <f>IFERROR(VLOOKUP($A$1&amp;"-"&amp;ROW(AR11),基本資料填寫!$A:$DN,COLUMN(基本資料填寫!CP12),0),"")</f>
        <v/>
      </c>
      <c r="AF12" s="47" t="str">
        <f>IFERROR(VLOOKUP($A$1&amp;"-"&amp;ROW(AS11),基本資料填寫!$A:$DN,COLUMN(基本資料填寫!CQ12),0),"")</f>
        <v/>
      </c>
      <c r="AG12" s="47" t="str">
        <f>IFERROR(VLOOKUP($A$1&amp;"-"&amp;ROW(AT11),基本資料填寫!$A:$DN,COLUMN(基本資料填寫!CR12),0),"")</f>
        <v/>
      </c>
      <c r="AH12" s="47" t="str">
        <f>IFERROR(VLOOKUP($A$1&amp;"-"&amp;ROW(AU11),基本資料填寫!$A:$DN,COLUMN(基本資料填寫!CS12),0),"")</f>
        <v/>
      </c>
      <c r="AI12" s="47" t="str">
        <f>IFERROR(VLOOKUP($A$1&amp;"-"&amp;ROW(P11),基本資料填寫!$A:$DN,COLUMN(基本資料填寫!X12),0),"")</f>
        <v/>
      </c>
      <c r="AJ12" s="47" t="str">
        <f>IFERROR(VLOOKUP($A$1&amp;"-"&amp;ROW(AV11),基本資料填寫!$A:$DN,COLUMN(基本資料填寫!CT12),0),"")</f>
        <v/>
      </c>
      <c r="AK12" s="47" t="str">
        <f>IFERROR(VLOOKUP($A$1&amp;"-"&amp;ROW(AC11),基本資料填寫!$A:$DN,COLUMN(基本資料填寫!AQ12),0),"")</f>
        <v/>
      </c>
      <c r="AL12" s="47" t="str">
        <f>IFERROR(VLOOKUP($A$1&amp;"-"&amp;ROW(AO11),基本資料填寫!$A:$DN,COLUMN(基本資料填寫!CM12),0),"")</f>
        <v/>
      </c>
      <c r="AM12" s="47" t="str">
        <f>IFERROR(VLOOKUP($A$1&amp;"-"&amp;ROW(AD11),基本資料填寫!$A:$DN,COLUMN(基本資料填寫!AR12),0),"")</f>
        <v/>
      </c>
      <c r="AN12" s="47" t="str">
        <f>IFERROR(VLOOKUP($A$1&amp;"-"&amp;ROW(K11),基本資料填寫!$A:$DN,COLUMN(基本資料填寫!AP12),0),"")</f>
        <v/>
      </c>
      <c r="AO12" s="47" t="str">
        <f>IFERROR(VLOOKUP($A$1&amp;"-"&amp;ROW(J11),基本資料填寫!$A:$DN,COLUMN(基本資料填寫!AO12),0),"")</f>
        <v/>
      </c>
      <c r="AP12" s="47" t="str">
        <f>IFERROR(VLOOKUP($A$1&amp;"-"&amp;ROW(AE11),基本資料填寫!$A:$DN,COLUMN(基本資料填寫!AS12),0),"")</f>
        <v/>
      </c>
      <c r="AQ12" s="47" t="str">
        <f>IFERROR(VLOOKUP($A$1&amp;"-"&amp;ROW(AF11),基本資料填寫!$A:$DN,COLUMN(基本資料填寫!AT12),0),"")</f>
        <v/>
      </c>
      <c r="AR12" s="47" t="str">
        <f>IFERROR(VLOOKUP($A$1&amp;"-"&amp;ROW(AG11),基本資料填寫!$A:$DN,COLUMN(基本資料填寫!AU12),0),"")</f>
        <v/>
      </c>
      <c r="AS12" s="47" t="str">
        <f>IFERROR(VLOOKUP($A$1&amp;"-"&amp;ROW(AH11),基本資料填寫!$A:$DN,COLUMN(基本資料填寫!AV12),0),"")</f>
        <v/>
      </c>
      <c r="AT12" s="47" t="str">
        <f>IFERROR(VLOOKUP($A$1&amp;"-"&amp;ROW(AI11),基本資料填寫!$A:$DN,COLUMN(基本資料填寫!AW12),0),"")</f>
        <v/>
      </c>
      <c r="AU12" s="47" t="str">
        <f>IFERROR(VLOOKUP($A$1&amp;"-"&amp;ROW(AJ11),基本資料填寫!$A:$DN,COLUMN(基本資料填寫!AX12),0),"")</f>
        <v/>
      </c>
      <c r="AV12" s="47" t="str">
        <f>IFERROR(VLOOKUP($A$1&amp;"-"&amp;ROW(AK11),基本資料填寫!$A:$DN,COLUMN(基本資料填寫!AY12),0),"")</f>
        <v/>
      </c>
      <c r="AW12" s="47" t="str">
        <f>IFERROR(VLOOKUP($A$1&amp;"-"&amp;ROW(AL11),基本資料填寫!$A:$DN,COLUMN(基本資料填寫!AZ12),0),"")</f>
        <v/>
      </c>
      <c r="AX12" s="47" t="str">
        <f>IFERROR(VLOOKUP($A$1&amp;"-"&amp;ROW(AM11),基本資料填寫!$A:$DN,COLUMN(基本資料填寫!BA12),0),"")</f>
        <v/>
      </c>
      <c r="AY12" s="47" t="str">
        <f>IFERROR(VLOOKUP($A$1&amp;"-"&amp;ROW(AN11),基本資料填寫!$A:$DN,COLUMN(基本資料填寫!BB12),0),"")</f>
        <v/>
      </c>
      <c r="AZ12" s="47" t="str">
        <f>IFERROR(VLOOKUP($A$1&amp;"-"&amp;ROW(AO11),基本資料填寫!$A:$DN,COLUMN(基本資料填寫!BC12),0),"")</f>
        <v/>
      </c>
      <c r="BA12" s="47" t="str">
        <f>IFERROR(VLOOKUP($A$1&amp;"-"&amp;ROW(AP11),基本資料填寫!$A:$DN,COLUMN(基本資料填寫!BD12),0),"")</f>
        <v/>
      </c>
      <c r="BB12" s="47" t="str">
        <f>IFERROR(VLOOKUP($A$1&amp;"-"&amp;ROW(AQ11),基本資料填寫!$A:$DN,COLUMN(基本資料填寫!BE12),0),"")</f>
        <v/>
      </c>
      <c r="BC12" s="47" t="str">
        <f>IFERROR(VLOOKUP($A$1&amp;"-"&amp;ROW(AR11),基本資料填寫!$A:$DN,COLUMN(基本資料填寫!BF12),0),"")</f>
        <v/>
      </c>
      <c r="BD12" s="47" t="str">
        <f>IFERROR(VLOOKUP($A$1&amp;"-"&amp;ROW(AS11),基本資料填寫!$A:$DN,COLUMN(基本資料填寫!BG12),0),"")</f>
        <v/>
      </c>
      <c r="BE12" s="47" t="str">
        <f>IFERROR(VLOOKUP($A$1&amp;"-"&amp;ROW(AT11),基本資料填寫!$A:$DN,COLUMN(基本資料填寫!BH12),0),"")</f>
        <v/>
      </c>
      <c r="BF12" s="47" t="str">
        <f>IFERROR(VLOOKUP($A$1&amp;"-"&amp;ROW(AU11),基本資料填寫!$A:$DN,COLUMN(基本資料填寫!BI12),0),"")</f>
        <v/>
      </c>
      <c r="BG12" s="47" t="str">
        <f>IFERROR(VLOOKUP($A$1&amp;"-"&amp;ROW(AV11),基本資料填寫!$A:$DN,COLUMN(基本資料填寫!BJ12),0),"")</f>
        <v/>
      </c>
      <c r="BH12" s="47" t="str">
        <f>IFERROR(VLOOKUP($A$1&amp;"-"&amp;ROW(AW11),基本資料填寫!$A:$DN,COLUMN(基本資料填寫!BK12),0),"")</f>
        <v/>
      </c>
      <c r="BI12" s="47" t="str">
        <f>IFERROR(VLOOKUP($A$1&amp;"-"&amp;ROW(AX11),基本資料填寫!$A:$DN,COLUMN(基本資料填寫!BL12),0),"")</f>
        <v/>
      </c>
      <c r="BJ12" s="47" t="str">
        <f>IFERROR(VLOOKUP($A$1&amp;"-"&amp;ROW(AY11),基本資料填寫!$A:$DN,COLUMN(基本資料填寫!BM12),0),"")</f>
        <v/>
      </c>
      <c r="BK12" s="47" t="str">
        <f>IFERROR(VLOOKUP($A$1&amp;"-"&amp;ROW(AZ11),基本資料填寫!$A:$DN,COLUMN(基本資料填寫!BN12),0),"")</f>
        <v/>
      </c>
      <c r="BL12" s="47" t="str">
        <f>IFERROR(VLOOKUP($A$1&amp;"-"&amp;ROW(BA11),基本資料填寫!$A:$DN,COLUMN(基本資料填寫!BO12),0),"")</f>
        <v/>
      </c>
      <c r="BM12" s="47" t="str">
        <f>IFERROR(VLOOKUP($A$1&amp;"-"&amp;ROW(BB11),基本資料填寫!$A:$DN,COLUMN(基本資料填寫!BP12),0),"")</f>
        <v/>
      </c>
      <c r="BN12" s="47" t="str">
        <f>IFERROR(VLOOKUP($A$1&amp;"-"&amp;ROW(BC11),基本資料填寫!$A:$DN,COLUMN(基本資料填寫!BQ12),0),"")</f>
        <v/>
      </c>
      <c r="BO12" s="47" t="str">
        <f>IFERROR(VLOOKUP($A$1&amp;"-"&amp;ROW(BD11),基本資料填寫!$A:$DN,COLUMN(基本資料填寫!BR12),0),"")</f>
        <v/>
      </c>
    </row>
    <row r="13" spans="1:67" x14ac:dyDescent="0.3">
      <c r="B13" s="47" t="str">
        <f>IFERROR(VLOOKUP($A$1&amp;"-"&amp;ROW(A12),基本資料填寫!$A:$DN,COLUMN(基本資料填寫!K13),0),"")</f>
        <v/>
      </c>
      <c r="C13" s="47" t="str">
        <f>IFERROR(VLOOKUP($A$1&amp;"-"&amp;ROW(B12),基本資料填寫!$A:$DN,COLUMN(基本資料填寫!L13),0),"")</f>
        <v/>
      </c>
      <c r="D13" s="47" t="str">
        <f>IF(E13="","",COUNTA($E$2:E13))</f>
        <v/>
      </c>
      <c r="E13" s="47" t="str">
        <f>IFERROR(VLOOKUP($A$1&amp;"-"&amp;ROW(E12),基本資料填寫!$A:$DN,COLUMN(基本資料填寫!S13),0),"")</f>
        <v/>
      </c>
      <c r="G13" s="47" t="str">
        <f>IFERROR(VLOOKUP($A$1&amp;"-"&amp;ROW(G12),基本資料填寫!$A:$DN,COLUMN(基本資料填寫!V13),0),"")</f>
        <v/>
      </c>
      <c r="H13" s="47" t="str">
        <f>IFERROR(VLOOKUP($A$1&amp;"-"&amp;ROW(BI12),基本資料填寫!$A:$DN,COLUMN(基本資料填寫!BW13),0),"")</f>
        <v/>
      </c>
      <c r="I13" s="47" t="str">
        <f>IFERROR(VLOOKUP($A$1&amp;"-"&amp;ROW(I12),基本資料填寫!$A:$DN,COLUMN(基本資料填寫!AN13),0),"")</f>
        <v/>
      </c>
      <c r="J13" s="47" t="str">
        <f>IFERROR(VLOOKUP($A$1&amp;"-"&amp;ROW(K12),基本資料填寫!$A:$DN,COLUMN(基本資料填寫!R13),0),"")</f>
        <v/>
      </c>
      <c r="K13" s="47" t="str">
        <f>IFERROR(VLOOKUP($A$1&amp;"-"&amp;ROW(AA12),基本資料填寫!$A:$DN,COLUMN(基本資料填寫!BX13),0),"")</f>
        <v/>
      </c>
      <c r="L13" s="47" t="str">
        <f>IFERROR(VLOOKUP($A$1&amp;"-"&amp;ROW(S12),基本資料填寫!$A:$DN,COLUMN(基本資料填寫!Z13),0),"")</f>
        <v/>
      </c>
      <c r="M13" s="47" t="str">
        <f>IFERROR(VLOOKUP($A$1&amp;"-"&amp;ROW(T12),基本資料填寫!$A:$DN,COLUMN(基本資料填寫!AA13),0),"")</f>
        <v/>
      </c>
      <c r="N13" s="47" t="str">
        <f>IFERROR(VLOOKUP($A$1&amp;"-"&amp;ROW(AB12),基本資料填寫!$A:$DN,COLUMN(基本資料填寫!BY13),0),"")</f>
        <v/>
      </c>
      <c r="O13" s="47" t="str">
        <f>IFERROR(VLOOKUP($A$1&amp;"-"&amp;ROW(AC12),基本資料填寫!$A:$DN,COLUMN(基本資料填寫!BZ13),0),"")</f>
        <v/>
      </c>
      <c r="P13" s="47" t="str">
        <f>IFERROR(VLOOKUP($A$1&amp;"-"&amp;ROW(AD12),基本資料填寫!$A:$DN,COLUMN(基本資料填寫!CA13),0),"")</f>
        <v/>
      </c>
      <c r="Q13" s="47" t="str">
        <f>IFERROR(VLOOKUP($A$1&amp;"-"&amp;ROW(J12),基本資料填寫!$A:$DN,COLUMN(基本資料填寫!AO13),0),"")</f>
        <v/>
      </c>
      <c r="R13" s="47" t="str">
        <f>IFERROR(VLOOKUP($A$1&amp;"-"&amp;ROW(AE12),基本資料填寫!$A:$DN,COLUMN(基本資料填寫!CB13),0),"")</f>
        <v/>
      </c>
      <c r="S13" s="47" t="str">
        <f>IFERROR(VLOOKUP($A$1&amp;"-"&amp;ROW(AF12),基本資料填寫!$A:$DN,COLUMN(基本資料填寫!CC13),0),"")</f>
        <v/>
      </c>
      <c r="T13" s="47" t="str">
        <f>IFERROR(VLOOKUP($A$1&amp;"-"&amp;ROW(AG12),基本資料填寫!$A:$DN,COLUMN(基本資料填寫!CD13),0),"")</f>
        <v/>
      </c>
      <c r="U13" s="47" t="str">
        <f>IFERROR(VLOOKUP($A$1&amp;"-"&amp;ROW(AH12),基本資料填寫!$A:$DN,COLUMN(基本資料填寫!CE13),0),"")</f>
        <v/>
      </c>
      <c r="V13" s="47" t="str">
        <f>IFERROR(VLOOKUP($A$1&amp;"-"&amp;ROW(AI12),基本資料填寫!$A:$DN,COLUMN(基本資料填寫!CF13),0),"")</f>
        <v/>
      </c>
      <c r="W13" s="47" t="str">
        <f>IFERROR(VLOOKUP($A$1&amp;"-"&amp;ROW(AJ12),基本資料填寫!$A:$DN,COLUMN(基本資料填寫!CG13),0),"")</f>
        <v/>
      </c>
      <c r="X13" s="47" t="str">
        <f>IFERROR(VLOOKUP($A$1&amp;"-"&amp;ROW(AK12),基本資料填寫!$A:$DN,COLUMN(基本資料填寫!CH13),0),"")</f>
        <v/>
      </c>
      <c r="Y13" s="47" t="str">
        <f>IFERROR(VLOOKUP($A$1&amp;"-"&amp;ROW(AL12),基本資料填寫!$A:$DN,COLUMN(基本資料填寫!CI13),0),"")</f>
        <v/>
      </c>
      <c r="Z13" s="47" t="str">
        <f>IFERROR(VLOOKUP($A$1&amp;"-"&amp;ROW(H12),基本資料填寫!$A:$DN,COLUMN(基本資料填寫!O13),0),"")</f>
        <v/>
      </c>
      <c r="AA13" s="47" t="str">
        <f>IFERROR(VLOOKUP($A$1&amp;"-"&amp;ROW(AM12),基本資料填寫!$A:$DN,COLUMN(基本資料填寫!CJ13),0),"")</f>
        <v/>
      </c>
      <c r="AB13" s="47" t="str">
        <f>IFERROR(VLOOKUP($A$1&amp;"-"&amp;ROW(AN12),基本資料填寫!$A:$DN,COLUMN(基本資料填寫!CK13),0),"")</f>
        <v/>
      </c>
      <c r="AC13" s="47" t="str">
        <f>IFERROR(VLOOKUP($A$1&amp;"-"&amp;ROW(AP12),基本資料填寫!$A:$DN,COLUMN(基本資料填寫!CN13),0),"")</f>
        <v/>
      </c>
      <c r="AD13" s="47" t="str">
        <f>IFERROR(VLOOKUP($A$1&amp;"-"&amp;ROW(AQ12),基本資料填寫!$A:$DN,COLUMN(基本資料填寫!CO13),0),"")</f>
        <v/>
      </c>
      <c r="AE13" s="47" t="str">
        <f>IFERROR(VLOOKUP($A$1&amp;"-"&amp;ROW(AR12),基本資料填寫!$A:$DN,COLUMN(基本資料填寫!CP13),0),"")</f>
        <v/>
      </c>
      <c r="AF13" s="47" t="str">
        <f>IFERROR(VLOOKUP($A$1&amp;"-"&amp;ROW(AS12),基本資料填寫!$A:$DN,COLUMN(基本資料填寫!CQ13),0),"")</f>
        <v/>
      </c>
      <c r="AG13" s="47" t="str">
        <f>IFERROR(VLOOKUP($A$1&amp;"-"&amp;ROW(AT12),基本資料填寫!$A:$DN,COLUMN(基本資料填寫!CR13),0),"")</f>
        <v/>
      </c>
      <c r="AH13" s="47" t="str">
        <f>IFERROR(VLOOKUP($A$1&amp;"-"&amp;ROW(AU12),基本資料填寫!$A:$DN,COLUMN(基本資料填寫!CS13),0),"")</f>
        <v/>
      </c>
      <c r="AI13" s="47" t="str">
        <f>IFERROR(VLOOKUP($A$1&amp;"-"&amp;ROW(P12),基本資料填寫!$A:$DN,COLUMN(基本資料填寫!X13),0),"")</f>
        <v/>
      </c>
      <c r="AJ13" s="47" t="str">
        <f>IFERROR(VLOOKUP($A$1&amp;"-"&amp;ROW(AV12),基本資料填寫!$A:$DN,COLUMN(基本資料填寫!CT13),0),"")</f>
        <v/>
      </c>
      <c r="AK13" s="47" t="str">
        <f>IFERROR(VLOOKUP($A$1&amp;"-"&amp;ROW(AC12),基本資料填寫!$A:$DN,COLUMN(基本資料填寫!AQ13),0),"")</f>
        <v/>
      </c>
      <c r="AL13" s="47" t="str">
        <f>IFERROR(VLOOKUP($A$1&amp;"-"&amp;ROW(AO12),基本資料填寫!$A:$DN,COLUMN(基本資料填寫!CM13),0),"")</f>
        <v/>
      </c>
      <c r="AM13" s="47" t="str">
        <f>IFERROR(VLOOKUP($A$1&amp;"-"&amp;ROW(AD12),基本資料填寫!$A:$DN,COLUMN(基本資料填寫!AR13),0),"")</f>
        <v/>
      </c>
      <c r="AN13" s="47" t="str">
        <f>IFERROR(VLOOKUP($A$1&amp;"-"&amp;ROW(K12),基本資料填寫!$A:$DN,COLUMN(基本資料填寫!AP13),0),"")</f>
        <v/>
      </c>
      <c r="AO13" s="47" t="str">
        <f>IFERROR(VLOOKUP($A$1&amp;"-"&amp;ROW(J12),基本資料填寫!$A:$DN,COLUMN(基本資料填寫!AO13),0),"")</f>
        <v/>
      </c>
      <c r="AP13" s="47" t="str">
        <f>IFERROR(VLOOKUP($A$1&amp;"-"&amp;ROW(AE12),基本資料填寫!$A:$DN,COLUMN(基本資料填寫!AS13),0),"")</f>
        <v/>
      </c>
      <c r="AQ13" s="47" t="str">
        <f>IFERROR(VLOOKUP($A$1&amp;"-"&amp;ROW(AF12),基本資料填寫!$A:$DN,COLUMN(基本資料填寫!AT13),0),"")</f>
        <v/>
      </c>
      <c r="AR13" s="47" t="str">
        <f>IFERROR(VLOOKUP($A$1&amp;"-"&amp;ROW(AG12),基本資料填寫!$A:$DN,COLUMN(基本資料填寫!AU13),0),"")</f>
        <v/>
      </c>
      <c r="AS13" s="47" t="str">
        <f>IFERROR(VLOOKUP($A$1&amp;"-"&amp;ROW(AH12),基本資料填寫!$A:$DN,COLUMN(基本資料填寫!AV13),0),"")</f>
        <v/>
      </c>
      <c r="AT13" s="47" t="str">
        <f>IFERROR(VLOOKUP($A$1&amp;"-"&amp;ROW(AI12),基本資料填寫!$A:$DN,COLUMN(基本資料填寫!AW13),0),"")</f>
        <v/>
      </c>
      <c r="AU13" s="47" t="str">
        <f>IFERROR(VLOOKUP($A$1&amp;"-"&amp;ROW(AJ12),基本資料填寫!$A:$DN,COLUMN(基本資料填寫!AX13),0),"")</f>
        <v/>
      </c>
      <c r="AV13" s="47" t="str">
        <f>IFERROR(VLOOKUP($A$1&amp;"-"&amp;ROW(AK12),基本資料填寫!$A:$DN,COLUMN(基本資料填寫!AY13),0),"")</f>
        <v/>
      </c>
      <c r="AW13" s="47" t="str">
        <f>IFERROR(VLOOKUP($A$1&amp;"-"&amp;ROW(AL12),基本資料填寫!$A:$DN,COLUMN(基本資料填寫!AZ13),0),"")</f>
        <v/>
      </c>
      <c r="AX13" s="47" t="str">
        <f>IFERROR(VLOOKUP($A$1&amp;"-"&amp;ROW(AM12),基本資料填寫!$A:$DN,COLUMN(基本資料填寫!BA13),0),"")</f>
        <v/>
      </c>
      <c r="AY13" s="47" t="str">
        <f>IFERROR(VLOOKUP($A$1&amp;"-"&amp;ROW(AN12),基本資料填寫!$A:$DN,COLUMN(基本資料填寫!BB13),0),"")</f>
        <v/>
      </c>
      <c r="AZ13" s="47" t="str">
        <f>IFERROR(VLOOKUP($A$1&amp;"-"&amp;ROW(AO12),基本資料填寫!$A:$DN,COLUMN(基本資料填寫!BC13),0),"")</f>
        <v/>
      </c>
      <c r="BA13" s="47" t="str">
        <f>IFERROR(VLOOKUP($A$1&amp;"-"&amp;ROW(AP12),基本資料填寫!$A:$DN,COLUMN(基本資料填寫!BD13),0),"")</f>
        <v/>
      </c>
      <c r="BB13" s="47" t="str">
        <f>IFERROR(VLOOKUP($A$1&amp;"-"&amp;ROW(AQ12),基本資料填寫!$A:$DN,COLUMN(基本資料填寫!BE13),0),"")</f>
        <v/>
      </c>
      <c r="BC13" s="47" t="str">
        <f>IFERROR(VLOOKUP($A$1&amp;"-"&amp;ROW(AR12),基本資料填寫!$A:$DN,COLUMN(基本資料填寫!BF13),0),"")</f>
        <v/>
      </c>
      <c r="BD13" s="47" t="str">
        <f>IFERROR(VLOOKUP($A$1&amp;"-"&amp;ROW(AS12),基本資料填寫!$A:$DN,COLUMN(基本資料填寫!BG13),0),"")</f>
        <v/>
      </c>
      <c r="BE13" s="47" t="str">
        <f>IFERROR(VLOOKUP($A$1&amp;"-"&amp;ROW(AT12),基本資料填寫!$A:$DN,COLUMN(基本資料填寫!BH13),0),"")</f>
        <v/>
      </c>
      <c r="BF13" s="47" t="str">
        <f>IFERROR(VLOOKUP($A$1&amp;"-"&amp;ROW(AU12),基本資料填寫!$A:$DN,COLUMN(基本資料填寫!BI13),0),"")</f>
        <v/>
      </c>
      <c r="BG13" s="47" t="str">
        <f>IFERROR(VLOOKUP($A$1&amp;"-"&amp;ROW(AV12),基本資料填寫!$A:$DN,COLUMN(基本資料填寫!BJ13),0),"")</f>
        <v/>
      </c>
      <c r="BH13" s="47" t="str">
        <f>IFERROR(VLOOKUP($A$1&amp;"-"&amp;ROW(AW12),基本資料填寫!$A:$DN,COLUMN(基本資料填寫!BK13),0),"")</f>
        <v/>
      </c>
      <c r="BI13" s="47" t="str">
        <f>IFERROR(VLOOKUP($A$1&amp;"-"&amp;ROW(AX12),基本資料填寫!$A:$DN,COLUMN(基本資料填寫!BL13),0),"")</f>
        <v/>
      </c>
      <c r="BJ13" s="47" t="str">
        <f>IFERROR(VLOOKUP($A$1&amp;"-"&amp;ROW(AY12),基本資料填寫!$A:$DN,COLUMN(基本資料填寫!BM13),0),"")</f>
        <v/>
      </c>
      <c r="BK13" s="47" t="str">
        <f>IFERROR(VLOOKUP($A$1&amp;"-"&amp;ROW(AZ12),基本資料填寫!$A:$DN,COLUMN(基本資料填寫!BN13),0),"")</f>
        <v/>
      </c>
      <c r="BL13" s="47" t="str">
        <f>IFERROR(VLOOKUP($A$1&amp;"-"&amp;ROW(BA12),基本資料填寫!$A:$DN,COLUMN(基本資料填寫!BO13),0),"")</f>
        <v/>
      </c>
      <c r="BM13" s="47" t="str">
        <f>IFERROR(VLOOKUP($A$1&amp;"-"&amp;ROW(BB12),基本資料填寫!$A:$DN,COLUMN(基本資料填寫!BP13),0),"")</f>
        <v/>
      </c>
      <c r="BN13" s="47" t="str">
        <f>IFERROR(VLOOKUP($A$1&amp;"-"&amp;ROW(BC12),基本資料填寫!$A:$DN,COLUMN(基本資料填寫!BQ13),0),"")</f>
        <v/>
      </c>
      <c r="BO13" s="47" t="str">
        <f>IFERROR(VLOOKUP($A$1&amp;"-"&amp;ROW(BD12),基本資料填寫!$A:$DN,COLUMN(基本資料填寫!BR13),0),"")</f>
        <v/>
      </c>
    </row>
    <row r="14" spans="1:67" x14ac:dyDescent="0.3">
      <c r="B14" s="47" t="str">
        <f>IFERROR(VLOOKUP($A$1&amp;"-"&amp;ROW(A13),基本資料填寫!$A:$DN,COLUMN(基本資料填寫!K14),0),"")</f>
        <v/>
      </c>
      <c r="C14" s="47" t="str">
        <f>IFERROR(VLOOKUP($A$1&amp;"-"&amp;ROW(B13),基本資料填寫!$A:$DN,COLUMN(基本資料填寫!L14),0),"")</f>
        <v/>
      </c>
      <c r="D14" s="47" t="str">
        <f>IF(E14="","",COUNTA($E$2:E14))</f>
        <v/>
      </c>
      <c r="E14" s="47" t="str">
        <f>IFERROR(VLOOKUP($A$1&amp;"-"&amp;ROW(E13),基本資料填寫!$A:$DN,COLUMN(基本資料填寫!S14),0),"")</f>
        <v/>
      </c>
      <c r="G14" s="47" t="str">
        <f>IFERROR(VLOOKUP($A$1&amp;"-"&amp;ROW(G13),基本資料填寫!$A:$DN,COLUMN(基本資料填寫!V14),0),"")</f>
        <v/>
      </c>
      <c r="H14" s="47" t="str">
        <f>IFERROR(VLOOKUP($A$1&amp;"-"&amp;ROW(BI13),基本資料填寫!$A:$DN,COLUMN(基本資料填寫!BW14),0),"")</f>
        <v/>
      </c>
      <c r="I14" s="47" t="str">
        <f>IFERROR(VLOOKUP($A$1&amp;"-"&amp;ROW(I13),基本資料填寫!$A:$DN,COLUMN(基本資料填寫!AN14),0),"")</f>
        <v/>
      </c>
      <c r="J14" s="47" t="str">
        <f>IFERROR(VLOOKUP($A$1&amp;"-"&amp;ROW(K13),基本資料填寫!$A:$DN,COLUMN(基本資料填寫!R14),0),"")</f>
        <v/>
      </c>
      <c r="K14" s="47" t="str">
        <f>IFERROR(VLOOKUP($A$1&amp;"-"&amp;ROW(AA13),基本資料填寫!$A:$DN,COLUMN(基本資料填寫!BX14),0),"")</f>
        <v/>
      </c>
      <c r="L14" s="47" t="str">
        <f>IFERROR(VLOOKUP($A$1&amp;"-"&amp;ROW(S13),基本資料填寫!$A:$DN,COLUMN(基本資料填寫!Z14),0),"")</f>
        <v/>
      </c>
      <c r="M14" s="47" t="str">
        <f>IFERROR(VLOOKUP($A$1&amp;"-"&amp;ROW(T13),基本資料填寫!$A:$DN,COLUMN(基本資料填寫!AA14),0),"")</f>
        <v/>
      </c>
      <c r="N14" s="47" t="str">
        <f>IFERROR(VLOOKUP($A$1&amp;"-"&amp;ROW(AB13),基本資料填寫!$A:$DN,COLUMN(基本資料填寫!BY14),0),"")</f>
        <v/>
      </c>
      <c r="O14" s="47" t="str">
        <f>IFERROR(VLOOKUP($A$1&amp;"-"&amp;ROW(AC13),基本資料填寫!$A:$DN,COLUMN(基本資料填寫!BZ14),0),"")</f>
        <v/>
      </c>
      <c r="P14" s="47" t="str">
        <f>IFERROR(VLOOKUP($A$1&amp;"-"&amp;ROW(AD13),基本資料填寫!$A:$DN,COLUMN(基本資料填寫!CA14),0),"")</f>
        <v/>
      </c>
      <c r="Q14" s="47" t="str">
        <f>IFERROR(VLOOKUP($A$1&amp;"-"&amp;ROW(J13),基本資料填寫!$A:$DN,COLUMN(基本資料填寫!AO14),0),"")</f>
        <v/>
      </c>
      <c r="R14" s="47" t="str">
        <f>IFERROR(VLOOKUP($A$1&amp;"-"&amp;ROW(AE13),基本資料填寫!$A:$DN,COLUMN(基本資料填寫!CB14),0),"")</f>
        <v/>
      </c>
      <c r="S14" s="47" t="str">
        <f>IFERROR(VLOOKUP($A$1&amp;"-"&amp;ROW(AF13),基本資料填寫!$A:$DN,COLUMN(基本資料填寫!CC14),0),"")</f>
        <v/>
      </c>
      <c r="T14" s="47" t="str">
        <f>IFERROR(VLOOKUP($A$1&amp;"-"&amp;ROW(AG13),基本資料填寫!$A:$DN,COLUMN(基本資料填寫!CD14),0),"")</f>
        <v/>
      </c>
      <c r="U14" s="47" t="str">
        <f>IFERROR(VLOOKUP($A$1&amp;"-"&amp;ROW(AH13),基本資料填寫!$A:$DN,COLUMN(基本資料填寫!CE14),0),"")</f>
        <v/>
      </c>
      <c r="V14" s="47" t="str">
        <f>IFERROR(VLOOKUP($A$1&amp;"-"&amp;ROW(AI13),基本資料填寫!$A:$DN,COLUMN(基本資料填寫!CF14),0),"")</f>
        <v/>
      </c>
      <c r="W14" s="47" t="str">
        <f>IFERROR(VLOOKUP($A$1&amp;"-"&amp;ROW(AJ13),基本資料填寫!$A:$DN,COLUMN(基本資料填寫!CG14),0),"")</f>
        <v/>
      </c>
      <c r="X14" s="47" t="str">
        <f>IFERROR(VLOOKUP($A$1&amp;"-"&amp;ROW(AK13),基本資料填寫!$A:$DN,COLUMN(基本資料填寫!CH14),0),"")</f>
        <v/>
      </c>
      <c r="Y14" s="47" t="str">
        <f>IFERROR(VLOOKUP($A$1&amp;"-"&amp;ROW(AL13),基本資料填寫!$A:$DN,COLUMN(基本資料填寫!CI14),0),"")</f>
        <v/>
      </c>
      <c r="Z14" s="47" t="str">
        <f>IFERROR(VLOOKUP($A$1&amp;"-"&amp;ROW(H13),基本資料填寫!$A:$DN,COLUMN(基本資料填寫!O14),0),"")</f>
        <v/>
      </c>
      <c r="AA14" s="47" t="str">
        <f>IFERROR(VLOOKUP($A$1&amp;"-"&amp;ROW(AM13),基本資料填寫!$A:$DN,COLUMN(基本資料填寫!CJ14),0),"")</f>
        <v/>
      </c>
      <c r="AB14" s="47" t="str">
        <f>IFERROR(VLOOKUP($A$1&amp;"-"&amp;ROW(AN13),基本資料填寫!$A:$DN,COLUMN(基本資料填寫!CK14),0),"")</f>
        <v/>
      </c>
      <c r="AC14" s="47" t="str">
        <f>IFERROR(VLOOKUP($A$1&amp;"-"&amp;ROW(AP13),基本資料填寫!$A:$DN,COLUMN(基本資料填寫!CN14),0),"")</f>
        <v/>
      </c>
      <c r="AD14" s="47" t="str">
        <f>IFERROR(VLOOKUP($A$1&amp;"-"&amp;ROW(AQ13),基本資料填寫!$A:$DN,COLUMN(基本資料填寫!CO14),0),"")</f>
        <v/>
      </c>
      <c r="AE14" s="47" t="str">
        <f>IFERROR(VLOOKUP($A$1&amp;"-"&amp;ROW(AR13),基本資料填寫!$A:$DN,COLUMN(基本資料填寫!CP14),0),"")</f>
        <v/>
      </c>
      <c r="AF14" s="47" t="str">
        <f>IFERROR(VLOOKUP($A$1&amp;"-"&amp;ROW(AS13),基本資料填寫!$A:$DN,COLUMN(基本資料填寫!CQ14),0),"")</f>
        <v/>
      </c>
      <c r="AG14" s="47" t="str">
        <f>IFERROR(VLOOKUP($A$1&amp;"-"&amp;ROW(AT13),基本資料填寫!$A:$DN,COLUMN(基本資料填寫!CR14),0),"")</f>
        <v/>
      </c>
      <c r="AH14" s="47" t="str">
        <f>IFERROR(VLOOKUP($A$1&amp;"-"&amp;ROW(AU13),基本資料填寫!$A:$DN,COLUMN(基本資料填寫!CS14),0),"")</f>
        <v/>
      </c>
      <c r="AI14" s="47" t="str">
        <f>IFERROR(VLOOKUP($A$1&amp;"-"&amp;ROW(P13),基本資料填寫!$A:$DN,COLUMN(基本資料填寫!X14),0),"")</f>
        <v/>
      </c>
      <c r="AJ14" s="47" t="str">
        <f>IFERROR(VLOOKUP($A$1&amp;"-"&amp;ROW(AV13),基本資料填寫!$A:$DN,COLUMN(基本資料填寫!CT14),0),"")</f>
        <v/>
      </c>
      <c r="AK14" s="47" t="str">
        <f>IFERROR(VLOOKUP($A$1&amp;"-"&amp;ROW(AC13),基本資料填寫!$A:$DN,COLUMN(基本資料填寫!AQ14),0),"")</f>
        <v/>
      </c>
      <c r="AL14" s="47" t="str">
        <f>IFERROR(VLOOKUP($A$1&amp;"-"&amp;ROW(AO13),基本資料填寫!$A:$DN,COLUMN(基本資料填寫!CM14),0),"")</f>
        <v/>
      </c>
      <c r="AM14" s="47" t="str">
        <f>IFERROR(VLOOKUP($A$1&amp;"-"&amp;ROW(AD13),基本資料填寫!$A:$DN,COLUMN(基本資料填寫!AR14),0),"")</f>
        <v/>
      </c>
      <c r="AN14" s="47" t="str">
        <f>IFERROR(VLOOKUP($A$1&amp;"-"&amp;ROW(K13),基本資料填寫!$A:$DN,COLUMN(基本資料填寫!AP14),0),"")</f>
        <v/>
      </c>
      <c r="AO14" s="47" t="str">
        <f>IFERROR(VLOOKUP($A$1&amp;"-"&amp;ROW(J13),基本資料填寫!$A:$DN,COLUMN(基本資料填寫!AO14),0),"")</f>
        <v/>
      </c>
      <c r="AP14" s="47" t="str">
        <f>IFERROR(VLOOKUP($A$1&amp;"-"&amp;ROW(AE13),基本資料填寫!$A:$DN,COLUMN(基本資料填寫!AS14),0),"")</f>
        <v/>
      </c>
      <c r="AQ14" s="47" t="str">
        <f>IFERROR(VLOOKUP($A$1&amp;"-"&amp;ROW(AF13),基本資料填寫!$A:$DN,COLUMN(基本資料填寫!AT14),0),"")</f>
        <v/>
      </c>
      <c r="AR14" s="47" t="str">
        <f>IFERROR(VLOOKUP($A$1&amp;"-"&amp;ROW(AG13),基本資料填寫!$A:$DN,COLUMN(基本資料填寫!AU14),0),"")</f>
        <v/>
      </c>
      <c r="AS14" s="47" t="str">
        <f>IFERROR(VLOOKUP($A$1&amp;"-"&amp;ROW(AH13),基本資料填寫!$A:$DN,COLUMN(基本資料填寫!AV14),0),"")</f>
        <v/>
      </c>
      <c r="AT14" s="47" t="str">
        <f>IFERROR(VLOOKUP($A$1&amp;"-"&amp;ROW(AI13),基本資料填寫!$A:$DN,COLUMN(基本資料填寫!AW14),0),"")</f>
        <v/>
      </c>
      <c r="AU14" s="47" t="str">
        <f>IFERROR(VLOOKUP($A$1&amp;"-"&amp;ROW(AJ13),基本資料填寫!$A:$DN,COLUMN(基本資料填寫!AX14),0),"")</f>
        <v/>
      </c>
      <c r="AV14" s="47" t="str">
        <f>IFERROR(VLOOKUP($A$1&amp;"-"&amp;ROW(AK13),基本資料填寫!$A:$DN,COLUMN(基本資料填寫!AY14),0),"")</f>
        <v/>
      </c>
      <c r="AW14" s="47" t="str">
        <f>IFERROR(VLOOKUP($A$1&amp;"-"&amp;ROW(AL13),基本資料填寫!$A:$DN,COLUMN(基本資料填寫!AZ14),0),"")</f>
        <v/>
      </c>
      <c r="AX14" s="47" t="str">
        <f>IFERROR(VLOOKUP($A$1&amp;"-"&amp;ROW(AM13),基本資料填寫!$A:$DN,COLUMN(基本資料填寫!BA14),0),"")</f>
        <v/>
      </c>
      <c r="AY14" s="47" t="str">
        <f>IFERROR(VLOOKUP($A$1&amp;"-"&amp;ROW(AN13),基本資料填寫!$A:$DN,COLUMN(基本資料填寫!BB14),0),"")</f>
        <v/>
      </c>
      <c r="AZ14" s="47" t="str">
        <f>IFERROR(VLOOKUP($A$1&amp;"-"&amp;ROW(AO13),基本資料填寫!$A:$DN,COLUMN(基本資料填寫!BC14),0),"")</f>
        <v/>
      </c>
      <c r="BA14" s="47" t="str">
        <f>IFERROR(VLOOKUP($A$1&amp;"-"&amp;ROW(AP13),基本資料填寫!$A:$DN,COLUMN(基本資料填寫!BD14),0),"")</f>
        <v/>
      </c>
      <c r="BB14" s="47" t="str">
        <f>IFERROR(VLOOKUP($A$1&amp;"-"&amp;ROW(AQ13),基本資料填寫!$A:$DN,COLUMN(基本資料填寫!BE14),0),"")</f>
        <v/>
      </c>
      <c r="BC14" s="47" t="str">
        <f>IFERROR(VLOOKUP($A$1&amp;"-"&amp;ROW(AR13),基本資料填寫!$A:$DN,COLUMN(基本資料填寫!BF14),0),"")</f>
        <v/>
      </c>
      <c r="BD14" s="47" t="str">
        <f>IFERROR(VLOOKUP($A$1&amp;"-"&amp;ROW(AS13),基本資料填寫!$A:$DN,COLUMN(基本資料填寫!BG14),0),"")</f>
        <v/>
      </c>
      <c r="BE14" s="47" t="str">
        <f>IFERROR(VLOOKUP($A$1&amp;"-"&amp;ROW(AT13),基本資料填寫!$A:$DN,COLUMN(基本資料填寫!BH14),0),"")</f>
        <v/>
      </c>
      <c r="BF14" s="47" t="str">
        <f>IFERROR(VLOOKUP($A$1&amp;"-"&amp;ROW(AU13),基本資料填寫!$A:$DN,COLUMN(基本資料填寫!BI14),0),"")</f>
        <v/>
      </c>
      <c r="BG14" s="47" t="str">
        <f>IFERROR(VLOOKUP($A$1&amp;"-"&amp;ROW(AV13),基本資料填寫!$A:$DN,COLUMN(基本資料填寫!BJ14),0),"")</f>
        <v/>
      </c>
      <c r="BH14" s="47" t="str">
        <f>IFERROR(VLOOKUP($A$1&amp;"-"&amp;ROW(AW13),基本資料填寫!$A:$DN,COLUMN(基本資料填寫!BK14),0),"")</f>
        <v/>
      </c>
      <c r="BI14" s="47" t="str">
        <f>IFERROR(VLOOKUP($A$1&amp;"-"&amp;ROW(AX13),基本資料填寫!$A:$DN,COLUMN(基本資料填寫!BL14),0),"")</f>
        <v/>
      </c>
      <c r="BJ14" s="47" t="str">
        <f>IFERROR(VLOOKUP($A$1&amp;"-"&amp;ROW(AY13),基本資料填寫!$A:$DN,COLUMN(基本資料填寫!BM14),0),"")</f>
        <v/>
      </c>
      <c r="BK14" s="47" t="str">
        <f>IFERROR(VLOOKUP($A$1&amp;"-"&amp;ROW(AZ13),基本資料填寫!$A:$DN,COLUMN(基本資料填寫!BN14),0),"")</f>
        <v/>
      </c>
      <c r="BL14" s="47" t="str">
        <f>IFERROR(VLOOKUP($A$1&amp;"-"&amp;ROW(BA13),基本資料填寫!$A:$DN,COLUMN(基本資料填寫!BO14),0),"")</f>
        <v/>
      </c>
      <c r="BM14" s="47" t="str">
        <f>IFERROR(VLOOKUP($A$1&amp;"-"&amp;ROW(BB13),基本資料填寫!$A:$DN,COLUMN(基本資料填寫!BP14),0),"")</f>
        <v/>
      </c>
      <c r="BN14" s="47" t="str">
        <f>IFERROR(VLOOKUP($A$1&amp;"-"&amp;ROW(BC13),基本資料填寫!$A:$DN,COLUMN(基本資料填寫!BQ14),0),"")</f>
        <v/>
      </c>
      <c r="BO14" s="47" t="str">
        <f>IFERROR(VLOOKUP($A$1&amp;"-"&amp;ROW(BD13),基本資料填寫!$A:$DN,COLUMN(基本資料填寫!BR14),0),"")</f>
        <v/>
      </c>
    </row>
    <row r="15" spans="1:67" x14ac:dyDescent="0.3">
      <c r="B15" s="47" t="str">
        <f>IFERROR(VLOOKUP($A$1&amp;"-"&amp;ROW(A14),基本資料填寫!$A:$DN,COLUMN(基本資料填寫!K15),0),"")</f>
        <v/>
      </c>
      <c r="C15" s="47" t="str">
        <f>IFERROR(VLOOKUP($A$1&amp;"-"&amp;ROW(B14),基本資料填寫!$A:$DN,COLUMN(基本資料填寫!L15),0),"")</f>
        <v/>
      </c>
      <c r="D15" s="47" t="str">
        <f>IF(E15="","",COUNTA($E$2:E15))</f>
        <v/>
      </c>
      <c r="E15" s="47" t="str">
        <f>IFERROR(VLOOKUP($A$1&amp;"-"&amp;ROW(E14),基本資料填寫!$A:$DN,COLUMN(基本資料填寫!S15),0),"")</f>
        <v/>
      </c>
      <c r="G15" s="47" t="str">
        <f>IFERROR(VLOOKUP($A$1&amp;"-"&amp;ROW(G14),基本資料填寫!$A:$DN,COLUMN(基本資料填寫!V15),0),"")</f>
        <v/>
      </c>
      <c r="H15" s="47" t="str">
        <f>IFERROR(VLOOKUP($A$1&amp;"-"&amp;ROW(BI14),基本資料填寫!$A:$DN,COLUMN(基本資料填寫!BW15),0),"")</f>
        <v/>
      </c>
      <c r="I15" s="47" t="str">
        <f>IFERROR(VLOOKUP($A$1&amp;"-"&amp;ROW(I14),基本資料填寫!$A:$DN,COLUMN(基本資料填寫!AN15),0),"")</f>
        <v/>
      </c>
      <c r="J15" s="47" t="str">
        <f>IFERROR(VLOOKUP($A$1&amp;"-"&amp;ROW(K14),基本資料填寫!$A:$DN,COLUMN(基本資料填寫!R15),0),"")</f>
        <v/>
      </c>
      <c r="K15" s="47" t="str">
        <f>IFERROR(VLOOKUP($A$1&amp;"-"&amp;ROW(AA14),基本資料填寫!$A:$DN,COLUMN(基本資料填寫!BX15),0),"")</f>
        <v/>
      </c>
      <c r="L15" s="47" t="str">
        <f>IFERROR(VLOOKUP($A$1&amp;"-"&amp;ROW(S14),基本資料填寫!$A:$DN,COLUMN(基本資料填寫!Z15),0),"")</f>
        <v/>
      </c>
      <c r="M15" s="47" t="str">
        <f>IFERROR(VLOOKUP($A$1&amp;"-"&amp;ROW(T14),基本資料填寫!$A:$DN,COLUMN(基本資料填寫!AA15),0),"")</f>
        <v/>
      </c>
      <c r="N15" s="47" t="str">
        <f>IFERROR(VLOOKUP($A$1&amp;"-"&amp;ROW(AB14),基本資料填寫!$A:$DN,COLUMN(基本資料填寫!BY15),0),"")</f>
        <v/>
      </c>
      <c r="O15" s="47" t="str">
        <f>IFERROR(VLOOKUP($A$1&amp;"-"&amp;ROW(AC14),基本資料填寫!$A:$DN,COLUMN(基本資料填寫!BZ15),0),"")</f>
        <v/>
      </c>
      <c r="P15" s="47" t="str">
        <f>IFERROR(VLOOKUP($A$1&amp;"-"&amp;ROW(AD14),基本資料填寫!$A:$DN,COLUMN(基本資料填寫!CA15),0),"")</f>
        <v/>
      </c>
      <c r="Q15" s="47" t="str">
        <f>IFERROR(VLOOKUP($A$1&amp;"-"&amp;ROW(J14),基本資料填寫!$A:$DN,COLUMN(基本資料填寫!AO15),0),"")</f>
        <v/>
      </c>
      <c r="R15" s="47" t="str">
        <f>IFERROR(VLOOKUP($A$1&amp;"-"&amp;ROW(AE14),基本資料填寫!$A:$DN,COLUMN(基本資料填寫!CB15),0),"")</f>
        <v/>
      </c>
      <c r="S15" s="47" t="str">
        <f>IFERROR(VLOOKUP($A$1&amp;"-"&amp;ROW(AF14),基本資料填寫!$A:$DN,COLUMN(基本資料填寫!CC15),0),"")</f>
        <v/>
      </c>
      <c r="T15" s="47" t="str">
        <f>IFERROR(VLOOKUP($A$1&amp;"-"&amp;ROW(AG14),基本資料填寫!$A:$DN,COLUMN(基本資料填寫!CD15),0),"")</f>
        <v/>
      </c>
      <c r="U15" s="47" t="str">
        <f>IFERROR(VLOOKUP($A$1&amp;"-"&amp;ROW(AH14),基本資料填寫!$A:$DN,COLUMN(基本資料填寫!CE15),0),"")</f>
        <v/>
      </c>
      <c r="V15" s="47" t="str">
        <f>IFERROR(VLOOKUP($A$1&amp;"-"&amp;ROW(AI14),基本資料填寫!$A:$DN,COLUMN(基本資料填寫!CF15),0),"")</f>
        <v/>
      </c>
      <c r="W15" s="47" t="str">
        <f>IFERROR(VLOOKUP($A$1&amp;"-"&amp;ROW(AJ14),基本資料填寫!$A:$DN,COLUMN(基本資料填寫!CG15),0),"")</f>
        <v/>
      </c>
      <c r="X15" s="47" t="str">
        <f>IFERROR(VLOOKUP($A$1&amp;"-"&amp;ROW(AK14),基本資料填寫!$A:$DN,COLUMN(基本資料填寫!CH15),0),"")</f>
        <v/>
      </c>
      <c r="Y15" s="47" t="str">
        <f>IFERROR(VLOOKUP($A$1&amp;"-"&amp;ROW(AL14),基本資料填寫!$A:$DN,COLUMN(基本資料填寫!CI15),0),"")</f>
        <v/>
      </c>
      <c r="Z15" s="47" t="str">
        <f>IFERROR(VLOOKUP($A$1&amp;"-"&amp;ROW(H14),基本資料填寫!$A:$DN,COLUMN(基本資料填寫!O15),0),"")</f>
        <v/>
      </c>
      <c r="AA15" s="47" t="str">
        <f>IFERROR(VLOOKUP($A$1&amp;"-"&amp;ROW(AM14),基本資料填寫!$A:$DN,COLUMN(基本資料填寫!CJ15),0),"")</f>
        <v/>
      </c>
      <c r="AB15" s="47" t="str">
        <f>IFERROR(VLOOKUP($A$1&amp;"-"&amp;ROW(AN14),基本資料填寫!$A:$DN,COLUMN(基本資料填寫!CK15),0),"")</f>
        <v/>
      </c>
      <c r="AC15" s="47" t="str">
        <f>IFERROR(VLOOKUP($A$1&amp;"-"&amp;ROW(AP14),基本資料填寫!$A:$DN,COLUMN(基本資料填寫!CN15),0),"")</f>
        <v/>
      </c>
      <c r="AD15" s="47" t="str">
        <f>IFERROR(VLOOKUP($A$1&amp;"-"&amp;ROW(AQ14),基本資料填寫!$A:$DN,COLUMN(基本資料填寫!CO15),0),"")</f>
        <v/>
      </c>
      <c r="AE15" s="47" t="str">
        <f>IFERROR(VLOOKUP($A$1&amp;"-"&amp;ROW(AR14),基本資料填寫!$A:$DN,COLUMN(基本資料填寫!CP15),0),"")</f>
        <v/>
      </c>
      <c r="AF15" s="47" t="str">
        <f>IFERROR(VLOOKUP($A$1&amp;"-"&amp;ROW(AS14),基本資料填寫!$A:$DN,COLUMN(基本資料填寫!CQ15),0),"")</f>
        <v/>
      </c>
      <c r="AG15" s="47" t="str">
        <f>IFERROR(VLOOKUP($A$1&amp;"-"&amp;ROW(AT14),基本資料填寫!$A:$DN,COLUMN(基本資料填寫!CR15),0),"")</f>
        <v/>
      </c>
      <c r="AH15" s="47" t="str">
        <f>IFERROR(VLOOKUP($A$1&amp;"-"&amp;ROW(AU14),基本資料填寫!$A:$DN,COLUMN(基本資料填寫!CS15),0),"")</f>
        <v/>
      </c>
      <c r="AI15" s="47" t="str">
        <f>IFERROR(VLOOKUP($A$1&amp;"-"&amp;ROW(P14),基本資料填寫!$A:$DN,COLUMN(基本資料填寫!X15),0),"")</f>
        <v/>
      </c>
      <c r="AJ15" s="47" t="str">
        <f>IFERROR(VLOOKUP($A$1&amp;"-"&amp;ROW(AV14),基本資料填寫!$A:$DN,COLUMN(基本資料填寫!CT15),0),"")</f>
        <v/>
      </c>
      <c r="AK15" s="47" t="str">
        <f>IFERROR(VLOOKUP($A$1&amp;"-"&amp;ROW(AC14),基本資料填寫!$A:$DN,COLUMN(基本資料填寫!AQ15),0),"")</f>
        <v/>
      </c>
      <c r="AL15" s="47" t="str">
        <f>IFERROR(VLOOKUP($A$1&amp;"-"&amp;ROW(AO14),基本資料填寫!$A:$DN,COLUMN(基本資料填寫!CM15),0),"")</f>
        <v/>
      </c>
      <c r="AM15" s="47" t="str">
        <f>IFERROR(VLOOKUP($A$1&amp;"-"&amp;ROW(AD14),基本資料填寫!$A:$DN,COLUMN(基本資料填寫!AR15),0),"")</f>
        <v/>
      </c>
      <c r="AN15" s="47" t="str">
        <f>IFERROR(VLOOKUP($A$1&amp;"-"&amp;ROW(K14),基本資料填寫!$A:$DN,COLUMN(基本資料填寫!AP15),0),"")</f>
        <v/>
      </c>
      <c r="AO15" s="47" t="str">
        <f>IFERROR(VLOOKUP($A$1&amp;"-"&amp;ROW(J14),基本資料填寫!$A:$DN,COLUMN(基本資料填寫!AO15),0),"")</f>
        <v/>
      </c>
      <c r="AP15" s="47" t="str">
        <f>IFERROR(VLOOKUP($A$1&amp;"-"&amp;ROW(AE14),基本資料填寫!$A:$DN,COLUMN(基本資料填寫!AS15),0),"")</f>
        <v/>
      </c>
      <c r="AQ15" s="47" t="str">
        <f>IFERROR(VLOOKUP($A$1&amp;"-"&amp;ROW(AF14),基本資料填寫!$A:$DN,COLUMN(基本資料填寫!AT15),0),"")</f>
        <v/>
      </c>
      <c r="AR15" s="47" t="str">
        <f>IFERROR(VLOOKUP($A$1&amp;"-"&amp;ROW(AG14),基本資料填寫!$A:$DN,COLUMN(基本資料填寫!AU15),0),"")</f>
        <v/>
      </c>
      <c r="AS15" s="47" t="str">
        <f>IFERROR(VLOOKUP($A$1&amp;"-"&amp;ROW(AH14),基本資料填寫!$A:$DN,COLUMN(基本資料填寫!AV15),0),"")</f>
        <v/>
      </c>
      <c r="AT15" s="47" t="str">
        <f>IFERROR(VLOOKUP($A$1&amp;"-"&amp;ROW(AI14),基本資料填寫!$A:$DN,COLUMN(基本資料填寫!AW15),0),"")</f>
        <v/>
      </c>
      <c r="AU15" s="47" t="str">
        <f>IFERROR(VLOOKUP($A$1&amp;"-"&amp;ROW(AJ14),基本資料填寫!$A:$DN,COLUMN(基本資料填寫!AX15),0),"")</f>
        <v/>
      </c>
      <c r="AV15" s="47" t="str">
        <f>IFERROR(VLOOKUP($A$1&amp;"-"&amp;ROW(AK14),基本資料填寫!$A:$DN,COLUMN(基本資料填寫!AY15),0),"")</f>
        <v/>
      </c>
      <c r="AW15" s="47" t="str">
        <f>IFERROR(VLOOKUP($A$1&amp;"-"&amp;ROW(AL14),基本資料填寫!$A:$DN,COLUMN(基本資料填寫!AZ15),0),"")</f>
        <v/>
      </c>
      <c r="AX15" s="47" t="str">
        <f>IFERROR(VLOOKUP($A$1&amp;"-"&amp;ROW(AM14),基本資料填寫!$A:$DN,COLUMN(基本資料填寫!BA15),0),"")</f>
        <v/>
      </c>
      <c r="AY15" s="47" t="str">
        <f>IFERROR(VLOOKUP($A$1&amp;"-"&amp;ROW(AN14),基本資料填寫!$A:$DN,COLUMN(基本資料填寫!BB15),0),"")</f>
        <v/>
      </c>
      <c r="AZ15" s="47" t="str">
        <f>IFERROR(VLOOKUP($A$1&amp;"-"&amp;ROW(AO14),基本資料填寫!$A:$DN,COLUMN(基本資料填寫!BC15),0),"")</f>
        <v/>
      </c>
      <c r="BA15" s="47" t="str">
        <f>IFERROR(VLOOKUP($A$1&amp;"-"&amp;ROW(AP14),基本資料填寫!$A:$DN,COLUMN(基本資料填寫!BD15),0),"")</f>
        <v/>
      </c>
      <c r="BB15" s="47" t="str">
        <f>IFERROR(VLOOKUP($A$1&amp;"-"&amp;ROW(AQ14),基本資料填寫!$A:$DN,COLUMN(基本資料填寫!BE15),0),"")</f>
        <v/>
      </c>
      <c r="BC15" s="47" t="str">
        <f>IFERROR(VLOOKUP($A$1&amp;"-"&amp;ROW(AR14),基本資料填寫!$A:$DN,COLUMN(基本資料填寫!BF15),0),"")</f>
        <v/>
      </c>
      <c r="BD15" s="47" t="str">
        <f>IFERROR(VLOOKUP($A$1&amp;"-"&amp;ROW(AS14),基本資料填寫!$A:$DN,COLUMN(基本資料填寫!BG15),0),"")</f>
        <v/>
      </c>
      <c r="BE15" s="47" t="str">
        <f>IFERROR(VLOOKUP($A$1&amp;"-"&amp;ROW(AT14),基本資料填寫!$A:$DN,COLUMN(基本資料填寫!BH15),0),"")</f>
        <v/>
      </c>
      <c r="BF15" s="47" t="str">
        <f>IFERROR(VLOOKUP($A$1&amp;"-"&amp;ROW(AU14),基本資料填寫!$A:$DN,COLUMN(基本資料填寫!BI15),0),"")</f>
        <v/>
      </c>
      <c r="BG15" s="47" t="str">
        <f>IFERROR(VLOOKUP($A$1&amp;"-"&amp;ROW(AV14),基本資料填寫!$A:$DN,COLUMN(基本資料填寫!BJ15),0),"")</f>
        <v/>
      </c>
      <c r="BH15" s="47" t="str">
        <f>IFERROR(VLOOKUP($A$1&amp;"-"&amp;ROW(AW14),基本資料填寫!$A:$DN,COLUMN(基本資料填寫!BK15),0),"")</f>
        <v/>
      </c>
      <c r="BI15" s="47" t="str">
        <f>IFERROR(VLOOKUP($A$1&amp;"-"&amp;ROW(AX14),基本資料填寫!$A:$DN,COLUMN(基本資料填寫!BL15),0),"")</f>
        <v/>
      </c>
      <c r="BJ15" s="47" t="str">
        <f>IFERROR(VLOOKUP($A$1&amp;"-"&amp;ROW(AY14),基本資料填寫!$A:$DN,COLUMN(基本資料填寫!BM15),0),"")</f>
        <v/>
      </c>
      <c r="BK15" s="47" t="str">
        <f>IFERROR(VLOOKUP($A$1&amp;"-"&amp;ROW(AZ14),基本資料填寫!$A:$DN,COLUMN(基本資料填寫!BN15),0),"")</f>
        <v/>
      </c>
      <c r="BL15" s="47" t="str">
        <f>IFERROR(VLOOKUP($A$1&amp;"-"&amp;ROW(BA14),基本資料填寫!$A:$DN,COLUMN(基本資料填寫!BO15),0),"")</f>
        <v/>
      </c>
      <c r="BM15" s="47" t="str">
        <f>IFERROR(VLOOKUP($A$1&amp;"-"&amp;ROW(BB14),基本資料填寫!$A:$DN,COLUMN(基本資料填寫!BP15),0),"")</f>
        <v/>
      </c>
      <c r="BN15" s="47" t="str">
        <f>IFERROR(VLOOKUP($A$1&amp;"-"&amp;ROW(BC14),基本資料填寫!$A:$DN,COLUMN(基本資料填寫!BQ15),0),"")</f>
        <v/>
      </c>
      <c r="BO15" s="47" t="str">
        <f>IFERROR(VLOOKUP($A$1&amp;"-"&amp;ROW(BD14),基本資料填寫!$A:$DN,COLUMN(基本資料填寫!BR15),0),"")</f>
        <v/>
      </c>
    </row>
    <row r="16" spans="1:67" x14ac:dyDescent="0.3">
      <c r="B16" s="47" t="str">
        <f>IFERROR(VLOOKUP($A$1&amp;"-"&amp;ROW(A15),基本資料填寫!$A:$DN,COLUMN(基本資料填寫!K16),0),"")</f>
        <v/>
      </c>
      <c r="C16" s="47" t="str">
        <f>IFERROR(VLOOKUP($A$1&amp;"-"&amp;ROW(B15),基本資料填寫!$A:$DN,COLUMN(基本資料填寫!L16),0),"")</f>
        <v/>
      </c>
      <c r="D16" s="47" t="str">
        <f>IF(E16="","",COUNTA($E$2:E16))</f>
        <v/>
      </c>
      <c r="E16" s="47" t="str">
        <f>IFERROR(VLOOKUP($A$1&amp;"-"&amp;ROW(E15),基本資料填寫!$A:$DN,COLUMN(基本資料填寫!S16),0),"")</f>
        <v/>
      </c>
      <c r="G16" s="47" t="str">
        <f>IFERROR(VLOOKUP($A$1&amp;"-"&amp;ROW(G15),基本資料填寫!$A:$DN,COLUMN(基本資料填寫!V16),0),"")</f>
        <v/>
      </c>
      <c r="H16" s="47" t="str">
        <f>IFERROR(VLOOKUP($A$1&amp;"-"&amp;ROW(BI15),基本資料填寫!$A:$DN,COLUMN(基本資料填寫!BW16),0),"")</f>
        <v/>
      </c>
      <c r="I16" s="47" t="str">
        <f>IFERROR(VLOOKUP($A$1&amp;"-"&amp;ROW(I15),基本資料填寫!$A:$DN,COLUMN(基本資料填寫!AN16),0),"")</f>
        <v/>
      </c>
      <c r="J16" s="47" t="str">
        <f>IFERROR(VLOOKUP($A$1&amp;"-"&amp;ROW(K15),基本資料填寫!$A:$DN,COLUMN(基本資料填寫!R16),0),"")</f>
        <v/>
      </c>
      <c r="K16" s="47" t="str">
        <f>IFERROR(VLOOKUP($A$1&amp;"-"&amp;ROW(AA15),基本資料填寫!$A:$DN,COLUMN(基本資料填寫!BX16),0),"")</f>
        <v/>
      </c>
      <c r="L16" s="47" t="str">
        <f>IFERROR(VLOOKUP($A$1&amp;"-"&amp;ROW(S15),基本資料填寫!$A:$DN,COLUMN(基本資料填寫!Z16),0),"")</f>
        <v/>
      </c>
      <c r="M16" s="47" t="str">
        <f>IFERROR(VLOOKUP($A$1&amp;"-"&amp;ROW(T15),基本資料填寫!$A:$DN,COLUMN(基本資料填寫!AA16),0),"")</f>
        <v/>
      </c>
      <c r="N16" s="47" t="str">
        <f>IFERROR(VLOOKUP($A$1&amp;"-"&amp;ROW(AB15),基本資料填寫!$A:$DN,COLUMN(基本資料填寫!BY16),0),"")</f>
        <v/>
      </c>
      <c r="O16" s="47" t="str">
        <f>IFERROR(VLOOKUP($A$1&amp;"-"&amp;ROW(AC15),基本資料填寫!$A:$DN,COLUMN(基本資料填寫!BZ16),0),"")</f>
        <v/>
      </c>
      <c r="P16" s="47" t="str">
        <f>IFERROR(VLOOKUP($A$1&amp;"-"&amp;ROW(AD15),基本資料填寫!$A:$DN,COLUMN(基本資料填寫!CA16),0),"")</f>
        <v/>
      </c>
      <c r="Q16" s="47" t="str">
        <f>IFERROR(VLOOKUP($A$1&amp;"-"&amp;ROW(J15),基本資料填寫!$A:$DN,COLUMN(基本資料填寫!AO16),0),"")</f>
        <v/>
      </c>
      <c r="R16" s="47" t="str">
        <f>IFERROR(VLOOKUP($A$1&amp;"-"&amp;ROW(AE15),基本資料填寫!$A:$DN,COLUMN(基本資料填寫!CB16),0),"")</f>
        <v/>
      </c>
      <c r="S16" s="47" t="str">
        <f>IFERROR(VLOOKUP($A$1&amp;"-"&amp;ROW(AF15),基本資料填寫!$A:$DN,COLUMN(基本資料填寫!CC16),0),"")</f>
        <v/>
      </c>
      <c r="T16" s="47" t="str">
        <f>IFERROR(VLOOKUP($A$1&amp;"-"&amp;ROW(AG15),基本資料填寫!$A:$DN,COLUMN(基本資料填寫!CD16),0),"")</f>
        <v/>
      </c>
      <c r="U16" s="47" t="str">
        <f>IFERROR(VLOOKUP($A$1&amp;"-"&amp;ROW(AH15),基本資料填寫!$A:$DN,COLUMN(基本資料填寫!CE16),0),"")</f>
        <v/>
      </c>
      <c r="V16" s="47" t="str">
        <f>IFERROR(VLOOKUP($A$1&amp;"-"&amp;ROW(AI15),基本資料填寫!$A:$DN,COLUMN(基本資料填寫!CF16),0),"")</f>
        <v/>
      </c>
      <c r="W16" s="47" t="str">
        <f>IFERROR(VLOOKUP($A$1&amp;"-"&amp;ROW(AJ15),基本資料填寫!$A:$DN,COLUMN(基本資料填寫!CG16),0),"")</f>
        <v/>
      </c>
      <c r="X16" s="47" t="str">
        <f>IFERROR(VLOOKUP($A$1&amp;"-"&amp;ROW(AK15),基本資料填寫!$A:$DN,COLUMN(基本資料填寫!CH16),0),"")</f>
        <v/>
      </c>
      <c r="Y16" s="47" t="str">
        <f>IFERROR(VLOOKUP($A$1&amp;"-"&amp;ROW(AL15),基本資料填寫!$A:$DN,COLUMN(基本資料填寫!CI16),0),"")</f>
        <v/>
      </c>
      <c r="Z16" s="47" t="str">
        <f>IFERROR(VLOOKUP($A$1&amp;"-"&amp;ROW(H15),基本資料填寫!$A:$DN,COLUMN(基本資料填寫!O16),0),"")</f>
        <v/>
      </c>
      <c r="AA16" s="47" t="str">
        <f>IFERROR(VLOOKUP($A$1&amp;"-"&amp;ROW(AM15),基本資料填寫!$A:$DN,COLUMN(基本資料填寫!CJ16),0),"")</f>
        <v/>
      </c>
      <c r="AB16" s="47" t="str">
        <f>IFERROR(VLOOKUP($A$1&amp;"-"&amp;ROW(AN15),基本資料填寫!$A:$DN,COLUMN(基本資料填寫!CK16),0),"")</f>
        <v/>
      </c>
      <c r="AC16" s="47" t="str">
        <f>IFERROR(VLOOKUP($A$1&amp;"-"&amp;ROW(AP15),基本資料填寫!$A:$DN,COLUMN(基本資料填寫!CN16),0),"")</f>
        <v/>
      </c>
      <c r="AD16" s="47" t="str">
        <f>IFERROR(VLOOKUP($A$1&amp;"-"&amp;ROW(AQ15),基本資料填寫!$A:$DN,COLUMN(基本資料填寫!CO16),0),"")</f>
        <v/>
      </c>
      <c r="AE16" s="47" t="str">
        <f>IFERROR(VLOOKUP($A$1&amp;"-"&amp;ROW(AR15),基本資料填寫!$A:$DN,COLUMN(基本資料填寫!CP16),0),"")</f>
        <v/>
      </c>
      <c r="AF16" s="47" t="str">
        <f>IFERROR(VLOOKUP($A$1&amp;"-"&amp;ROW(AS15),基本資料填寫!$A:$DN,COLUMN(基本資料填寫!CQ16),0),"")</f>
        <v/>
      </c>
      <c r="AG16" s="47" t="str">
        <f>IFERROR(VLOOKUP($A$1&amp;"-"&amp;ROW(AT15),基本資料填寫!$A:$DN,COLUMN(基本資料填寫!CR16),0),"")</f>
        <v/>
      </c>
      <c r="AH16" s="47" t="str">
        <f>IFERROR(VLOOKUP($A$1&amp;"-"&amp;ROW(AU15),基本資料填寫!$A:$DN,COLUMN(基本資料填寫!CS16),0),"")</f>
        <v/>
      </c>
      <c r="AI16" s="47" t="str">
        <f>IFERROR(VLOOKUP($A$1&amp;"-"&amp;ROW(P15),基本資料填寫!$A:$DN,COLUMN(基本資料填寫!X16),0),"")</f>
        <v/>
      </c>
      <c r="AJ16" s="47" t="str">
        <f>IFERROR(VLOOKUP($A$1&amp;"-"&amp;ROW(AV15),基本資料填寫!$A:$DN,COLUMN(基本資料填寫!CT16),0),"")</f>
        <v/>
      </c>
      <c r="AK16" s="47" t="str">
        <f>IFERROR(VLOOKUP($A$1&amp;"-"&amp;ROW(AC15),基本資料填寫!$A:$DN,COLUMN(基本資料填寫!AQ16),0),"")</f>
        <v/>
      </c>
      <c r="AL16" s="47" t="str">
        <f>IFERROR(VLOOKUP($A$1&amp;"-"&amp;ROW(AO15),基本資料填寫!$A:$DN,COLUMN(基本資料填寫!CM16),0),"")</f>
        <v/>
      </c>
      <c r="AM16" s="47" t="str">
        <f>IFERROR(VLOOKUP($A$1&amp;"-"&amp;ROW(AD15),基本資料填寫!$A:$DN,COLUMN(基本資料填寫!AR16),0),"")</f>
        <v/>
      </c>
      <c r="AN16" s="47" t="str">
        <f>IFERROR(VLOOKUP($A$1&amp;"-"&amp;ROW(K15),基本資料填寫!$A:$DN,COLUMN(基本資料填寫!AP16),0),"")</f>
        <v/>
      </c>
      <c r="AO16" s="47" t="str">
        <f>IFERROR(VLOOKUP($A$1&amp;"-"&amp;ROW(J15),基本資料填寫!$A:$DN,COLUMN(基本資料填寫!AO16),0),"")</f>
        <v/>
      </c>
      <c r="AP16" s="47" t="str">
        <f>IFERROR(VLOOKUP($A$1&amp;"-"&amp;ROW(AE15),基本資料填寫!$A:$DN,COLUMN(基本資料填寫!AS16),0),"")</f>
        <v/>
      </c>
      <c r="AQ16" s="47" t="str">
        <f>IFERROR(VLOOKUP($A$1&amp;"-"&amp;ROW(AF15),基本資料填寫!$A:$DN,COLUMN(基本資料填寫!AT16),0),"")</f>
        <v/>
      </c>
      <c r="AR16" s="47" t="str">
        <f>IFERROR(VLOOKUP($A$1&amp;"-"&amp;ROW(AG15),基本資料填寫!$A:$DN,COLUMN(基本資料填寫!AU16),0),"")</f>
        <v/>
      </c>
      <c r="AS16" s="47" t="str">
        <f>IFERROR(VLOOKUP($A$1&amp;"-"&amp;ROW(AH15),基本資料填寫!$A:$DN,COLUMN(基本資料填寫!AV16),0),"")</f>
        <v/>
      </c>
      <c r="AT16" s="47" t="str">
        <f>IFERROR(VLOOKUP($A$1&amp;"-"&amp;ROW(AI15),基本資料填寫!$A:$DN,COLUMN(基本資料填寫!AW16),0),"")</f>
        <v/>
      </c>
      <c r="AU16" s="47" t="str">
        <f>IFERROR(VLOOKUP($A$1&amp;"-"&amp;ROW(AJ15),基本資料填寫!$A:$DN,COLUMN(基本資料填寫!AX16),0),"")</f>
        <v/>
      </c>
      <c r="AV16" s="47" t="str">
        <f>IFERROR(VLOOKUP($A$1&amp;"-"&amp;ROW(AK15),基本資料填寫!$A:$DN,COLUMN(基本資料填寫!AY16),0),"")</f>
        <v/>
      </c>
      <c r="AW16" s="47" t="str">
        <f>IFERROR(VLOOKUP($A$1&amp;"-"&amp;ROW(AL15),基本資料填寫!$A:$DN,COLUMN(基本資料填寫!AZ16),0),"")</f>
        <v/>
      </c>
      <c r="AX16" s="47" t="str">
        <f>IFERROR(VLOOKUP($A$1&amp;"-"&amp;ROW(AM15),基本資料填寫!$A:$DN,COLUMN(基本資料填寫!BA16),0),"")</f>
        <v/>
      </c>
      <c r="AY16" s="47" t="str">
        <f>IFERROR(VLOOKUP($A$1&amp;"-"&amp;ROW(AN15),基本資料填寫!$A:$DN,COLUMN(基本資料填寫!BB16),0),"")</f>
        <v/>
      </c>
      <c r="AZ16" s="47" t="str">
        <f>IFERROR(VLOOKUP($A$1&amp;"-"&amp;ROW(AO15),基本資料填寫!$A:$DN,COLUMN(基本資料填寫!BC16),0),"")</f>
        <v/>
      </c>
      <c r="BA16" s="47" t="str">
        <f>IFERROR(VLOOKUP($A$1&amp;"-"&amp;ROW(AP15),基本資料填寫!$A:$DN,COLUMN(基本資料填寫!BD16),0),"")</f>
        <v/>
      </c>
      <c r="BB16" s="47" t="str">
        <f>IFERROR(VLOOKUP($A$1&amp;"-"&amp;ROW(AQ15),基本資料填寫!$A:$DN,COLUMN(基本資料填寫!BE16),0),"")</f>
        <v/>
      </c>
      <c r="BC16" s="47" t="str">
        <f>IFERROR(VLOOKUP($A$1&amp;"-"&amp;ROW(AR15),基本資料填寫!$A:$DN,COLUMN(基本資料填寫!BF16),0),"")</f>
        <v/>
      </c>
      <c r="BD16" s="47" t="str">
        <f>IFERROR(VLOOKUP($A$1&amp;"-"&amp;ROW(AS15),基本資料填寫!$A:$DN,COLUMN(基本資料填寫!BG16),0),"")</f>
        <v/>
      </c>
      <c r="BE16" s="47" t="str">
        <f>IFERROR(VLOOKUP($A$1&amp;"-"&amp;ROW(AT15),基本資料填寫!$A:$DN,COLUMN(基本資料填寫!BH16),0),"")</f>
        <v/>
      </c>
      <c r="BF16" s="47" t="str">
        <f>IFERROR(VLOOKUP($A$1&amp;"-"&amp;ROW(AU15),基本資料填寫!$A:$DN,COLUMN(基本資料填寫!BI16),0),"")</f>
        <v/>
      </c>
      <c r="BG16" s="47" t="str">
        <f>IFERROR(VLOOKUP($A$1&amp;"-"&amp;ROW(AV15),基本資料填寫!$A:$DN,COLUMN(基本資料填寫!BJ16),0),"")</f>
        <v/>
      </c>
      <c r="BH16" s="47" t="str">
        <f>IFERROR(VLOOKUP($A$1&amp;"-"&amp;ROW(AW15),基本資料填寫!$A:$DN,COLUMN(基本資料填寫!BK16),0),"")</f>
        <v/>
      </c>
      <c r="BI16" s="47" t="str">
        <f>IFERROR(VLOOKUP($A$1&amp;"-"&amp;ROW(AX15),基本資料填寫!$A:$DN,COLUMN(基本資料填寫!BL16),0),"")</f>
        <v/>
      </c>
      <c r="BJ16" s="47" t="str">
        <f>IFERROR(VLOOKUP($A$1&amp;"-"&amp;ROW(AY15),基本資料填寫!$A:$DN,COLUMN(基本資料填寫!BM16),0),"")</f>
        <v/>
      </c>
      <c r="BK16" s="47" t="str">
        <f>IFERROR(VLOOKUP($A$1&amp;"-"&amp;ROW(AZ15),基本資料填寫!$A:$DN,COLUMN(基本資料填寫!BN16),0),"")</f>
        <v/>
      </c>
      <c r="BL16" s="47" t="str">
        <f>IFERROR(VLOOKUP($A$1&amp;"-"&amp;ROW(BA15),基本資料填寫!$A:$DN,COLUMN(基本資料填寫!BO16),0),"")</f>
        <v/>
      </c>
      <c r="BM16" s="47" t="str">
        <f>IFERROR(VLOOKUP($A$1&amp;"-"&amp;ROW(BB15),基本資料填寫!$A:$DN,COLUMN(基本資料填寫!BP16),0),"")</f>
        <v/>
      </c>
      <c r="BN16" s="47" t="str">
        <f>IFERROR(VLOOKUP($A$1&amp;"-"&amp;ROW(BC15),基本資料填寫!$A:$DN,COLUMN(基本資料填寫!BQ16),0),"")</f>
        <v/>
      </c>
      <c r="BO16" s="47" t="str">
        <f>IFERROR(VLOOKUP($A$1&amp;"-"&amp;ROW(BD15),基本資料填寫!$A:$DN,COLUMN(基本資料填寫!BR16),0),"")</f>
        <v/>
      </c>
    </row>
    <row r="17" spans="2:67" x14ac:dyDescent="0.3">
      <c r="B17" s="47" t="str">
        <f>IFERROR(VLOOKUP($A$1&amp;"-"&amp;ROW(A16),基本資料填寫!$A:$DN,COLUMN(基本資料填寫!K17),0),"")</f>
        <v/>
      </c>
      <c r="C17" s="47" t="str">
        <f>IFERROR(VLOOKUP($A$1&amp;"-"&amp;ROW(B16),基本資料填寫!$A:$DN,COLUMN(基本資料填寫!L17),0),"")</f>
        <v/>
      </c>
      <c r="D17" s="47" t="str">
        <f>IF(E17="","",COUNTA($E$2:E17))</f>
        <v/>
      </c>
      <c r="E17" s="47" t="str">
        <f>IFERROR(VLOOKUP($A$1&amp;"-"&amp;ROW(E16),基本資料填寫!$A:$DN,COLUMN(基本資料填寫!S17),0),"")</f>
        <v/>
      </c>
      <c r="G17" s="47" t="str">
        <f>IFERROR(VLOOKUP($A$1&amp;"-"&amp;ROW(G16),基本資料填寫!$A:$DN,COLUMN(基本資料填寫!V17),0),"")</f>
        <v/>
      </c>
      <c r="H17" s="47" t="str">
        <f>IFERROR(VLOOKUP($A$1&amp;"-"&amp;ROW(BI16),基本資料填寫!$A:$DN,COLUMN(基本資料填寫!BW17),0),"")</f>
        <v/>
      </c>
      <c r="I17" s="47" t="str">
        <f>IFERROR(VLOOKUP($A$1&amp;"-"&amp;ROW(I16),基本資料填寫!$A:$DN,COLUMN(基本資料填寫!AN17),0),"")</f>
        <v/>
      </c>
      <c r="J17" s="47" t="str">
        <f>IFERROR(VLOOKUP($A$1&amp;"-"&amp;ROW(K16),基本資料填寫!$A:$DN,COLUMN(基本資料填寫!R17),0),"")</f>
        <v/>
      </c>
      <c r="K17" s="47" t="str">
        <f>IFERROR(VLOOKUP($A$1&amp;"-"&amp;ROW(AA16),基本資料填寫!$A:$DN,COLUMN(基本資料填寫!BX17),0),"")</f>
        <v/>
      </c>
      <c r="L17" s="47" t="str">
        <f>IFERROR(VLOOKUP($A$1&amp;"-"&amp;ROW(S16),基本資料填寫!$A:$DN,COLUMN(基本資料填寫!Z17),0),"")</f>
        <v/>
      </c>
      <c r="M17" s="47" t="str">
        <f>IFERROR(VLOOKUP($A$1&amp;"-"&amp;ROW(T16),基本資料填寫!$A:$DN,COLUMN(基本資料填寫!AA17),0),"")</f>
        <v/>
      </c>
      <c r="N17" s="47" t="str">
        <f>IFERROR(VLOOKUP($A$1&amp;"-"&amp;ROW(AB16),基本資料填寫!$A:$DN,COLUMN(基本資料填寫!BY17),0),"")</f>
        <v/>
      </c>
      <c r="O17" s="47" t="str">
        <f>IFERROR(VLOOKUP($A$1&amp;"-"&amp;ROW(AC16),基本資料填寫!$A:$DN,COLUMN(基本資料填寫!BZ17),0),"")</f>
        <v/>
      </c>
      <c r="P17" s="47" t="str">
        <f>IFERROR(VLOOKUP($A$1&amp;"-"&amp;ROW(AD16),基本資料填寫!$A:$DN,COLUMN(基本資料填寫!CA17),0),"")</f>
        <v/>
      </c>
      <c r="Q17" s="47" t="str">
        <f>IFERROR(VLOOKUP($A$1&amp;"-"&amp;ROW(J16),基本資料填寫!$A:$DN,COLUMN(基本資料填寫!AO17),0),"")</f>
        <v/>
      </c>
      <c r="R17" s="47" t="str">
        <f>IFERROR(VLOOKUP($A$1&amp;"-"&amp;ROW(AE16),基本資料填寫!$A:$DN,COLUMN(基本資料填寫!CB17),0),"")</f>
        <v/>
      </c>
      <c r="S17" s="47" t="str">
        <f>IFERROR(VLOOKUP($A$1&amp;"-"&amp;ROW(AF16),基本資料填寫!$A:$DN,COLUMN(基本資料填寫!CC17),0),"")</f>
        <v/>
      </c>
      <c r="T17" s="47" t="str">
        <f>IFERROR(VLOOKUP($A$1&amp;"-"&amp;ROW(AG16),基本資料填寫!$A:$DN,COLUMN(基本資料填寫!CD17),0),"")</f>
        <v/>
      </c>
      <c r="U17" s="47" t="str">
        <f>IFERROR(VLOOKUP($A$1&amp;"-"&amp;ROW(AH16),基本資料填寫!$A:$DN,COLUMN(基本資料填寫!CE17),0),"")</f>
        <v/>
      </c>
      <c r="V17" s="47" t="str">
        <f>IFERROR(VLOOKUP($A$1&amp;"-"&amp;ROW(AI16),基本資料填寫!$A:$DN,COLUMN(基本資料填寫!CF17),0),"")</f>
        <v/>
      </c>
      <c r="W17" s="47" t="str">
        <f>IFERROR(VLOOKUP($A$1&amp;"-"&amp;ROW(AJ16),基本資料填寫!$A:$DN,COLUMN(基本資料填寫!CG17),0),"")</f>
        <v/>
      </c>
      <c r="X17" s="47" t="str">
        <f>IFERROR(VLOOKUP($A$1&amp;"-"&amp;ROW(AK16),基本資料填寫!$A:$DN,COLUMN(基本資料填寫!CH17),0),"")</f>
        <v/>
      </c>
      <c r="Y17" s="47" t="str">
        <f>IFERROR(VLOOKUP($A$1&amp;"-"&amp;ROW(AL16),基本資料填寫!$A:$DN,COLUMN(基本資料填寫!CI17),0),"")</f>
        <v/>
      </c>
      <c r="Z17" s="47" t="str">
        <f>IFERROR(VLOOKUP($A$1&amp;"-"&amp;ROW(H16),基本資料填寫!$A:$DN,COLUMN(基本資料填寫!O17),0),"")</f>
        <v/>
      </c>
      <c r="AA17" s="47" t="str">
        <f>IFERROR(VLOOKUP($A$1&amp;"-"&amp;ROW(AM16),基本資料填寫!$A:$DN,COLUMN(基本資料填寫!CJ17),0),"")</f>
        <v/>
      </c>
      <c r="AB17" s="47" t="str">
        <f>IFERROR(VLOOKUP($A$1&amp;"-"&amp;ROW(AN16),基本資料填寫!$A:$DN,COLUMN(基本資料填寫!CK17),0),"")</f>
        <v/>
      </c>
      <c r="AC17" s="47" t="str">
        <f>IFERROR(VLOOKUP($A$1&amp;"-"&amp;ROW(AP16),基本資料填寫!$A:$DN,COLUMN(基本資料填寫!CN17),0),"")</f>
        <v/>
      </c>
      <c r="AD17" s="47" t="str">
        <f>IFERROR(VLOOKUP($A$1&amp;"-"&amp;ROW(AQ16),基本資料填寫!$A:$DN,COLUMN(基本資料填寫!CO17),0),"")</f>
        <v/>
      </c>
      <c r="AE17" s="47" t="str">
        <f>IFERROR(VLOOKUP($A$1&amp;"-"&amp;ROW(AR16),基本資料填寫!$A:$DN,COLUMN(基本資料填寫!CP17),0),"")</f>
        <v/>
      </c>
      <c r="AF17" s="47" t="str">
        <f>IFERROR(VLOOKUP($A$1&amp;"-"&amp;ROW(AS16),基本資料填寫!$A:$DN,COLUMN(基本資料填寫!CQ17),0),"")</f>
        <v/>
      </c>
      <c r="AG17" s="47" t="str">
        <f>IFERROR(VLOOKUP($A$1&amp;"-"&amp;ROW(AT16),基本資料填寫!$A:$DN,COLUMN(基本資料填寫!CR17),0),"")</f>
        <v/>
      </c>
      <c r="AH17" s="47" t="str">
        <f>IFERROR(VLOOKUP($A$1&amp;"-"&amp;ROW(AU16),基本資料填寫!$A:$DN,COLUMN(基本資料填寫!CS17),0),"")</f>
        <v/>
      </c>
      <c r="AI17" s="47" t="str">
        <f>IFERROR(VLOOKUP($A$1&amp;"-"&amp;ROW(P16),基本資料填寫!$A:$DN,COLUMN(基本資料填寫!X17),0),"")</f>
        <v/>
      </c>
      <c r="AJ17" s="47" t="str">
        <f>IFERROR(VLOOKUP($A$1&amp;"-"&amp;ROW(AV16),基本資料填寫!$A:$DN,COLUMN(基本資料填寫!CT17),0),"")</f>
        <v/>
      </c>
      <c r="AK17" s="47" t="str">
        <f>IFERROR(VLOOKUP($A$1&amp;"-"&amp;ROW(AC16),基本資料填寫!$A:$DN,COLUMN(基本資料填寫!AQ17),0),"")</f>
        <v/>
      </c>
      <c r="AL17" s="47" t="str">
        <f>IFERROR(VLOOKUP($A$1&amp;"-"&amp;ROW(AO16),基本資料填寫!$A:$DN,COLUMN(基本資料填寫!CM17),0),"")</f>
        <v/>
      </c>
      <c r="AM17" s="47" t="str">
        <f>IFERROR(VLOOKUP($A$1&amp;"-"&amp;ROW(AD16),基本資料填寫!$A:$DN,COLUMN(基本資料填寫!AR17),0),"")</f>
        <v/>
      </c>
      <c r="AN17" s="47" t="str">
        <f>IFERROR(VLOOKUP($A$1&amp;"-"&amp;ROW(K16),基本資料填寫!$A:$DN,COLUMN(基本資料填寫!AP17),0),"")</f>
        <v/>
      </c>
      <c r="AO17" s="47" t="str">
        <f>IFERROR(VLOOKUP($A$1&amp;"-"&amp;ROW(J16),基本資料填寫!$A:$DN,COLUMN(基本資料填寫!AO17),0),"")</f>
        <v/>
      </c>
      <c r="AP17" s="47" t="str">
        <f>IFERROR(VLOOKUP($A$1&amp;"-"&amp;ROW(AE16),基本資料填寫!$A:$DN,COLUMN(基本資料填寫!AS17),0),"")</f>
        <v/>
      </c>
      <c r="AQ17" s="47" t="str">
        <f>IFERROR(VLOOKUP($A$1&amp;"-"&amp;ROW(AF16),基本資料填寫!$A:$DN,COLUMN(基本資料填寫!AT17),0),"")</f>
        <v/>
      </c>
      <c r="AR17" s="47" t="str">
        <f>IFERROR(VLOOKUP($A$1&amp;"-"&amp;ROW(AG16),基本資料填寫!$A:$DN,COLUMN(基本資料填寫!AU17),0),"")</f>
        <v/>
      </c>
      <c r="AS17" s="47" t="str">
        <f>IFERROR(VLOOKUP($A$1&amp;"-"&amp;ROW(AH16),基本資料填寫!$A:$DN,COLUMN(基本資料填寫!AV17),0),"")</f>
        <v/>
      </c>
      <c r="AT17" s="47" t="str">
        <f>IFERROR(VLOOKUP($A$1&amp;"-"&amp;ROW(AI16),基本資料填寫!$A:$DN,COLUMN(基本資料填寫!AW17),0),"")</f>
        <v/>
      </c>
      <c r="AU17" s="47" t="str">
        <f>IFERROR(VLOOKUP($A$1&amp;"-"&amp;ROW(AJ16),基本資料填寫!$A:$DN,COLUMN(基本資料填寫!AX17),0),"")</f>
        <v/>
      </c>
      <c r="AV17" s="47" t="str">
        <f>IFERROR(VLOOKUP($A$1&amp;"-"&amp;ROW(AK16),基本資料填寫!$A:$DN,COLUMN(基本資料填寫!AY17),0),"")</f>
        <v/>
      </c>
      <c r="AW17" s="47" t="str">
        <f>IFERROR(VLOOKUP($A$1&amp;"-"&amp;ROW(AL16),基本資料填寫!$A:$DN,COLUMN(基本資料填寫!AZ17),0),"")</f>
        <v/>
      </c>
      <c r="AX17" s="47" t="str">
        <f>IFERROR(VLOOKUP($A$1&amp;"-"&amp;ROW(AM16),基本資料填寫!$A:$DN,COLUMN(基本資料填寫!BA17),0),"")</f>
        <v/>
      </c>
      <c r="AY17" s="47" t="str">
        <f>IFERROR(VLOOKUP($A$1&amp;"-"&amp;ROW(AN16),基本資料填寫!$A:$DN,COLUMN(基本資料填寫!BB17),0),"")</f>
        <v/>
      </c>
      <c r="AZ17" s="47" t="str">
        <f>IFERROR(VLOOKUP($A$1&amp;"-"&amp;ROW(AO16),基本資料填寫!$A:$DN,COLUMN(基本資料填寫!BC17),0),"")</f>
        <v/>
      </c>
      <c r="BA17" s="47" t="str">
        <f>IFERROR(VLOOKUP($A$1&amp;"-"&amp;ROW(AP16),基本資料填寫!$A:$DN,COLUMN(基本資料填寫!BD17),0),"")</f>
        <v/>
      </c>
      <c r="BB17" s="47" t="str">
        <f>IFERROR(VLOOKUP($A$1&amp;"-"&amp;ROW(AQ16),基本資料填寫!$A:$DN,COLUMN(基本資料填寫!BE17),0),"")</f>
        <v/>
      </c>
      <c r="BC17" s="47" t="str">
        <f>IFERROR(VLOOKUP($A$1&amp;"-"&amp;ROW(AR16),基本資料填寫!$A:$DN,COLUMN(基本資料填寫!BF17),0),"")</f>
        <v/>
      </c>
      <c r="BD17" s="47" t="str">
        <f>IFERROR(VLOOKUP($A$1&amp;"-"&amp;ROW(AS16),基本資料填寫!$A:$DN,COLUMN(基本資料填寫!BG17),0),"")</f>
        <v/>
      </c>
      <c r="BE17" s="47" t="str">
        <f>IFERROR(VLOOKUP($A$1&amp;"-"&amp;ROW(AT16),基本資料填寫!$A:$DN,COLUMN(基本資料填寫!BH17),0),"")</f>
        <v/>
      </c>
      <c r="BF17" s="47" t="str">
        <f>IFERROR(VLOOKUP($A$1&amp;"-"&amp;ROW(AU16),基本資料填寫!$A:$DN,COLUMN(基本資料填寫!BI17),0),"")</f>
        <v/>
      </c>
      <c r="BG17" s="47" t="str">
        <f>IFERROR(VLOOKUP($A$1&amp;"-"&amp;ROW(AV16),基本資料填寫!$A:$DN,COLUMN(基本資料填寫!BJ17),0),"")</f>
        <v/>
      </c>
      <c r="BH17" s="47" t="str">
        <f>IFERROR(VLOOKUP($A$1&amp;"-"&amp;ROW(AW16),基本資料填寫!$A:$DN,COLUMN(基本資料填寫!BK17),0),"")</f>
        <v/>
      </c>
      <c r="BI17" s="47" t="str">
        <f>IFERROR(VLOOKUP($A$1&amp;"-"&amp;ROW(AX16),基本資料填寫!$A:$DN,COLUMN(基本資料填寫!BL17),0),"")</f>
        <v/>
      </c>
      <c r="BJ17" s="47" t="str">
        <f>IFERROR(VLOOKUP($A$1&amp;"-"&amp;ROW(AY16),基本資料填寫!$A:$DN,COLUMN(基本資料填寫!BM17),0),"")</f>
        <v/>
      </c>
      <c r="BK17" s="47" t="str">
        <f>IFERROR(VLOOKUP($A$1&amp;"-"&amp;ROW(AZ16),基本資料填寫!$A:$DN,COLUMN(基本資料填寫!BN17),0),"")</f>
        <v/>
      </c>
      <c r="BL17" s="47" t="str">
        <f>IFERROR(VLOOKUP($A$1&amp;"-"&amp;ROW(BA16),基本資料填寫!$A:$DN,COLUMN(基本資料填寫!BO17),0),"")</f>
        <v/>
      </c>
      <c r="BM17" s="47" t="str">
        <f>IFERROR(VLOOKUP($A$1&amp;"-"&amp;ROW(BB16),基本資料填寫!$A:$DN,COLUMN(基本資料填寫!BP17),0),"")</f>
        <v/>
      </c>
      <c r="BN17" s="47" t="str">
        <f>IFERROR(VLOOKUP($A$1&amp;"-"&amp;ROW(BC16),基本資料填寫!$A:$DN,COLUMN(基本資料填寫!BQ17),0),"")</f>
        <v/>
      </c>
      <c r="BO17" s="47" t="str">
        <f>IFERROR(VLOOKUP($A$1&amp;"-"&amp;ROW(BD16),基本資料填寫!$A:$DN,COLUMN(基本資料填寫!BR17),0),"")</f>
        <v/>
      </c>
    </row>
    <row r="18" spans="2:67" x14ac:dyDescent="0.3">
      <c r="B18" s="47" t="str">
        <f>IFERROR(VLOOKUP($A$1&amp;"-"&amp;ROW(A17),基本資料填寫!$A:$DN,COLUMN(基本資料填寫!K18),0),"")</f>
        <v/>
      </c>
      <c r="C18" s="47" t="str">
        <f>IFERROR(VLOOKUP($A$1&amp;"-"&amp;ROW(B17),基本資料填寫!$A:$DN,COLUMN(基本資料填寫!L18),0),"")</f>
        <v/>
      </c>
      <c r="D18" s="47" t="str">
        <f>IF(E18="","",COUNTA($E$2:E18))</f>
        <v/>
      </c>
      <c r="E18" s="47" t="str">
        <f>IFERROR(VLOOKUP($A$1&amp;"-"&amp;ROW(E17),基本資料填寫!$A:$DN,COLUMN(基本資料填寫!S18),0),"")</f>
        <v/>
      </c>
      <c r="G18" s="47" t="str">
        <f>IFERROR(VLOOKUP($A$1&amp;"-"&amp;ROW(G17),基本資料填寫!$A:$DN,COLUMN(基本資料填寫!V18),0),"")</f>
        <v/>
      </c>
      <c r="H18" s="47" t="str">
        <f>IFERROR(VLOOKUP($A$1&amp;"-"&amp;ROW(BI17),基本資料填寫!$A:$DN,COLUMN(基本資料填寫!BW18),0),"")</f>
        <v/>
      </c>
      <c r="I18" s="47" t="str">
        <f>IFERROR(VLOOKUP($A$1&amp;"-"&amp;ROW(I17),基本資料填寫!$A:$DN,COLUMN(基本資料填寫!AN18),0),"")</f>
        <v/>
      </c>
      <c r="J18" s="47" t="str">
        <f>IFERROR(VLOOKUP($A$1&amp;"-"&amp;ROW(K17),基本資料填寫!$A:$DN,COLUMN(基本資料填寫!R18),0),"")</f>
        <v/>
      </c>
      <c r="K18" s="47" t="str">
        <f>IFERROR(VLOOKUP($A$1&amp;"-"&amp;ROW(AA17),基本資料填寫!$A:$DN,COLUMN(基本資料填寫!BX18),0),"")</f>
        <v/>
      </c>
      <c r="L18" s="47" t="str">
        <f>IFERROR(VLOOKUP($A$1&amp;"-"&amp;ROW(S17),基本資料填寫!$A:$DN,COLUMN(基本資料填寫!Z18),0),"")</f>
        <v/>
      </c>
      <c r="M18" s="47" t="str">
        <f>IFERROR(VLOOKUP($A$1&amp;"-"&amp;ROW(T17),基本資料填寫!$A:$DN,COLUMN(基本資料填寫!AA18),0),"")</f>
        <v/>
      </c>
      <c r="N18" s="47" t="str">
        <f>IFERROR(VLOOKUP($A$1&amp;"-"&amp;ROW(AB17),基本資料填寫!$A:$DN,COLUMN(基本資料填寫!BY18),0),"")</f>
        <v/>
      </c>
      <c r="O18" s="47" t="str">
        <f>IFERROR(VLOOKUP($A$1&amp;"-"&amp;ROW(AC17),基本資料填寫!$A:$DN,COLUMN(基本資料填寫!BZ18),0),"")</f>
        <v/>
      </c>
      <c r="P18" s="47" t="str">
        <f>IFERROR(VLOOKUP($A$1&amp;"-"&amp;ROW(AD17),基本資料填寫!$A:$DN,COLUMN(基本資料填寫!CA18),0),"")</f>
        <v/>
      </c>
      <c r="Q18" s="47" t="str">
        <f>IFERROR(VLOOKUP($A$1&amp;"-"&amp;ROW(J17),基本資料填寫!$A:$DN,COLUMN(基本資料填寫!AO18),0),"")</f>
        <v/>
      </c>
      <c r="R18" s="47" t="str">
        <f>IFERROR(VLOOKUP($A$1&amp;"-"&amp;ROW(AE17),基本資料填寫!$A:$DN,COLUMN(基本資料填寫!CB18),0),"")</f>
        <v/>
      </c>
      <c r="S18" s="47" t="str">
        <f>IFERROR(VLOOKUP($A$1&amp;"-"&amp;ROW(AF17),基本資料填寫!$A:$DN,COLUMN(基本資料填寫!CC18),0),"")</f>
        <v/>
      </c>
      <c r="T18" s="47" t="str">
        <f>IFERROR(VLOOKUP($A$1&amp;"-"&amp;ROW(AG17),基本資料填寫!$A:$DN,COLUMN(基本資料填寫!CD18),0),"")</f>
        <v/>
      </c>
      <c r="U18" s="47" t="str">
        <f>IFERROR(VLOOKUP($A$1&amp;"-"&amp;ROW(AH17),基本資料填寫!$A:$DN,COLUMN(基本資料填寫!CE18),0),"")</f>
        <v/>
      </c>
      <c r="V18" s="47" t="str">
        <f>IFERROR(VLOOKUP($A$1&amp;"-"&amp;ROW(AI17),基本資料填寫!$A:$DN,COLUMN(基本資料填寫!CF18),0),"")</f>
        <v/>
      </c>
      <c r="W18" s="47" t="str">
        <f>IFERROR(VLOOKUP($A$1&amp;"-"&amp;ROW(AJ17),基本資料填寫!$A:$DN,COLUMN(基本資料填寫!CG18),0),"")</f>
        <v/>
      </c>
      <c r="X18" s="47" t="str">
        <f>IFERROR(VLOOKUP($A$1&amp;"-"&amp;ROW(AK17),基本資料填寫!$A:$DN,COLUMN(基本資料填寫!CH18),0),"")</f>
        <v/>
      </c>
      <c r="Y18" s="47" t="str">
        <f>IFERROR(VLOOKUP($A$1&amp;"-"&amp;ROW(AL17),基本資料填寫!$A:$DN,COLUMN(基本資料填寫!CI18),0),"")</f>
        <v/>
      </c>
      <c r="Z18" s="47" t="str">
        <f>IFERROR(VLOOKUP($A$1&amp;"-"&amp;ROW(H17),基本資料填寫!$A:$DN,COLUMN(基本資料填寫!O18),0),"")</f>
        <v/>
      </c>
      <c r="AA18" s="47" t="str">
        <f>IFERROR(VLOOKUP($A$1&amp;"-"&amp;ROW(AM17),基本資料填寫!$A:$DN,COLUMN(基本資料填寫!CJ18),0),"")</f>
        <v/>
      </c>
      <c r="AB18" s="47" t="str">
        <f>IFERROR(VLOOKUP($A$1&amp;"-"&amp;ROW(AN17),基本資料填寫!$A:$DN,COLUMN(基本資料填寫!CK18),0),"")</f>
        <v/>
      </c>
      <c r="AC18" s="47" t="str">
        <f>IFERROR(VLOOKUP($A$1&amp;"-"&amp;ROW(AP17),基本資料填寫!$A:$DN,COLUMN(基本資料填寫!CN18),0),"")</f>
        <v/>
      </c>
      <c r="AD18" s="47" t="str">
        <f>IFERROR(VLOOKUP($A$1&amp;"-"&amp;ROW(AQ17),基本資料填寫!$A:$DN,COLUMN(基本資料填寫!CO18),0),"")</f>
        <v/>
      </c>
      <c r="AE18" s="47" t="str">
        <f>IFERROR(VLOOKUP($A$1&amp;"-"&amp;ROW(AR17),基本資料填寫!$A:$DN,COLUMN(基本資料填寫!CP18),0),"")</f>
        <v/>
      </c>
      <c r="AF18" s="47" t="str">
        <f>IFERROR(VLOOKUP($A$1&amp;"-"&amp;ROW(AS17),基本資料填寫!$A:$DN,COLUMN(基本資料填寫!CQ18),0),"")</f>
        <v/>
      </c>
      <c r="AG18" s="47" t="str">
        <f>IFERROR(VLOOKUP($A$1&amp;"-"&amp;ROW(AT17),基本資料填寫!$A:$DN,COLUMN(基本資料填寫!CR18),0),"")</f>
        <v/>
      </c>
      <c r="AH18" s="47" t="str">
        <f>IFERROR(VLOOKUP($A$1&amp;"-"&amp;ROW(AU17),基本資料填寫!$A:$DN,COLUMN(基本資料填寫!CS18),0),"")</f>
        <v/>
      </c>
      <c r="AI18" s="47" t="str">
        <f>IFERROR(VLOOKUP($A$1&amp;"-"&amp;ROW(P17),基本資料填寫!$A:$DN,COLUMN(基本資料填寫!X18),0),"")</f>
        <v/>
      </c>
      <c r="AJ18" s="47" t="str">
        <f>IFERROR(VLOOKUP($A$1&amp;"-"&amp;ROW(AV17),基本資料填寫!$A:$DN,COLUMN(基本資料填寫!CT18),0),"")</f>
        <v/>
      </c>
      <c r="AK18" s="47" t="str">
        <f>IFERROR(VLOOKUP($A$1&amp;"-"&amp;ROW(AC17),基本資料填寫!$A:$DN,COLUMN(基本資料填寫!AQ18),0),"")</f>
        <v/>
      </c>
      <c r="AL18" s="47" t="str">
        <f>IFERROR(VLOOKUP($A$1&amp;"-"&amp;ROW(AO17),基本資料填寫!$A:$DN,COLUMN(基本資料填寫!CM18),0),"")</f>
        <v/>
      </c>
      <c r="AM18" s="47" t="str">
        <f>IFERROR(VLOOKUP($A$1&amp;"-"&amp;ROW(AD17),基本資料填寫!$A:$DN,COLUMN(基本資料填寫!AR18),0),"")</f>
        <v/>
      </c>
      <c r="AN18" s="47" t="str">
        <f>IFERROR(VLOOKUP($A$1&amp;"-"&amp;ROW(K17),基本資料填寫!$A:$DN,COLUMN(基本資料填寫!AP18),0),"")</f>
        <v/>
      </c>
      <c r="AO18" s="47" t="str">
        <f>IFERROR(VLOOKUP($A$1&amp;"-"&amp;ROW(J17),基本資料填寫!$A:$DN,COLUMN(基本資料填寫!AO18),0),"")</f>
        <v/>
      </c>
      <c r="AP18" s="47" t="str">
        <f>IFERROR(VLOOKUP($A$1&amp;"-"&amp;ROW(AE17),基本資料填寫!$A:$DN,COLUMN(基本資料填寫!AS18),0),"")</f>
        <v/>
      </c>
      <c r="AQ18" s="47" t="str">
        <f>IFERROR(VLOOKUP($A$1&amp;"-"&amp;ROW(AF17),基本資料填寫!$A:$DN,COLUMN(基本資料填寫!AT18),0),"")</f>
        <v/>
      </c>
      <c r="AR18" s="47" t="str">
        <f>IFERROR(VLOOKUP($A$1&amp;"-"&amp;ROW(AG17),基本資料填寫!$A:$DN,COLUMN(基本資料填寫!AU18),0),"")</f>
        <v/>
      </c>
      <c r="AS18" s="47" t="str">
        <f>IFERROR(VLOOKUP($A$1&amp;"-"&amp;ROW(AH17),基本資料填寫!$A:$DN,COLUMN(基本資料填寫!AV18),0),"")</f>
        <v/>
      </c>
      <c r="AT18" s="47" t="str">
        <f>IFERROR(VLOOKUP($A$1&amp;"-"&amp;ROW(AI17),基本資料填寫!$A:$DN,COLUMN(基本資料填寫!AW18),0),"")</f>
        <v/>
      </c>
      <c r="AU18" s="47" t="str">
        <f>IFERROR(VLOOKUP($A$1&amp;"-"&amp;ROW(AJ17),基本資料填寫!$A:$DN,COLUMN(基本資料填寫!AX18),0),"")</f>
        <v/>
      </c>
      <c r="AV18" s="47" t="str">
        <f>IFERROR(VLOOKUP($A$1&amp;"-"&amp;ROW(AK17),基本資料填寫!$A:$DN,COLUMN(基本資料填寫!AY18),0),"")</f>
        <v/>
      </c>
      <c r="AW18" s="47" t="str">
        <f>IFERROR(VLOOKUP($A$1&amp;"-"&amp;ROW(AL17),基本資料填寫!$A:$DN,COLUMN(基本資料填寫!AZ18),0),"")</f>
        <v/>
      </c>
      <c r="AX18" s="47" t="str">
        <f>IFERROR(VLOOKUP($A$1&amp;"-"&amp;ROW(AM17),基本資料填寫!$A:$DN,COLUMN(基本資料填寫!BA18),0),"")</f>
        <v/>
      </c>
      <c r="AY18" s="47" t="str">
        <f>IFERROR(VLOOKUP($A$1&amp;"-"&amp;ROW(AN17),基本資料填寫!$A:$DN,COLUMN(基本資料填寫!BB18),0),"")</f>
        <v/>
      </c>
      <c r="AZ18" s="47" t="str">
        <f>IFERROR(VLOOKUP($A$1&amp;"-"&amp;ROW(AO17),基本資料填寫!$A:$DN,COLUMN(基本資料填寫!BC18),0),"")</f>
        <v/>
      </c>
      <c r="BA18" s="47" t="str">
        <f>IFERROR(VLOOKUP($A$1&amp;"-"&amp;ROW(AP17),基本資料填寫!$A:$DN,COLUMN(基本資料填寫!BD18),0),"")</f>
        <v/>
      </c>
      <c r="BB18" s="47" t="str">
        <f>IFERROR(VLOOKUP($A$1&amp;"-"&amp;ROW(AQ17),基本資料填寫!$A:$DN,COLUMN(基本資料填寫!BE18),0),"")</f>
        <v/>
      </c>
      <c r="BC18" s="47" t="str">
        <f>IFERROR(VLOOKUP($A$1&amp;"-"&amp;ROW(AR17),基本資料填寫!$A:$DN,COLUMN(基本資料填寫!BF18),0),"")</f>
        <v/>
      </c>
      <c r="BD18" s="47" t="str">
        <f>IFERROR(VLOOKUP($A$1&amp;"-"&amp;ROW(AS17),基本資料填寫!$A:$DN,COLUMN(基本資料填寫!BG18),0),"")</f>
        <v/>
      </c>
      <c r="BE18" s="47" t="str">
        <f>IFERROR(VLOOKUP($A$1&amp;"-"&amp;ROW(AT17),基本資料填寫!$A:$DN,COLUMN(基本資料填寫!BH18),0),"")</f>
        <v/>
      </c>
      <c r="BF18" s="47" t="str">
        <f>IFERROR(VLOOKUP($A$1&amp;"-"&amp;ROW(AU17),基本資料填寫!$A:$DN,COLUMN(基本資料填寫!BI18),0),"")</f>
        <v/>
      </c>
      <c r="BG18" s="47" t="str">
        <f>IFERROR(VLOOKUP($A$1&amp;"-"&amp;ROW(AV17),基本資料填寫!$A:$DN,COLUMN(基本資料填寫!BJ18),0),"")</f>
        <v/>
      </c>
      <c r="BH18" s="47" t="str">
        <f>IFERROR(VLOOKUP($A$1&amp;"-"&amp;ROW(AW17),基本資料填寫!$A:$DN,COLUMN(基本資料填寫!BK18),0),"")</f>
        <v/>
      </c>
      <c r="BI18" s="47" t="str">
        <f>IFERROR(VLOOKUP($A$1&amp;"-"&amp;ROW(AX17),基本資料填寫!$A:$DN,COLUMN(基本資料填寫!BL18),0),"")</f>
        <v/>
      </c>
      <c r="BJ18" s="47" t="str">
        <f>IFERROR(VLOOKUP($A$1&amp;"-"&amp;ROW(AY17),基本資料填寫!$A:$DN,COLUMN(基本資料填寫!BM18),0),"")</f>
        <v/>
      </c>
      <c r="BK18" s="47" t="str">
        <f>IFERROR(VLOOKUP($A$1&amp;"-"&amp;ROW(AZ17),基本資料填寫!$A:$DN,COLUMN(基本資料填寫!BN18),0),"")</f>
        <v/>
      </c>
      <c r="BL18" s="47" t="str">
        <f>IFERROR(VLOOKUP($A$1&amp;"-"&amp;ROW(BA17),基本資料填寫!$A:$DN,COLUMN(基本資料填寫!BO18),0),"")</f>
        <v/>
      </c>
      <c r="BM18" s="47" t="str">
        <f>IFERROR(VLOOKUP($A$1&amp;"-"&amp;ROW(BB17),基本資料填寫!$A:$DN,COLUMN(基本資料填寫!BP18),0),"")</f>
        <v/>
      </c>
      <c r="BN18" s="47" t="str">
        <f>IFERROR(VLOOKUP($A$1&amp;"-"&amp;ROW(BC17),基本資料填寫!$A:$DN,COLUMN(基本資料填寫!BQ18),0),"")</f>
        <v/>
      </c>
      <c r="BO18" s="47" t="str">
        <f>IFERROR(VLOOKUP($A$1&amp;"-"&amp;ROW(BD17),基本資料填寫!$A:$DN,COLUMN(基本資料填寫!BR18),0),"")</f>
        <v/>
      </c>
    </row>
    <row r="19" spans="2:67" x14ac:dyDescent="0.3">
      <c r="B19" s="47" t="str">
        <f>IFERROR(VLOOKUP($A$1&amp;"-"&amp;ROW(A18),基本資料填寫!$A:$DN,COLUMN(基本資料填寫!K19),0),"")</f>
        <v/>
      </c>
      <c r="C19" s="47" t="str">
        <f>IFERROR(VLOOKUP($A$1&amp;"-"&amp;ROW(B18),基本資料填寫!$A:$DN,COLUMN(基本資料填寫!L19),0),"")</f>
        <v/>
      </c>
      <c r="D19" s="47" t="str">
        <f>IF(E19="","",COUNTA($E$2:E19))</f>
        <v/>
      </c>
      <c r="E19" s="47" t="str">
        <f>IFERROR(VLOOKUP($A$1&amp;"-"&amp;ROW(E18),基本資料填寫!$A:$DN,COLUMN(基本資料填寫!S19),0),"")</f>
        <v/>
      </c>
      <c r="G19" s="47" t="str">
        <f>IFERROR(VLOOKUP($A$1&amp;"-"&amp;ROW(G18),基本資料填寫!$A:$DN,COLUMN(基本資料填寫!V19),0),"")</f>
        <v/>
      </c>
      <c r="H19" s="47" t="str">
        <f>IFERROR(VLOOKUP($A$1&amp;"-"&amp;ROW(BI18),基本資料填寫!$A:$DN,COLUMN(基本資料填寫!BW19),0),"")</f>
        <v/>
      </c>
      <c r="I19" s="47" t="str">
        <f>IFERROR(VLOOKUP($A$1&amp;"-"&amp;ROW(I18),基本資料填寫!$A:$DN,COLUMN(基本資料填寫!AN19),0),"")</f>
        <v/>
      </c>
      <c r="J19" s="47" t="str">
        <f>IFERROR(VLOOKUP($A$1&amp;"-"&amp;ROW(K18),基本資料填寫!$A:$DN,COLUMN(基本資料填寫!R19),0),"")</f>
        <v/>
      </c>
      <c r="K19" s="47" t="str">
        <f>IFERROR(VLOOKUP($A$1&amp;"-"&amp;ROW(AA18),基本資料填寫!$A:$DN,COLUMN(基本資料填寫!BX19),0),"")</f>
        <v/>
      </c>
      <c r="L19" s="47" t="str">
        <f>IFERROR(VLOOKUP($A$1&amp;"-"&amp;ROW(S18),基本資料填寫!$A:$DN,COLUMN(基本資料填寫!Z19),0),"")</f>
        <v/>
      </c>
      <c r="M19" s="47" t="str">
        <f>IFERROR(VLOOKUP($A$1&amp;"-"&amp;ROW(T18),基本資料填寫!$A:$DN,COLUMN(基本資料填寫!AA19),0),"")</f>
        <v/>
      </c>
      <c r="N19" s="47" t="str">
        <f>IFERROR(VLOOKUP($A$1&amp;"-"&amp;ROW(AB18),基本資料填寫!$A:$DN,COLUMN(基本資料填寫!BY19),0),"")</f>
        <v/>
      </c>
      <c r="O19" s="47" t="str">
        <f>IFERROR(VLOOKUP($A$1&amp;"-"&amp;ROW(AC18),基本資料填寫!$A:$DN,COLUMN(基本資料填寫!BZ19),0),"")</f>
        <v/>
      </c>
      <c r="P19" s="47" t="str">
        <f>IFERROR(VLOOKUP($A$1&amp;"-"&amp;ROW(AD18),基本資料填寫!$A:$DN,COLUMN(基本資料填寫!CA19),0),"")</f>
        <v/>
      </c>
      <c r="Q19" s="47" t="str">
        <f>IFERROR(VLOOKUP($A$1&amp;"-"&amp;ROW(J18),基本資料填寫!$A:$DN,COLUMN(基本資料填寫!AO19),0),"")</f>
        <v/>
      </c>
      <c r="R19" s="47" t="str">
        <f>IFERROR(VLOOKUP($A$1&amp;"-"&amp;ROW(AE18),基本資料填寫!$A:$DN,COLUMN(基本資料填寫!CB19),0),"")</f>
        <v/>
      </c>
      <c r="S19" s="47" t="str">
        <f>IFERROR(VLOOKUP($A$1&amp;"-"&amp;ROW(AF18),基本資料填寫!$A:$DN,COLUMN(基本資料填寫!CC19),0),"")</f>
        <v/>
      </c>
      <c r="T19" s="47" t="str">
        <f>IFERROR(VLOOKUP($A$1&amp;"-"&amp;ROW(AG18),基本資料填寫!$A:$DN,COLUMN(基本資料填寫!CD19),0),"")</f>
        <v/>
      </c>
      <c r="U19" s="47" t="str">
        <f>IFERROR(VLOOKUP($A$1&amp;"-"&amp;ROW(AH18),基本資料填寫!$A:$DN,COLUMN(基本資料填寫!CE19),0),"")</f>
        <v/>
      </c>
      <c r="V19" s="47" t="str">
        <f>IFERROR(VLOOKUP($A$1&amp;"-"&amp;ROW(AI18),基本資料填寫!$A:$DN,COLUMN(基本資料填寫!CF19),0),"")</f>
        <v/>
      </c>
      <c r="W19" s="47" t="str">
        <f>IFERROR(VLOOKUP($A$1&amp;"-"&amp;ROW(AJ18),基本資料填寫!$A:$DN,COLUMN(基本資料填寫!CG19),0),"")</f>
        <v/>
      </c>
      <c r="X19" s="47" t="str">
        <f>IFERROR(VLOOKUP($A$1&amp;"-"&amp;ROW(AK18),基本資料填寫!$A:$DN,COLUMN(基本資料填寫!CH19),0),"")</f>
        <v/>
      </c>
      <c r="Y19" s="47" t="str">
        <f>IFERROR(VLOOKUP($A$1&amp;"-"&amp;ROW(AL18),基本資料填寫!$A:$DN,COLUMN(基本資料填寫!CI19),0),"")</f>
        <v/>
      </c>
      <c r="Z19" s="47" t="str">
        <f>IFERROR(VLOOKUP($A$1&amp;"-"&amp;ROW(H18),基本資料填寫!$A:$DN,COLUMN(基本資料填寫!O19),0),"")</f>
        <v/>
      </c>
      <c r="AA19" s="47" t="str">
        <f>IFERROR(VLOOKUP($A$1&amp;"-"&amp;ROW(AM18),基本資料填寫!$A:$DN,COLUMN(基本資料填寫!CJ19),0),"")</f>
        <v/>
      </c>
      <c r="AB19" s="47" t="str">
        <f>IFERROR(VLOOKUP($A$1&amp;"-"&amp;ROW(AN18),基本資料填寫!$A:$DN,COLUMN(基本資料填寫!CK19),0),"")</f>
        <v/>
      </c>
      <c r="AC19" s="47" t="str">
        <f>IFERROR(VLOOKUP($A$1&amp;"-"&amp;ROW(AP18),基本資料填寫!$A:$DN,COLUMN(基本資料填寫!CN19),0),"")</f>
        <v/>
      </c>
      <c r="AD19" s="47" t="str">
        <f>IFERROR(VLOOKUP($A$1&amp;"-"&amp;ROW(AQ18),基本資料填寫!$A:$DN,COLUMN(基本資料填寫!CO19),0),"")</f>
        <v/>
      </c>
      <c r="AE19" s="47" t="str">
        <f>IFERROR(VLOOKUP($A$1&amp;"-"&amp;ROW(AR18),基本資料填寫!$A:$DN,COLUMN(基本資料填寫!CP19),0),"")</f>
        <v/>
      </c>
      <c r="AF19" s="47" t="str">
        <f>IFERROR(VLOOKUP($A$1&amp;"-"&amp;ROW(AS18),基本資料填寫!$A:$DN,COLUMN(基本資料填寫!CQ19),0),"")</f>
        <v/>
      </c>
      <c r="AG19" s="47" t="str">
        <f>IFERROR(VLOOKUP($A$1&amp;"-"&amp;ROW(AT18),基本資料填寫!$A:$DN,COLUMN(基本資料填寫!CR19),0),"")</f>
        <v/>
      </c>
      <c r="AH19" s="47" t="str">
        <f>IFERROR(VLOOKUP($A$1&amp;"-"&amp;ROW(AU18),基本資料填寫!$A:$DN,COLUMN(基本資料填寫!CS19),0),"")</f>
        <v/>
      </c>
      <c r="AI19" s="47" t="str">
        <f>IFERROR(VLOOKUP($A$1&amp;"-"&amp;ROW(P18),基本資料填寫!$A:$DN,COLUMN(基本資料填寫!X19),0),"")</f>
        <v/>
      </c>
      <c r="AJ19" s="47" t="str">
        <f>IFERROR(VLOOKUP($A$1&amp;"-"&amp;ROW(AV18),基本資料填寫!$A:$DN,COLUMN(基本資料填寫!CT19),0),"")</f>
        <v/>
      </c>
      <c r="AK19" s="47" t="str">
        <f>IFERROR(VLOOKUP($A$1&amp;"-"&amp;ROW(AC18),基本資料填寫!$A:$DN,COLUMN(基本資料填寫!AQ19),0),"")</f>
        <v/>
      </c>
      <c r="AL19" s="47" t="str">
        <f>IFERROR(VLOOKUP($A$1&amp;"-"&amp;ROW(AO18),基本資料填寫!$A:$DN,COLUMN(基本資料填寫!CM19),0),"")</f>
        <v/>
      </c>
      <c r="AM19" s="47" t="str">
        <f>IFERROR(VLOOKUP($A$1&amp;"-"&amp;ROW(AD18),基本資料填寫!$A:$DN,COLUMN(基本資料填寫!AR19),0),"")</f>
        <v/>
      </c>
      <c r="AN19" s="47" t="str">
        <f>IFERROR(VLOOKUP($A$1&amp;"-"&amp;ROW(K18),基本資料填寫!$A:$DN,COLUMN(基本資料填寫!AP19),0),"")</f>
        <v/>
      </c>
      <c r="AO19" s="47" t="str">
        <f>IFERROR(VLOOKUP($A$1&amp;"-"&amp;ROW(J18),基本資料填寫!$A:$DN,COLUMN(基本資料填寫!AO19),0),"")</f>
        <v/>
      </c>
      <c r="AP19" s="47" t="str">
        <f>IFERROR(VLOOKUP($A$1&amp;"-"&amp;ROW(AE18),基本資料填寫!$A:$DN,COLUMN(基本資料填寫!AS19),0),"")</f>
        <v/>
      </c>
      <c r="AQ19" s="47" t="str">
        <f>IFERROR(VLOOKUP($A$1&amp;"-"&amp;ROW(AF18),基本資料填寫!$A:$DN,COLUMN(基本資料填寫!AT19),0),"")</f>
        <v/>
      </c>
      <c r="AR19" s="47" t="str">
        <f>IFERROR(VLOOKUP($A$1&amp;"-"&amp;ROW(AG18),基本資料填寫!$A:$DN,COLUMN(基本資料填寫!AU19),0),"")</f>
        <v/>
      </c>
      <c r="AS19" s="47" t="str">
        <f>IFERROR(VLOOKUP($A$1&amp;"-"&amp;ROW(AH18),基本資料填寫!$A:$DN,COLUMN(基本資料填寫!AV19),0),"")</f>
        <v/>
      </c>
      <c r="AT19" s="47" t="str">
        <f>IFERROR(VLOOKUP($A$1&amp;"-"&amp;ROW(AI18),基本資料填寫!$A:$DN,COLUMN(基本資料填寫!AW19),0),"")</f>
        <v/>
      </c>
      <c r="AU19" s="47" t="str">
        <f>IFERROR(VLOOKUP($A$1&amp;"-"&amp;ROW(AJ18),基本資料填寫!$A:$DN,COLUMN(基本資料填寫!AX19),0),"")</f>
        <v/>
      </c>
      <c r="AV19" s="47" t="str">
        <f>IFERROR(VLOOKUP($A$1&amp;"-"&amp;ROW(AK18),基本資料填寫!$A:$DN,COLUMN(基本資料填寫!AY19),0),"")</f>
        <v/>
      </c>
      <c r="AW19" s="47" t="str">
        <f>IFERROR(VLOOKUP($A$1&amp;"-"&amp;ROW(AL18),基本資料填寫!$A:$DN,COLUMN(基本資料填寫!AZ19),0),"")</f>
        <v/>
      </c>
      <c r="AX19" s="47" t="str">
        <f>IFERROR(VLOOKUP($A$1&amp;"-"&amp;ROW(AM18),基本資料填寫!$A:$DN,COLUMN(基本資料填寫!BA19),0),"")</f>
        <v/>
      </c>
      <c r="AY19" s="47" t="str">
        <f>IFERROR(VLOOKUP($A$1&amp;"-"&amp;ROW(AN18),基本資料填寫!$A:$DN,COLUMN(基本資料填寫!BB19),0),"")</f>
        <v/>
      </c>
      <c r="AZ19" s="47" t="str">
        <f>IFERROR(VLOOKUP($A$1&amp;"-"&amp;ROW(AO18),基本資料填寫!$A:$DN,COLUMN(基本資料填寫!BC19),0),"")</f>
        <v/>
      </c>
      <c r="BA19" s="47" t="str">
        <f>IFERROR(VLOOKUP($A$1&amp;"-"&amp;ROW(AP18),基本資料填寫!$A:$DN,COLUMN(基本資料填寫!BD19),0),"")</f>
        <v/>
      </c>
      <c r="BB19" s="47" t="str">
        <f>IFERROR(VLOOKUP($A$1&amp;"-"&amp;ROW(AQ18),基本資料填寫!$A:$DN,COLUMN(基本資料填寫!BE19),0),"")</f>
        <v/>
      </c>
      <c r="BC19" s="47" t="str">
        <f>IFERROR(VLOOKUP($A$1&amp;"-"&amp;ROW(AR18),基本資料填寫!$A:$DN,COLUMN(基本資料填寫!BF19),0),"")</f>
        <v/>
      </c>
      <c r="BD19" s="47" t="str">
        <f>IFERROR(VLOOKUP($A$1&amp;"-"&amp;ROW(AS18),基本資料填寫!$A:$DN,COLUMN(基本資料填寫!BG19),0),"")</f>
        <v/>
      </c>
      <c r="BE19" s="47" t="str">
        <f>IFERROR(VLOOKUP($A$1&amp;"-"&amp;ROW(AT18),基本資料填寫!$A:$DN,COLUMN(基本資料填寫!BH19),0),"")</f>
        <v/>
      </c>
      <c r="BF19" s="47" t="str">
        <f>IFERROR(VLOOKUP($A$1&amp;"-"&amp;ROW(AU18),基本資料填寫!$A:$DN,COLUMN(基本資料填寫!BI19),0),"")</f>
        <v/>
      </c>
      <c r="BG19" s="47" t="str">
        <f>IFERROR(VLOOKUP($A$1&amp;"-"&amp;ROW(AV18),基本資料填寫!$A:$DN,COLUMN(基本資料填寫!BJ19),0),"")</f>
        <v/>
      </c>
      <c r="BH19" s="47" t="str">
        <f>IFERROR(VLOOKUP($A$1&amp;"-"&amp;ROW(AW18),基本資料填寫!$A:$DN,COLUMN(基本資料填寫!BK19),0),"")</f>
        <v/>
      </c>
      <c r="BI19" s="47" t="str">
        <f>IFERROR(VLOOKUP($A$1&amp;"-"&amp;ROW(AX18),基本資料填寫!$A:$DN,COLUMN(基本資料填寫!BL19),0),"")</f>
        <v/>
      </c>
      <c r="BJ19" s="47" t="str">
        <f>IFERROR(VLOOKUP($A$1&amp;"-"&amp;ROW(AY18),基本資料填寫!$A:$DN,COLUMN(基本資料填寫!BM19),0),"")</f>
        <v/>
      </c>
      <c r="BK19" s="47" t="str">
        <f>IFERROR(VLOOKUP($A$1&amp;"-"&amp;ROW(AZ18),基本資料填寫!$A:$DN,COLUMN(基本資料填寫!BN19),0),"")</f>
        <v/>
      </c>
      <c r="BL19" s="47" t="str">
        <f>IFERROR(VLOOKUP($A$1&amp;"-"&amp;ROW(BA18),基本資料填寫!$A:$DN,COLUMN(基本資料填寫!BO19),0),"")</f>
        <v/>
      </c>
      <c r="BM19" s="47" t="str">
        <f>IFERROR(VLOOKUP($A$1&amp;"-"&amp;ROW(BB18),基本資料填寫!$A:$DN,COLUMN(基本資料填寫!BP19),0),"")</f>
        <v/>
      </c>
      <c r="BN19" s="47" t="str">
        <f>IFERROR(VLOOKUP($A$1&amp;"-"&amp;ROW(BC18),基本資料填寫!$A:$DN,COLUMN(基本資料填寫!BQ19),0),"")</f>
        <v/>
      </c>
      <c r="BO19" s="47" t="str">
        <f>IFERROR(VLOOKUP($A$1&amp;"-"&amp;ROW(BD18),基本資料填寫!$A:$DN,COLUMN(基本資料填寫!BR19),0),"")</f>
        <v/>
      </c>
    </row>
    <row r="20" spans="2:67" x14ac:dyDescent="0.3">
      <c r="B20" s="47" t="str">
        <f>IFERROR(VLOOKUP($A$1&amp;"-"&amp;ROW(A19),基本資料填寫!$A:$DN,COLUMN(基本資料填寫!K20),0),"")</f>
        <v/>
      </c>
      <c r="C20" s="47" t="str">
        <f>IFERROR(VLOOKUP($A$1&amp;"-"&amp;ROW(B19),基本資料填寫!$A:$DN,COLUMN(基本資料填寫!L20),0),"")</f>
        <v/>
      </c>
      <c r="D20" s="47" t="str">
        <f>IF(E20="","",COUNTA($E$2:E20))</f>
        <v/>
      </c>
      <c r="E20" s="47" t="str">
        <f>IFERROR(VLOOKUP($A$1&amp;"-"&amp;ROW(E19),基本資料填寫!$A:$DN,COLUMN(基本資料填寫!S20),0),"")</f>
        <v/>
      </c>
      <c r="G20" s="47" t="str">
        <f>IFERROR(VLOOKUP($A$1&amp;"-"&amp;ROW(G19),基本資料填寫!$A:$DN,COLUMN(基本資料填寫!V20),0),"")</f>
        <v/>
      </c>
      <c r="H20" s="47" t="str">
        <f>IFERROR(VLOOKUP($A$1&amp;"-"&amp;ROW(BI19),基本資料填寫!$A:$DN,COLUMN(基本資料填寫!BW20),0),"")</f>
        <v/>
      </c>
      <c r="I20" s="47" t="str">
        <f>IFERROR(VLOOKUP($A$1&amp;"-"&amp;ROW(I19),基本資料填寫!$A:$DN,COLUMN(基本資料填寫!AN20),0),"")</f>
        <v/>
      </c>
      <c r="J20" s="47" t="str">
        <f>IFERROR(VLOOKUP($A$1&amp;"-"&amp;ROW(K19),基本資料填寫!$A:$DN,COLUMN(基本資料填寫!R20),0),"")</f>
        <v/>
      </c>
      <c r="K20" s="47" t="str">
        <f>IFERROR(VLOOKUP($A$1&amp;"-"&amp;ROW(AA19),基本資料填寫!$A:$DN,COLUMN(基本資料填寫!BX20),0),"")</f>
        <v/>
      </c>
      <c r="L20" s="47" t="str">
        <f>IFERROR(VLOOKUP($A$1&amp;"-"&amp;ROW(S19),基本資料填寫!$A:$DN,COLUMN(基本資料填寫!Z20),0),"")</f>
        <v/>
      </c>
      <c r="M20" s="47" t="str">
        <f>IFERROR(VLOOKUP($A$1&amp;"-"&amp;ROW(T19),基本資料填寫!$A:$DN,COLUMN(基本資料填寫!AA20),0),"")</f>
        <v/>
      </c>
      <c r="N20" s="47" t="str">
        <f>IFERROR(VLOOKUP($A$1&amp;"-"&amp;ROW(AB19),基本資料填寫!$A:$DN,COLUMN(基本資料填寫!BY20),0),"")</f>
        <v/>
      </c>
      <c r="O20" s="47" t="str">
        <f>IFERROR(VLOOKUP($A$1&amp;"-"&amp;ROW(AC19),基本資料填寫!$A:$DN,COLUMN(基本資料填寫!BZ20),0),"")</f>
        <v/>
      </c>
      <c r="P20" s="47" t="str">
        <f>IFERROR(VLOOKUP($A$1&amp;"-"&amp;ROW(AD19),基本資料填寫!$A:$DN,COLUMN(基本資料填寫!CA20),0),"")</f>
        <v/>
      </c>
      <c r="Q20" s="47" t="str">
        <f>IFERROR(VLOOKUP($A$1&amp;"-"&amp;ROW(J19),基本資料填寫!$A:$DN,COLUMN(基本資料填寫!AO20),0),"")</f>
        <v/>
      </c>
      <c r="R20" s="47" t="str">
        <f>IFERROR(VLOOKUP($A$1&amp;"-"&amp;ROW(AE19),基本資料填寫!$A:$DN,COLUMN(基本資料填寫!CB20),0),"")</f>
        <v/>
      </c>
      <c r="S20" s="47" t="str">
        <f>IFERROR(VLOOKUP($A$1&amp;"-"&amp;ROW(AF19),基本資料填寫!$A:$DN,COLUMN(基本資料填寫!CC20),0),"")</f>
        <v/>
      </c>
      <c r="T20" s="47" t="str">
        <f>IFERROR(VLOOKUP($A$1&amp;"-"&amp;ROW(AG19),基本資料填寫!$A:$DN,COLUMN(基本資料填寫!CD20),0),"")</f>
        <v/>
      </c>
      <c r="U20" s="47" t="str">
        <f>IFERROR(VLOOKUP($A$1&amp;"-"&amp;ROW(AH19),基本資料填寫!$A:$DN,COLUMN(基本資料填寫!CE20),0),"")</f>
        <v/>
      </c>
      <c r="V20" s="47" t="str">
        <f>IFERROR(VLOOKUP($A$1&amp;"-"&amp;ROW(AI19),基本資料填寫!$A:$DN,COLUMN(基本資料填寫!CF20),0),"")</f>
        <v/>
      </c>
      <c r="W20" s="47" t="str">
        <f>IFERROR(VLOOKUP($A$1&amp;"-"&amp;ROW(AJ19),基本資料填寫!$A:$DN,COLUMN(基本資料填寫!CG20),0),"")</f>
        <v/>
      </c>
      <c r="X20" s="47" t="str">
        <f>IFERROR(VLOOKUP($A$1&amp;"-"&amp;ROW(AK19),基本資料填寫!$A:$DN,COLUMN(基本資料填寫!CH20),0),"")</f>
        <v/>
      </c>
      <c r="Y20" s="47" t="str">
        <f>IFERROR(VLOOKUP($A$1&amp;"-"&amp;ROW(AL19),基本資料填寫!$A:$DN,COLUMN(基本資料填寫!CI20),0),"")</f>
        <v/>
      </c>
      <c r="Z20" s="47" t="str">
        <f>IFERROR(VLOOKUP($A$1&amp;"-"&amp;ROW(H19),基本資料填寫!$A:$DN,COLUMN(基本資料填寫!O20),0),"")</f>
        <v/>
      </c>
      <c r="AA20" s="47" t="str">
        <f>IFERROR(VLOOKUP($A$1&amp;"-"&amp;ROW(AM19),基本資料填寫!$A:$DN,COLUMN(基本資料填寫!CJ20),0),"")</f>
        <v/>
      </c>
      <c r="AB20" s="47" t="str">
        <f>IFERROR(VLOOKUP($A$1&amp;"-"&amp;ROW(AN19),基本資料填寫!$A:$DN,COLUMN(基本資料填寫!CK20),0),"")</f>
        <v/>
      </c>
      <c r="AC20" s="47" t="str">
        <f>IFERROR(VLOOKUP($A$1&amp;"-"&amp;ROW(AP19),基本資料填寫!$A:$DN,COLUMN(基本資料填寫!CN20),0),"")</f>
        <v/>
      </c>
      <c r="AD20" s="47" t="str">
        <f>IFERROR(VLOOKUP($A$1&amp;"-"&amp;ROW(AQ19),基本資料填寫!$A:$DN,COLUMN(基本資料填寫!CO20),0),"")</f>
        <v/>
      </c>
      <c r="AE20" s="47" t="str">
        <f>IFERROR(VLOOKUP($A$1&amp;"-"&amp;ROW(AR19),基本資料填寫!$A:$DN,COLUMN(基本資料填寫!CP20),0),"")</f>
        <v/>
      </c>
      <c r="AF20" s="47" t="str">
        <f>IFERROR(VLOOKUP($A$1&amp;"-"&amp;ROW(AS19),基本資料填寫!$A:$DN,COLUMN(基本資料填寫!CQ20),0),"")</f>
        <v/>
      </c>
      <c r="AG20" s="47" t="str">
        <f>IFERROR(VLOOKUP($A$1&amp;"-"&amp;ROW(AT19),基本資料填寫!$A:$DN,COLUMN(基本資料填寫!CR20),0),"")</f>
        <v/>
      </c>
      <c r="AH20" s="47" t="str">
        <f>IFERROR(VLOOKUP($A$1&amp;"-"&amp;ROW(AU19),基本資料填寫!$A:$DN,COLUMN(基本資料填寫!CS20),0),"")</f>
        <v/>
      </c>
      <c r="AI20" s="47" t="str">
        <f>IFERROR(VLOOKUP($A$1&amp;"-"&amp;ROW(P19),基本資料填寫!$A:$DN,COLUMN(基本資料填寫!X20),0),"")</f>
        <v/>
      </c>
      <c r="AJ20" s="47" t="str">
        <f>IFERROR(VLOOKUP($A$1&amp;"-"&amp;ROW(AV19),基本資料填寫!$A:$DN,COLUMN(基本資料填寫!CT20),0),"")</f>
        <v/>
      </c>
      <c r="AK20" s="47" t="str">
        <f>IFERROR(VLOOKUP($A$1&amp;"-"&amp;ROW(AC19),基本資料填寫!$A:$DN,COLUMN(基本資料填寫!AQ20),0),"")</f>
        <v/>
      </c>
      <c r="AL20" s="47" t="str">
        <f>IFERROR(VLOOKUP($A$1&amp;"-"&amp;ROW(AO19),基本資料填寫!$A:$DN,COLUMN(基本資料填寫!CM20),0),"")</f>
        <v/>
      </c>
      <c r="AM20" s="47" t="str">
        <f>IFERROR(VLOOKUP($A$1&amp;"-"&amp;ROW(AD19),基本資料填寫!$A:$DN,COLUMN(基本資料填寫!AR20),0),"")</f>
        <v/>
      </c>
      <c r="AN20" s="47" t="str">
        <f>IFERROR(VLOOKUP($A$1&amp;"-"&amp;ROW(K19),基本資料填寫!$A:$DN,COLUMN(基本資料填寫!AP20),0),"")</f>
        <v/>
      </c>
      <c r="AO20" s="47" t="str">
        <f>IFERROR(VLOOKUP($A$1&amp;"-"&amp;ROW(J19),基本資料填寫!$A:$DN,COLUMN(基本資料填寫!AO20),0),"")</f>
        <v/>
      </c>
      <c r="AP20" s="47" t="str">
        <f>IFERROR(VLOOKUP($A$1&amp;"-"&amp;ROW(AE19),基本資料填寫!$A:$DN,COLUMN(基本資料填寫!AS20),0),"")</f>
        <v/>
      </c>
      <c r="AQ20" s="47" t="str">
        <f>IFERROR(VLOOKUP($A$1&amp;"-"&amp;ROW(AF19),基本資料填寫!$A:$DN,COLUMN(基本資料填寫!AT20),0),"")</f>
        <v/>
      </c>
      <c r="AR20" s="47" t="str">
        <f>IFERROR(VLOOKUP($A$1&amp;"-"&amp;ROW(AG19),基本資料填寫!$A:$DN,COLUMN(基本資料填寫!AU20),0),"")</f>
        <v/>
      </c>
      <c r="AS20" s="47" t="str">
        <f>IFERROR(VLOOKUP($A$1&amp;"-"&amp;ROW(AH19),基本資料填寫!$A:$DN,COLUMN(基本資料填寫!AV20),0),"")</f>
        <v/>
      </c>
      <c r="AT20" s="47" t="str">
        <f>IFERROR(VLOOKUP($A$1&amp;"-"&amp;ROW(AI19),基本資料填寫!$A:$DN,COLUMN(基本資料填寫!AW20),0),"")</f>
        <v/>
      </c>
      <c r="AU20" s="47" t="str">
        <f>IFERROR(VLOOKUP($A$1&amp;"-"&amp;ROW(AJ19),基本資料填寫!$A:$DN,COLUMN(基本資料填寫!AX20),0),"")</f>
        <v/>
      </c>
      <c r="AV20" s="47" t="str">
        <f>IFERROR(VLOOKUP($A$1&amp;"-"&amp;ROW(AK19),基本資料填寫!$A:$DN,COLUMN(基本資料填寫!AY20),0),"")</f>
        <v/>
      </c>
      <c r="AW20" s="47" t="str">
        <f>IFERROR(VLOOKUP($A$1&amp;"-"&amp;ROW(AL19),基本資料填寫!$A:$DN,COLUMN(基本資料填寫!AZ20),0),"")</f>
        <v/>
      </c>
      <c r="AX20" s="47" t="str">
        <f>IFERROR(VLOOKUP($A$1&amp;"-"&amp;ROW(AM19),基本資料填寫!$A:$DN,COLUMN(基本資料填寫!BA20),0),"")</f>
        <v/>
      </c>
      <c r="AY20" s="47" t="str">
        <f>IFERROR(VLOOKUP($A$1&amp;"-"&amp;ROW(AN19),基本資料填寫!$A:$DN,COLUMN(基本資料填寫!BB20),0),"")</f>
        <v/>
      </c>
      <c r="AZ20" s="47" t="str">
        <f>IFERROR(VLOOKUP($A$1&amp;"-"&amp;ROW(AO19),基本資料填寫!$A:$DN,COLUMN(基本資料填寫!BC20),0),"")</f>
        <v/>
      </c>
      <c r="BA20" s="47" t="str">
        <f>IFERROR(VLOOKUP($A$1&amp;"-"&amp;ROW(AP19),基本資料填寫!$A:$DN,COLUMN(基本資料填寫!BD20),0),"")</f>
        <v/>
      </c>
      <c r="BB20" s="47" t="str">
        <f>IFERROR(VLOOKUP($A$1&amp;"-"&amp;ROW(AQ19),基本資料填寫!$A:$DN,COLUMN(基本資料填寫!BE20),0),"")</f>
        <v/>
      </c>
      <c r="BC20" s="47" t="str">
        <f>IFERROR(VLOOKUP($A$1&amp;"-"&amp;ROW(AR19),基本資料填寫!$A:$DN,COLUMN(基本資料填寫!BF20),0),"")</f>
        <v/>
      </c>
      <c r="BD20" s="47" t="str">
        <f>IFERROR(VLOOKUP($A$1&amp;"-"&amp;ROW(AS19),基本資料填寫!$A:$DN,COLUMN(基本資料填寫!BG20),0),"")</f>
        <v/>
      </c>
      <c r="BE20" s="47" t="str">
        <f>IFERROR(VLOOKUP($A$1&amp;"-"&amp;ROW(AT19),基本資料填寫!$A:$DN,COLUMN(基本資料填寫!BH20),0),"")</f>
        <v/>
      </c>
      <c r="BF20" s="47" t="str">
        <f>IFERROR(VLOOKUP($A$1&amp;"-"&amp;ROW(AU19),基本資料填寫!$A:$DN,COLUMN(基本資料填寫!BI20),0),"")</f>
        <v/>
      </c>
      <c r="BG20" s="47" t="str">
        <f>IFERROR(VLOOKUP($A$1&amp;"-"&amp;ROW(AV19),基本資料填寫!$A:$DN,COLUMN(基本資料填寫!BJ20),0),"")</f>
        <v/>
      </c>
      <c r="BH20" s="47" t="str">
        <f>IFERROR(VLOOKUP($A$1&amp;"-"&amp;ROW(AW19),基本資料填寫!$A:$DN,COLUMN(基本資料填寫!BK20),0),"")</f>
        <v/>
      </c>
      <c r="BI20" s="47" t="str">
        <f>IFERROR(VLOOKUP($A$1&amp;"-"&amp;ROW(AX19),基本資料填寫!$A:$DN,COLUMN(基本資料填寫!BL20),0),"")</f>
        <v/>
      </c>
      <c r="BJ20" s="47" t="str">
        <f>IFERROR(VLOOKUP($A$1&amp;"-"&amp;ROW(AY19),基本資料填寫!$A:$DN,COLUMN(基本資料填寫!BM20),0),"")</f>
        <v/>
      </c>
      <c r="BK20" s="47" t="str">
        <f>IFERROR(VLOOKUP($A$1&amp;"-"&amp;ROW(AZ19),基本資料填寫!$A:$DN,COLUMN(基本資料填寫!BN20),0),"")</f>
        <v/>
      </c>
      <c r="BL20" s="47" t="str">
        <f>IFERROR(VLOOKUP($A$1&amp;"-"&amp;ROW(BA19),基本資料填寫!$A:$DN,COLUMN(基本資料填寫!BO20),0),"")</f>
        <v/>
      </c>
      <c r="BM20" s="47" t="str">
        <f>IFERROR(VLOOKUP($A$1&amp;"-"&amp;ROW(BB19),基本資料填寫!$A:$DN,COLUMN(基本資料填寫!BP20),0),"")</f>
        <v/>
      </c>
      <c r="BN20" s="47" t="str">
        <f>IFERROR(VLOOKUP($A$1&amp;"-"&amp;ROW(BC19),基本資料填寫!$A:$DN,COLUMN(基本資料填寫!BQ20),0),"")</f>
        <v/>
      </c>
      <c r="BO20" s="47" t="str">
        <f>IFERROR(VLOOKUP($A$1&amp;"-"&amp;ROW(BD19),基本資料填寫!$A:$DN,COLUMN(基本資料填寫!BR20),0),"")</f>
        <v/>
      </c>
    </row>
    <row r="21" spans="2:67" x14ac:dyDescent="0.3">
      <c r="B21" s="47" t="str">
        <f>IFERROR(VLOOKUP($A$1&amp;"-"&amp;ROW(A20),基本資料填寫!$A:$DN,COLUMN(基本資料填寫!K21),0),"")</f>
        <v/>
      </c>
      <c r="C21" s="47" t="str">
        <f>IFERROR(VLOOKUP($A$1&amp;"-"&amp;ROW(B20),基本資料填寫!$A:$DN,COLUMN(基本資料填寫!L21),0),"")</f>
        <v/>
      </c>
      <c r="D21" s="47" t="str">
        <f>IF(E21="","",COUNTA($E$2:E21))</f>
        <v/>
      </c>
      <c r="E21" s="47" t="str">
        <f>IFERROR(VLOOKUP($A$1&amp;"-"&amp;ROW(E20),基本資料填寫!$A:$DN,COLUMN(基本資料填寫!S21),0),"")</f>
        <v/>
      </c>
      <c r="G21" s="47" t="str">
        <f>IFERROR(VLOOKUP($A$1&amp;"-"&amp;ROW(G20),基本資料填寫!$A:$DN,COLUMN(基本資料填寫!V21),0),"")</f>
        <v/>
      </c>
      <c r="H21" s="47" t="str">
        <f>IFERROR(VLOOKUP($A$1&amp;"-"&amp;ROW(BI20),基本資料填寫!$A:$DN,COLUMN(基本資料填寫!BW21),0),"")</f>
        <v/>
      </c>
      <c r="I21" s="47" t="str">
        <f>IFERROR(VLOOKUP($A$1&amp;"-"&amp;ROW(I20),基本資料填寫!$A:$DN,COLUMN(基本資料填寫!AN21),0),"")</f>
        <v/>
      </c>
      <c r="J21" s="47" t="str">
        <f>IFERROR(VLOOKUP($A$1&amp;"-"&amp;ROW(K20),基本資料填寫!$A:$DN,COLUMN(基本資料填寫!R21),0),"")</f>
        <v/>
      </c>
      <c r="K21" s="47" t="str">
        <f>IFERROR(VLOOKUP($A$1&amp;"-"&amp;ROW(AA20),基本資料填寫!$A:$DN,COLUMN(基本資料填寫!BX21),0),"")</f>
        <v/>
      </c>
      <c r="L21" s="47" t="str">
        <f>IFERROR(VLOOKUP($A$1&amp;"-"&amp;ROW(S20),基本資料填寫!$A:$DN,COLUMN(基本資料填寫!Z21),0),"")</f>
        <v/>
      </c>
      <c r="M21" s="47" t="str">
        <f>IFERROR(VLOOKUP($A$1&amp;"-"&amp;ROW(T20),基本資料填寫!$A:$DN,COLUMN(基本資料填寫!AA21),0),"")</f>
        <v/>
      </c>
      <c r="N21" s="47" t="str">
        <f>IFERROR(VLOOKUP($A$1&amp;"-"&amp;ROW(AB20),基本資料填寫!$A:$DN,COLUMN(基本資料填寫!BY21),0),"")</f>
        <v/>
      </c>
      <c r="O21" s="47" t="str">
        <f>IFERROR(VLOOKUP($A$1&amp;"-"&amp;ROW(AC20),基本資料填寫!$A:$DN,COLUMN(基本資料填寫!BZ21),0),"")</f>
        <v/>
      </c>
      <c r="P21" s="47" t="str">
        <f>IFERROR(VLOOKUP($A$1&amp;"-"&amp;ROW(AD20),基本資料填寫!$A:$DN,COLUMN(基本資料填寫!CA21),0),"")</f>
        <v/>
      </c>
      <c r="Q21" s="47" t="str">
        <f>IFERROR(VLOOKUP($A$1&amp;"-"&amp;ROW(J20),基本資料填寫!$A:$DN,COLUMN(基本資料填寫!AO21),0),"")</f>
        <v/>
      </c>
      <c r="R21" s="47" t="str">
        <f>IFERROR(VLOOKUP($A$1&amp;"-"&amp;ROW(AE20),基本資料填寫!$A:$DN,COLUMN(基本資料填寫!CB21),0),"")</f>
        <v/>
      </c>
      <c r="S21" s="47" t="str">
        <f>IFERROR(VLOOKUP($A$1&amp;"-"&amp;ROW(AF20),基本資料填寫!$A:$DN,COLUMN(基本資料填寫!CC21),0),"")</f>
        <v/>
      </c>
      <c r="T21" s="47" t="str">
        <f>IFERROR(VLOOKUP($A$1&amp;"-"&amp;ROW(AG20),基本資料填寫!$A:$DN,COLUMN(基本資料填寫!CD21),0),"")</f>
        <v/>
      </c>
      <c r="U21" s="47" t="str">
        <f>IFERROR(VLOOKUP($A$1&amp;"-"&amp;ROW(AH20),基本資料填寫!$A:$DN,COLUMN(基本資料填寫!CE21),0),"")</f>
        <v/>
      </c>
      <c r="V21" s="47" t="str">
        <f>IFERROR(VLOOKUP($A$1&amp;"-"&amp;ROW(AI20),基本資料填寫!$A:$DN,COLUMN(基本資料填寫!CF21),0),"")</f>
        <v/>
      </c>
      <c r="W21" s="47" t="str">
        <f>IFERROR(VLOOKUP($A$1&amp;"-"&amp;ROW(AJ20),基本資料填寫!$A:$DN,COLUMN(基本資料填寫!CG21),0),"")</f>
        <v/>
      </c>
      <c r="X21" s="47" t="str">
        <f>IFERROR(VLOOKUP($A$1&amp;"-"&amp;ROW(AK20),基本資料填寫!$A:$DN,COLUMN(基本資料填寫!CH21),0),"")</f>
        <v/>
      </c>
      <c r="Y21" s="47" t="str">
        <f>IFERROR(VLOOKUP($A$1&amp;"-"&amp;ROW(AL20),基本資料填寫!$A:$DN,COLUMN(基本資料填寫!CI21),0),"")</f>
        <v/>
      </c>
      <c r="Z21" s="47" t="str">
        <f>IFERROR(VLOOKUP($A$1&amp;"-"&amp;ROW(H20),基本資料填寫!$A:$DN,COLUMN(基本資料填寫!O21),0),"")</f>
        <v/>
      </c>
      <c r="AA21" s="47" t="str">
        <f>IFERROR(VLOOKUP($A$1&amp;"-"&amp;ROW(AM20),基本資料填寫!$A:$DN,COLUMN(基本資料填寫!CJ21),0),"")</f>
        <v/>
      </c>
      <c r="AB21" s="47" t="str">
        <f>IFERROR(VLOOKUP($A$1&amp;"-"&amp;ROW(AN20),基本資料填寫!$A:$DN,COLUMN(基本資料填寫!CK21),0),"")</f>
        <v/>
      </c>
      <c r="AC21" s="47" t="str">
        <f>IFERROR(VLOOKUP($A$1&amp;"-"&amp;ROW(AP20),基本資料填寫!$A:$DN,COLUMN(基本資料填寫!CN21),0),"")</f>
        <v/>
      </c>
      <c r="AD21" s="47" t="str">
        <f>IFERROR(VLOOKUP($A$1&amp;"-"&amp;ROW(AQ20),基本資料填寫!$A:$DN,COLUMN(基本資料填寫!CO21),0),"")</f>
        <v/>
      </c>
      <c r="AE21" s="47" t="str">
        <f>IFERROR(VLOOKUP($A$1&amp;"-"&amp;ROW(AR20),基本資料填寫!$A:$DN,COLUMN(基本資料填寫!CP21),0),"")</f>
        <v/>
      </c>
      <c r="AF21" s="47" t="str">
        <f>IFERROR(VLOOKUP($A$1&amp;"-"&amp;ROW(AS20),基本資料填寫!$A:$DN,COLUMN(基本資料填寫!CQ21),0),"")</f>
        <v/>
      </c>
      <c r="AG21" s="47" t="str">
        <f>IFERROR(VLOOKUP($A$1&amp;"-"&amp;ROW(AT20),基本資料填寫!$A:$DN,COLUMN(基本資料填寫!CR21),0),"")</f>
        <v/>
      </c>
      <c r="AH21" s="47" t="str">
        <f>IFERROR(VLOOKUP($A$1&amp;"-"&amp;ROW(AU20),基本資料填寫!$A:$DN,COLUMN(基本資料填寫!CS21),0),"")</f>
        <v/>
      </c>
      <c r="AI21" s="47" t="str">
        <f>IFERROR(VLOOKUP($A$1&amp;"-"&amp;ROW(P20),基本資料填寫!$A:$DN,COLUMN(基本資料填寫!X21),0),"")</f>
        <v/>
      </c>
      <c r="AJ21" s="47" t="str">
        <f>IFERROR(VLOOKUP($A$1&amp;"-"&amp;ROW(AV20),基本資料填寫!$A:$DN,COLUMN(基本資料填寫!CT21),0),"")</f>
        <v/>
      </c>
      <c r="AK21" s="47" t="str">
        <f>IFERROR(VLOOKUP($A$1&amp;"-"&amp;ROW(AC20),基本資料填寫!$A:$DN,COLUMN(基本資料填寫!AQ21),0),"")</f>
        <v/>
      </c>
      <c r="AL21" s="47" t="str">
        <f>IFERROR(VLOOKUP($A$1&amp;"-"&amp;ROW(AO20),基本資料填寫!$A:$DN,COLUMN(基本資料填寫!CM21),0),"")</f>
        <v/>
      </c>
      <c r="AM21" s="47" t="str">
        <f>IFERROR(VLOOKUP($A$1&amp;"-"&amp;ROW(AD20),基本資料填寫!$A:$DN,COLUMN(基本資料填寫!AR21),0),"")</f>
        <v/>
      </c>
      <c r="AN21" s="47" t="str">
        <f>IFERROR(VLOOKUP($A$1&amp;"-"&amp;ROW(K20),基本資料填寫!$A:$DN,COLUMN(基本資料填寫!AP21),0),"")</f>
        <v/>
      </c>
      <c r="AO21" s="47" t="str">
        <f>IFERROR(VLOOKUP($A$1&amp;"-"&amp;ROW(J20),基本資料填寫!$A:$DN,COLUMN(基本資料填寫!AO21),0),"")</f>
        <v/>
      </c>
      <c r="AP21" s="47" t="str">
        <f>IFERROR(VLOOKUP($A$1&amp;"-"&amp;ROW(AE20),基本資料填寫!$A:$DN,COLUMN(基本資料填寫!AS21),0),"")</f>
        <v/>
      </c>
      <c r="AQ21" s="47" t="str">
        <f>IFERROR(VLOOKUP($A$1&amp;"-"&amp;ROW(AF20),基本資料填寫!$A:$DN,COLUMN(基本資料填寫!AT21),0),"")</f>
        <v/>
      </c>
      <c r="AR21" s="47" t="str">
        <f>IFERROR(VLOOKUP($A$1&amp;"-"&amp;ROW(AG20),基本資料填寫!$A:$DN,COLUMN(基本資料填寫!AU21),0),"")</f>
        <v/>
      </c>
      <c r="AS21" s="47" t="str">
        <f>IFERROR(VLOOKUP($A$1&amp;"-"&amp;ROW(AH20),基本資料填寫!$A:$DN,COLUMN(基本資料填寫!AV21),0),"")</f>
        <v/>
      </c>
      <c r="AT21" s="47" t="str">
        <f>IFERROR(VLOOKUP($A$1&amp;"-"&amp;ROW(AI20),基本資料填寫!$A:$DN,COLUMN(基本資料填寫!AW21),0),"")</f>
        <v/>
      </c>
      <c r="AU21" s="47" t="str">
        <f>IFERROR(VLOOKUP($A$1&amp;"-"&amp;ROW(AJ20),基本資料填寫!$A:$DN,COLUMN(基本資料填寫!AX21),0),"")</f>
        <v/>
      </c>
      <c r="AV21" s="47" t="str">
        <f>IFERROR(VLOOKUP($A$1&amp;"-"&amp;ROW(AK20),基本資料填寫!$A:$DN,COLUMN(基本資料填寫!AY21),0),"")</f>
        <v/>
      </c>
      <c r="AW21" s="47" t="str">
        <f>IFERROR(VLOOKUP($A$1&amp;"-"&amp;ROW(AL20),基本資料填寫!$A:$DN,COLUMN(基本資料填寫!AZ21),0),"")</f>
        <v/>
      </c>
      <c r="AX21" s="47" t="str">
        <f>IFERROR(VLOOKUP($A$1&amp;"-"&amp;ROW(AM20),基本資料填寫!$A:$DN,COLUMN(基本資料填寫!BA21),0),"")</f>
        <v/>
      </c>
      <c r="AY21" s="47" t="str">
        <f>IFERROR(VLOOKUP($A$1&amp;"-"&amp;ROW(AN20),基本資料填寫!$A:$DN,COLUMN(基本資料填寫!BB21),0),"")</f>
        <v/>
      </c>
      <c r="AZ21" s="47" t="str">
        <f>IFERROR(VLOOKUP($A$1&amp;"-"&amp;ROW(AO20),基本資料填寫!$A:$DN,COLUMN(基本資料填寫!BC21),0),"")</f>
        <v/>
      </c>
      <c r="BA21" s="47" t="str">
        <f>IFERROR(VLOOKUP($A$1&amp;"-"&amp;ROW(AP20),基本資料填寫!$A:$DN,COLUMN(基本資料填寫!BD21),0),"")</f>
        <v/>
      </c>
      <c r="BB21" s="47" t="str">
        <f>IFERROR(VLOOKUP($A$1&amp;"-"&amp;ROW(AQ20),基本資料填寫!$A:$DN,COLUMN(基本資料填寫!BE21),0),"")</f>
        <v/>
      </c>
      <c r="BC21" s="47" t="str">
        <f>IFERROR(VLOOKUP($A$1&amp;"-"&amp;ROW(AR20),基本資料填寫!$A:$DN,COLUMN(基本資料填寫!BF21),0),"")</f>
        <v/>
      </c>
      <c r="BD21" s="47" t="str">
        <f>IFERROR(VLOOKUP($A$1&amp;"-"&amp;ROW(AS20),基本資料填寫!$A:$DN,COLUMN(基本資料填寫!BG21),0),"")</f>
        <v/>
      </c>
      <c r="BE21" s="47" t="str">
        <f>IFERROR(VLOOKUP($A$1&amp;"-"&amp;ROW(AT20),基本資料填寫!$A:$DN,COLUMN(基本資料填寫!BH21),0),"")</f>
        <v/>
      </c>
      <c r="BF21" s="47" t="str">
        <f>IFERROR(VLOOKUP($A$1&amp;"-"&amp;ROW(AU20),基本資料填寫!$A:$DN,COLUMN(基本資料填寫!BI21),0),"")</f>
        <v/>
      </c>
      <c r="BG21" s="47" t="str">
        <f>IFERROR(VLOOKUP($A$1&amp;"-"&amp;ROW(AV20),基本資料填寫!$A:$DN,COLUMN(基本資料填寫!BJ21),0),"")</f>
        <v/>
      </c>
      <c r="BH21" s="47" t="str">
        <f>IFERROR(VLOOKUP($A$1&amp;"-"&amp;ROW(AW20),基本資料填寫!$A:$DN,COLUMN(基本資料填寫!BK21),0),"")</f>
        <v/>
      </c>
      <c r="BI21" s="47" t="str">
        <f>IFERROR(VLOOKUP($A$1&amp;"-"&amp;ROW(AX20),基本資料填寫!$A:$DN,COLUMN(基本資料填寫!BL21),0),"")</f>
        <v/>
      </c>
      <c r="BJ21" s="47" t="str">
        <f>IFERROR(VLOOKUP($A$1&amp;"-"&amp;ROW(AY20),基本資料填寫!$A:$DN,COLUMN(基本資料填寫!BM21),0),"")</f>
        <v/>
      </c>
      <c r="BK21" s="47" t="str">
        <f>IFERROR(VLOOKUP($A$1&amp;"-"&amp;ROW(AZ20),基本資料填寫!$A:$DN,COLUMN(基本資料填寫!BN21),0),"")</f>
        <v/>
      </c>
      <c r="BL21" s="47" t="str">
        <f>IFERROR(VLOOKUP($A$1&amp;"-"&amp;ROW(BA20),基本資料填寫!$A:$DN,COLUMN(基本資料填寫!BO21),0),"")</f>
        <v/>
      </c>
      <c r="BM21" s="47" t="str">
        <f>IFERROR(VLOOKUP($A$1&amp;"-"&amp;ROW(BB20),基本資料填寫!$A:$DN,COLUMN(基本資料填寫!BP21),0),"")</f>
        <v/>
      </c>
      <c r="BN21" s="47" t="str">
        <f>IFERROR(VLOOKUP($A$1&amp;"-"&amp;ROW(BC20),基本資料填寫!$A:$DN,COLUMN(基本資料填寫!BQ21),0),"")</f>
        <v/>
      </c>
      <c r="BO21" s="47" t="str">
        <f>IFERROR(VLOOKUP($A$1&amp;"-"&amp;ROW(BD20),基本資料填寫!$A:$DN,COLUMN(基本資料填寫!BR21),0),"")</f>
        <v/>
      </c>
    </row>
    <row r="22" spans="2:67" x14ac:dyDescent="0.3">
      <c r="B22" s="47" t="str">
        <f>IFERROR(VLOOKUP($A$1&amp;"-"&amp;ROW(A21),基本資料填寫!$A:$DN,COLUMN(基本資料填寫!K22),0),"")</f>
        <v/>
      </c>
      <c r="C22" s="47" t="str">
        <f>IFERROR(VLOOKUP($A$1&amp;"-"&amp;ROW(B21),基本資料填寫!$A:$DN,COLUMN(基本資料填寫!L22),0),"")</f>
        <v/>
      </c>
      <c r="D22" s="47" t="str">
        <f>IF(E22="","",COUNTA($E$2:E22))</f>
        <v/>
      </c>
      <c r="E22" s="47" t="str">
        <f>IFERROR(VLOOKUP($A$1&amp;"-"&amp;ROW(E21),基本資料填寫!$A:$DN,COLUMN(基本資料填寫!S22),0),"")</f>
        <v/>
      </c>
      <c r="G22" s="47" t="str">
        <f>IFERROR(VLOOKUP($A$1&amp;"-"&amp;ROW(G21),基本資料填寫!$A:$DN,COLUMN(基本資料填寫!V22),0),"")</f>
        <v/>
      </c>
      <c r="H22" s="47" t="str">
        <f>IFERROR(VLOOKUP($A$1&amp;"-"&amp;ROW(BI21),基本資料填寫!$A:$DN,COLUMN(基本資料填寫!BW22),0),"")</f>
        <v/>
      </c>
      <c r="I22" s="47" t="str">
        <f>IFERROR(VLOOKUP($A$1&amp;"-"&amp;ROW(I21),基本資料填寫!$A:$DN,COLUMN(基本資料填寫!AN22),0),"")</f>
        <v/>
      </c>
      <c r="J22" s="47" t="str">
        <f>IFERROR(VLOOKUP($A$1&amp;"-"&amp;ROW(K21),基本資料填寫!$A:$DN,COLUMN(基本資料填寫!R22),0),"")</f>
        <v/>
      </c>
      <c r="K22" s="47" t="str">
        <f>IFERROR(VLOOKUP($A$1&amp;"-"&amp;ROW(AA21),基本資料填寫!$A:$DN,COLUMN(基本資料填寫!BX22),0),"")</f>
        <v/>
      </c>
      <c r="L22" s="47" t="str">
        <f>IFERROR(VLOOKUP($A$1&amp;"-"&amp;ROW(S21),基本資料填寫!$A:$DN,COLUMN(基本資料填寫!Z22),0),"")</f>
        <v/>
      </c>
      <c r="M22" s="47" t="str">
        <f>IFERROR(VLOOKUP($A$1&amp;"-"&amp;ROW(T21),基本資料填寫!$A:$DN,COLUMN(基本資料填寫!AA22),0),"")</f>
        <v/>
      </c>
      <c r="N22" s="47" t="str">
        <f>IFERROR(VLOOKUP($A$1&amp;"-"&amp;ROW(AB21),基本資料填寫!$A:$DN,COLUMN(基本資料填寫!BY22),0),"")</f>
        <v/>
      </c>
      <c r="O22" s="47" t="str">
        <f>IFERROR(VLOOKUP($A$1&amp;"-"&amp;ROW(AC21),基本資料填寫!$A:$DN,COLUMN(基本資料填寫!BZ22),0),"")</f>
        <v/>
      </c>
      <c r="P22" s="47" t="str">
        <f>IFERROR(VLOOKUP($A$1&amp;"-"&amp;ROW(AD21),基本資料填寫!$A:$DN,COLUMN(基本資料填寫!CA22),0),"")</f>
        <v/>
      </c>
      <c r="Q22" s="47" t="str">
        <f>IFERROR(VLOOKUP($A$1&amp;"-"&amp;ROW(J21),基本資料填寫!$A:$DN,COLUMN(基本資料填寫!AO22),0),"")</f>
        <v/>
      </c>
      <c r="R22" s="47" t="str">
        <f>IFERROR(VLOOKUP($A$1&amp;"-"&amp;ROW(AE21),基本資料填寫!$A:$DN,COLUMN(基本資料填寫!CB22),0),"")</f>
        <v/>
      </c>
      <c r="S22" s="47" t="str">
        <f>IFERROR(VLOOKUP($A$1&amp;"-"&amp;ROW(AF21),基本資料填寫!$A:$DN,COLUMN(基本資料填寫!CC22),0),"")</f>
        <v/>
      </c>
      <c r="T22" s="47" t="str">
        <f>IFERROR(VLOOKUP($A$1&amp;"-"&amp;ROW(AG21),基本資料填寫!$A:$DN,COLUMN(基本資料填寫!CD22),0),"")</f>
        <v/>
      </c>
      <c r="U22" s="47" t="str">
        <f>IFERROR(VLOOKUP($A$1&amp;"-"&amp;ROW(AH21),基本資料填寫!$A:$DN,COLUMN(基本資料填寫!CE22),0),"")</f>
        <v/>
      </c>
      <c r="V22" s="47" t="str">
        <f>IFERROR(VLOOKUP($A$1&amp;"-"&amp;ROW(AI21),基本資料填寫!$A:$DN,COLUMN(基本資料填寫!CF22),0),"")</f>
        <v/>
      </c>
      <c r="W22" s="47" t="str">
        <f>IFERROR(VLOOKUP($A$1&amp;"-"&amp;ROW(AJ21),基本資料填寫!$A:$DN,COLUMN(基本資料填寫!CG22),0),"")</f>
        <v/>
      </c>
      <c r="X22" s="47" t="str">
        <f>IFERROR(VLOOKUP($A$1&amp;"-"&amp;ROW(AK21),基本資料填寫!$A:$DN,COLUMN(基本資料填寫!CH22),0),"")</f>
        <v/>
      </c>
      <c r="Y22" s="47" t="str">
        <f>IFERROR(VLOOKUP($A$1&amp;"-"&amp;ROW(AL21),基本資料填寫!$A:$DN,COLUMN(基本資料填寫!CI22),0),"")</f>
        <v/>
      </c>
      <c r="Z22" s="47" t="str">
        <f>IFERROR(VLOOKUP($A$1&amp;"-"&amp;ROW(H21),基本資料填寫!$A:$DN,COLUMN(基本資料填寫!O22),0),"")</f>
        <v/>
      </c>
      <c r="AA22" s="47" t="str">
        <f>IFERROR(VLOOKUP($A$1&amp;"-"&amp;ROW(AM21),基本資料填寫!$A:$DN,COLUMN(基本資料填寫!CJ22),0),"")</f>
        <v/>
      </c>
      <c r="AB22" s="47" t="str">
        <f>IFERROR(VLOOKUP($A$1&amp;"-"&amp;ROW(AN21),基本資料填寫!$A:$DN,COLUMN(基本資料填寫!CK22),0),"")</f>
        <v/>
      </c>
      <c r="AC22" s="47" t="str">
        <f>IFERROR(VLOOKUP($A$1&amp;"-"&amp;ROW(AP21),基本資料填寫!$A:$DN,COLUMN(基本資料填寫!CN22),0),"")</f>
        <v/>
      </c>
      <c r="AD22" s="47" t="str">
        <f>IFERROR(VLOOKUP($A$1&amp;"-"&amp;ROW(AQ21),基本資料填寫!$A:$DN,COLUMN(基本資料填寫!CO22),0),"")</f>
        <v/>
      </c>
      <c r="AE22" s="47" t="str">
        <f>IFERROR(VLOOKUP($A$1&amp;"-"&amp;ROW(AR21),基本資料填寫!$A:$DN,COLUMN(基本資料填寫!CP22),0),"")</f>
        <v/>
      </c>
      <c r="AF22" s="47" t="str">
        <f>IFERROR(VLOOKUP($A$1&amp;"-"&amp;ROW(AS21),基本資料填寫!$A:$DN,COLUMN(基本資料填寫!CQ22),0),"")</f>
        <v/>
      </c>
      <c r="AG22" s="47" t="str">
        <f>IFERROR(VLOOKUP($A$1&amp;"-"&amp;ROW(AT21),基本資料填寫!$A:$DN,COLUMN(基本資料填寫!CR22),0),"")</f>
        <v/>
      </c>
      <c r="AH22" s="47" t="str">
        <f>IFERROR(VLOOKUP($A$1&amp;"-"&amp;ROW(AU21),基本資料填寫!$A:$DN,COLUMN(基本資料填寫!CS22),0),"")</f>
        <v/>
      </c>
      <c r="AI22" s="47" t="str">
        <f>IFERROR(VLOOKUP($A$1&amp;"-"&amp;ROW(P21),基本資料填寫!$A:$DN,COLUMN(基本資料填寫!X22),0),"")</f>
        <v/>
      </c>
      <c r="AJ22" s="47" t="str">
        <f>IFERROR(VLOOKUP($A$1&amp;"-"&amp;ROW(AV21),基本資料填寫!$A:$DN,COLUMN(基本資料填寫!CT22),0),"")</f>
        <v/>
      </c>
      <c r="AK22" s="47" t="str">
        <f>IFERROR(VLOOKUP($A$1&amp;"-"&amp;ROW(AC21),基本資料填寫!$A:$DN,COLUMN(基本資料填寫!AQ22),0),"")</f>
        <v/>
      </c>
      <c r="AL22" s="47" t="str">
        <f>IFERROR(VLOOKUP($A$1&amp;"-"&amp;ROW(AO21),基本資料填寫!$A:$DN,COLUMN(基本資料填寫!CM22),0),"")</f>
        <v/>
      </c>
      <c r="AM22" s="47" t="str">
        <f>IFERROR(VLOOKUP($A$1&amp;"-"&amp;ROW(AD21),基本資料填寫!$A:$DN,COLUMN(基本資料填寫!AR22),0),"")</f>
        <v/>
      </c>
      <c r="AN22" s="47" t="str">
        <f>IFERROR(VLOOKUP($A$1&amp;"-"&amp;ROW(K21),基本資料填寫!$A:$DN,COLUMN(基本資料填寫!AP22),0),"")</f>
        <v/>
      </c>
      <c r="AO22" s="47" t="str">
        <f>IFERROR(VLOOKUP($A$1&amp;"-"&amp;ROW(J21),基本資料填寫!$A:$DN,COLUMN(基本資料填寫!AO22),0),"")</f>
        <v/>
      </c>
      <c r="AP22" s="47" t="str">
        <f>IFERROR(VLOOKUP($A$1&amp;"-"&amp;ROW(AE21),基本資料填寫!$A:$DN,COLUMN(基本資料填寫!AS22),0),"")</f>
        <v/>
      </c>
      <c r="AQ22" s="47" t="str">
        <f>IFERROR(VLOOKUP($A$1&amp;"-"&amp;ROW(AF21),基本資料填寫!$A:$DN,COLUMN(基本資料填寫!AT22),0),"")</f>
        <v/>
      </c>
      <c r="AR22" s="47" t="str">
        <f>IFERROR(VLOOKUP($A$1&amp;"-"&amp;ROW(AG21),基本資料填寫!$A:$DN,COLUMN(基本資料填寫!AU22),0),"")</f>
        <v/>
      </c>
      <c r="AS22" s="47" t="str">
        <f>IFERROR(VLOOKUP($A$1&amp;"-"&amp;ROW(AH21),基本資料填寫!$A:$DN,COLUMN(基本資料填寫!AV22),0),"")</f>
        <v/>
      </c>
      <c r="AT22" s="47" t="str">
        <f>IFERROR(VLOOKUP($A$1&amp;"-"&amp;ROW(AI21),基本資料填寫!$A:$DN,COLUMN(基本資料填寫!AW22),0),"")</f>
        <v/>
      </c>
      <c r="AU22" s="47" t="str">
        <f>IFERROR(VLOOKUP($A$1&amp;"-"&amp;ROW(AJ21),基本資料填寫!$A:$DN,COLUMN(基本資料填寫!AX22),0),"")</f>
        <v/>
      </c>
      <c r="AV22" s="47" t="str">
        <f>IFERROR(VLOOKUP($A$1&amp;"-"&amp;ROW(AK21),基本資料填寫!$A:$DN,COLUMN(基本資料填寫!AY22),0),"")</f>
        <v/>
      </c>
      <c r="AW22" s="47" t="str">
        <f>IFERROR(VLOOKUP($A$1&amp;"-"&amp;ROW(AL21),基本資料填寫!$A:$DN,COLUMN(基本資料填寫!AZ22),0),"")</f>
        <v/>
      </c>
      <c r="AX22" s="47" t="str">
        <f>IFERROR(VLOOKUP($A$1&amp;"-"&amp;ROW(AM21),基本資料填寫!$A:$DN,COLUMN(基本資料填寫!BA22),0),"")</f>
        <v/>
      </c>
      <c r="AY22" s="47" t="str">
        <f>IFERROR(VLOOKUP($A$1&amp;"-"&amp;ROW(AN21),基本資料填寫!$A:$DN,COLUMN(基本資料填寫!BB22),0),"")</f>
        <v/>
      </c>
      <c r="AZ22" s="47" t="str">
        <f>IFERROR(VLOOKUP($A$1&amp;"-"&amp;ROW(AO21),基本資料填寫!$A:$DN,COLUMN(基本資料填寫!BC22),0),"")</f>
        <v/>
      </c>
      <c r="BA22" s="47" t="str">
        <f>IFERROR(VLOOKUP($A$1&amp;"-"&amp;ROW(AP21),基本資料填寫!$A:$DN,COLUMN(基本資料填寫!BD22),0),"")</f>
        <v/>
      </c>
      <c r="BB22" s="47" t="str">
        <f>IFERROR(VLOOKUP($A$1&amp;"-"&amp;ROW(AQ21),基本資料填寫!$A:$DN,COLUMN(基本資料填寫!BE22),0),"")</f>
        <v/>
      </c>
      <c r="BC22" s="47" t="str">
        <f>IFERROR(VLOOKUP($A$1&amp;"-"&amp;ROW(AR21),基本資料填寫!$A:$DN,COLUMN(基本資料填寫!BF22),0),"")</f>
        <v/>
      </c>
      <c r="BD22" s="47" t="str">
        <f>IFERROR(VLOOKUP($A$1&amp;"-"&amp;ROW(AS21),基本資料填寫!$A:$DN,COLUMN(基本資料填寫!BG22),0),"")</f>
        <v/>
      </c>
      <c r="BE22" s="47" t="str">
        <f>IFERROR(VLOOKUP($A$1&amp;"-"&amp;ROW(AT21),基本資料填寫!$A:$DN,COLUMN(基本資料填寫!BH22),0),"")</f>
        <v/>
      </c>
      <c r="BF22" s="47" t="str">
        <f>IFERROR(VLOOKUP($A$1&amp;"-"&amp;ROW(AU21),基本資料填寫!$A:$DN,COLUMN(基本資料填寫!BI22),0),"")</f>
        <v/>
      </c>
      <c r="BG22" s="47" t="str">
        <f>IFERROR(VLOOKUP($A$1&amp;"-"&amp;ROW(AV21),基本資料填寫!$A:$DN,COLUMN(基本資料填寫!BJ22),0),"")</f>
        <v/>
      </c>
      <c r="BH22" s="47" t="str">
        <f>IFERROR(VLOOKUP($A$1&amp;"-"&amp;ROW(AW21),基本資料填寫!$A:$DN,COLUMN(基本資料填寫!BK22),0),"")</f>
        <v/>
      </c>
      <c r="BI22" s="47" t="str">
        <f>IFERROR(VLOOKUP($A$1&amp;"-"&amp;ROW(AX21),基本資料填寫!$A:$DN,COLUMN(基本資料填寫!BL22),0),"")</f>
        <v/>
      </c>
      <c r="BJ22" s="47" t="str">
        <f>IFERROR(VLOOKUP($A$1&amp;"-"&amp;ROW(AY21),基本資料填寫!$A:$DN,COLUMN(基本資料填寫!BM22),0),"")</f>
        <v/>
      </c>
      <c r="BK22" s="47" t="str">
        <f>IFERROR(VLOOKUP($A$1&amp;"-"&amp;ROW(AZ21),基本資料填寫!$A:$DN,COLUMN(基本資料填寫!BN22),0),"")</f>
        <v/>
      </c>
      <c r="BL22" s="47" t="str">
        <f>IFERROR(VLOOKUP($A$1&amp;"-"&amp;ROW(BA21),基本資料填寫!$A:$DN,COLUMN(基本資料填寫!BO22),0),"")</f>
        <v/>
      </c>
      <c r="BM22" s="47" t="str">
        <f>IFERROR(VLOOKUP($A$1&amp;"-"&amp;ROW(BB21),基本資料填寫!$A:$DN,COLUMN(基本資料填寫!BP22),0),"")</f>
        <v/>
      </c>
      <c r="BN22" s="47" t="str">
        <f>IFERROR(VLOOKUP($A$1&amp;"-"&amp;ROW(BC21),基本資料填寫!$A:$DN,COLUMN(基本資料填寫!BQ22),0),"")</f>
        <v/>
      </c>
      <c r="BO22" s="47" t="str">
        <f>IFERROR(VLOOKUP($A$1&amp;"-"&amp;ROW(BD21),基本資料填寫!$A:$DN,COLUMN(基本資料填寫!BR22),0),"")</f>
        <v/>
      </c>
    </row>
    <row r="23" spans="2:67" x14ac:dyDescent="0.3">
      <c r="B23" s="47" t="str">
        <f>IFERROR(VLOOKUP($A$1&amp;"-"&amp;ROW(A22),基本資料填寫!$A:$DN,COLUMN(基本資料填寫!K23),0),"")</f>
        <v/>
      </c>
      <c r="C23" s="47" t="str">
        <f>IFERROR(VLOOKUP($A$1&amp;"-"&amp;ROW(B22),基本資料填寫!$A:$DN,COLUMN(基本資料填寫!L23),0),"")</f>
        <v/>
      </c>
      <c r="D23" s="47" t="str">
        <f>IF(E23="","",COUNTA($E$2:E23))</f>
        <v/>
      </c>
      <c r="E23" s="47" t="str">
        <f>IFERROR(VLOOKUP($A$1&amp;"-"&amp;ROW(E22),基本資料填寫!$A:$DN,COLUMN(基本資料填寫!S23),0),"")</f>
        <v/>
      </c>
      <c r="G23" s="47" t="str">
        <f>IFERROR(VLOOKUP($A$1&amp;"-"&amp;ROW(G22),基本資料填寫!$A:$DN,COLUMN(基本資料填寫!V23),0),"")</f>
        <v/>
      </c>
      <c r="H23" s="47" t="str">
        <f>IFERROR(VLOOKUP($A$1&amp;"-"&amp;ROW(BI22),基本資料填寫!$A:$DN,COLUMN(基本資料填寫!BW23),0),"")</f>
        <v/>
      </c>
      <c r="I23" s="47" t="str">
        <f>IFERROR(VLOOKUP($A$1&amp;"-"&amp;ROW(I22),基本資料填寫!$A:$DN,COLUMN(基本資料填寫!AN23),0),"")</f>
        <v/>
      </c>
      <c r="J23" s="47" t="str">
        <f>IFERROR(VLOOKUP($A$1&amp;"-"&amp;ROW(K22),基本資料填寫!$A:$DN,COLUMN(基本資料填寫!R23),0),"")</f>
        <v/>
      </c>
      <c r="K23" s="47" t="str">
        <f>IFERROR(VLOOKUP($A$1&amp;"-"&amp;ROW(AA22),基本資料填寫!$A:$DN,COLUMN(基本資料填寫!BX23),0),"")</f>
        <v/>
      </c>
      <c r="L23" s="47" t="str">
        <f>IFERROR(VLOOKUP($A$1&amp;"-"&amp;ROW(S22),基本資料填寫!$A:$DN,COLUMN(基本資料填寫!Z23),0),"")</f>
        <v/>
      </c>
      <c r="M23" s="47" t="str">
        <f>IFERROR(VLOOKUP($A$1&amp;"-"&amp;ROW(T22),基本資料填寫!$A:$DN,COLUMN(基本資料填寫!AA23),0),"")</f>
        <v/>
      </c>
      <c r="N23" s="47" t="str">
        <f>IFERROR(VLOOKUP($A$1&amp;"-"&amp;ROW(AB22),基本資料填寫!$A:$DN,COLUMN(基本資料填寫!BY23),0),"")</f>
        <v/>
      </c>
      <c r="O23" s="47" t="str">
        <f>IFERROR(VLOOKUP($A$1&amp;"-"&amp;ROW(AC22),基本資料填寫!$A:$DN,COLUMN(基本資料填寫!BZ23),0),"")</f>
        <v/>
      </c>
      <c r="P23" s="47" t="str">
        <f>IFERROR(VLOOKUP($A$1&amp;"-"&amp;ROW(AD22),基本資料填寫!$A:$DN,COLUMN(基本資料填寫!CA23),0),"")</f>
        <v/>
      </c>
      <c r="Q23" s="47" t="str">
        <f>IFERROR(VLOOKUP($A$1&amp;"-"&amp;ROW(J22),基本資料填寫!$A:$DN,COLUMN(基本資料填寫!AO23),0),"")</f>
        <v/>
      </c>
      <c r="R23" s="47" t="str">
        <f>IFERROR(VLOOKUP($A$1&amp;"-"&amp;ROW(AE22),基本資料填寫!$A:$DN,COLUMN(基本資料填寫!CB23),0),"")</f>
        <v/>
      </c>
      <c r="S23" s="47" t="str">
        <f>IFERROR(VLOOKUP($A$1&amp;"-"&amp;ROW(AF22),基本資料填寫!$A:$DN,COLUMN(基本資料填寫!CC23),0),"")</f>
        <v/>
      </c>
      <c r="T23" s="47" t="str">
        <f>IFERROR(VLOOKUP($A$1&amp;"-"&amp;ROW(AG22),基本資料填寫!$A:$DN,COLUMN(基本資料填寫!CD23),0),"")</f>
        <v/>
      </c>
      <c r="U23" s="47" t="str">
        <f>IFERROR(VLOOKUP($A$1&amp;"-"&amp;ROW(AH22),基本資料填寫!$A:$DN,COLUMN(基本資料填寫!CE23),0),"")</f>
        <v/>
      </c>
      <c r="V23" s="47" t="str">
        <f>IFERROR(VLOOKUP($A$1&amp;"-"&amp;ROW(AI22),基本資料填寫!$A:$DN,COLUMN(基本資料填寫!CF23),0),"")</f>
        <v/>
      </c>
      <c r="W23" s="47" t="str">
        <f>IFERROR(VLOOKUP($A$1&amp;"-"&amp;ROW(AJ22),基本資料填寫!$A:$DN,COLUMN(基本資料填寫!CG23),0),"")</f>
        <v/>
      </c>
      <c r="X23" s="47" t="str">
        <f>IFERROR(VLOOKUP($A$1&amp;"-"&amp;ROW(AK22),基本資料填寫!$A:$DN,COLUMN(基本資料填寫!CH23),0),"")</f>
        <v/>
      </c>
      <c r="Y23" s="47" t="str">
        <f>IFERROR(VLOOKUP($A$1&amp;"-"&amp;ROW(AL22),基本資料填寫!$A:$DN,COLUMN(基本資料填寫!CI23),0),"")</f>
        <v/>
      </c>
      <c r="Z23" s="47" t="str">
        <f>IFERROR(VLOOKUP($A$1&amp;"-"&amp;ROW(H22),基本資料填寫!$A:$DN,COLUMN(基本資料填寫!O23),0),"")</f>
        <v/>
      </c>
      <c r="AA23" s="47" t="str">
        <f>IFERROR(VLOOKUP($A$1&amp;"-"&amp;ROW(AM22),基本資料填寫!$A:$DN,COLUMN(基本資料填寫!CJ23),0),"")</f>
        <v/>
      </c>
      <c r="AB23" s="47" t="str">
        <f>IFERROR(VLOOKUP($A$1&amp;"-"&amp;ROW(AN22),基本資料填寫!$A:$DN,COLUMN(基本資料填寫!CK23),0),"")</f>
        <v/>
      </c>
      <c r="AC23" s="47" t="str">
        <f>IFERROR(VLOOKUP($A$1&amp;"-"&amp;ROW(AP22),基本資料填寫!$A:$DN,COLUMN(基本資料填寫!CN23),0),"")</f>
        <v/>
      </c>
      <c r="AD23" s="47" t="str">
        <f>IFERROR(VLOOKUP($A$1&amp;"-"&amp;ROW(AQ22),基本資料填寫!$A:$DN,COLUMN(基本資料填寫!CO23),0),"")</f>
        <v/>
      </c>
      <c r="AE23" s="47" t="str">
        <f>IFERROR(VLOOKUP($A$1&amp;"-"&amp;ROW(AR22),基本資料填寫!$A:$DN,COLUMN(基本資料填寫!CP23),0),"")</f>
        <v/>
      </c>
      <c r="AF23" s="47" t="str">
        <f>IFERROR(VLOOKUP($A$1&amp;"-"&amp;ROW(AS22),基本資料填寫!$A:$DN,COLUMN(基本資料填寫!CQ23),0),"")</f>
        <v/>
      </c>
      <c r="AG23" s="47" t="str">
        <f>IFERROR(VLOOKUP($A$1&amp;"-"&amp;ROW(AT22),基本資料填寫!$A:$DN,COLUMN(基本資料填寫!CR23),0),"")</f>
        <v/>
      </c>
      <c r="AH23" s="47" t="str">
        <f>IFERROR(VLOOKUP($A$1&amp;"-"&amp;ROW(AU22),基本資料填寫!$A:$DN,COLUMN(基本資料填寫!CS23),0),"")</f>
        <v/>
      </c>
      <c r="AI23" s="47" t="str">
        <f>IFERROR(VLOOKUP($A$1&amp;"-"&amp;ROW(P22),基本資料填寫!$A:$DN,COLUMN(基本資料填寫!X23),0),"")</f>
        <v/>
      </c>
      <c r="AJ23" s="47" t="str">
        <f>IFERROR(VLOOKUP($A$1&amp;"-"&amp;ROW(AV22),基本資料填寫!$A:$DN,COLUMN(基本資料填寫!CT23),0),"")</f>
        <v/>
      </c>
      <c r="AK23" s="47" t="str">
        <f>IFERROR(VLOOKUP($A$1&amp;"-"&amp;ROW(AC22),基本資料填寫!$A:$DN,COLUMN(基本資料填寫!AQ23),0),"")</f>
        <v/>
      </c>
      <c r="AL23" s="47" t="str">
        <f>IFERROR(VLOOKUP($A$1&amp;"-"&amp;ROW(AO22),基本資料填寫!$A:$DN,COLUMN(基本資料填寫!CM23),0),"")</f>
        <v/>
      </c>
      <c r="AM23" s="47" t="str">
        <f>IFERROR(VLOOKUP($A$1&amp;"-"&amp;ROW(AD22),基本資料填寫!$A:$DN,COLUMN(基本資料填寫!AR23),0),"")</f>
        <v/>
      </c>
      <c r="AN23" s="47" t="str">
        <f>IFERROR(VLOOKUP($A$1&amp;"-"&amp;ROW(K22),基本資料填寫!$A:$DN,COLUMN(基本資料填寫!AP23),0),"")</f>
        <v/>
      </c>
      <c r="AO23" s="47" t="str">
        <f>IFERROR(VLOOKUP($A$1&amp;"-"&amp;ROW(J22),基本資料填寫!$A:$DN,COLUMN(基本資料填寫!AO23),0),"")</f>
        <v/>
      </c>
      <c r="AP23" s="47" t="str">
        <f>IFERROR(VLOOKUP($A$1&amp;"-"&amp;ROW(AE22),基本資料填寫!$A:$DN,COLUMN(基本資料填寫!AS23),0),"")</f>
        <v/>
      </c>
      <c r="AQ23" s="47" t="str">
        <f>IFERROR(VLOOKUP($A$1&amp;"-"&amp;ROW(AF22),基本資料填寫!$A:$DN,COLUMN(基本資料填寫!AT23),0),"")</f>
        <v/>
      </c>
      <c r="AR23" s="47" t="str">
        <f>IFERROR(VLOOKUP($A$1&amp;"-"&amp;ROW(AG22),基本資料填寫!$A:$DN,COLUMN(基本資料填寫!AU23),0),"")</f>
        <v/>
      </c>
      <c r="AS23" s="47" t="str">
        <f>IFERROR(VLOOKUP($A$1&amp;"-"&amp;ROW(AH22),基本資料填寫!$A:$DN,COLUMN(基本資料填寫!AV23),0),"")</f>
        <v/>
      </c>
      <c r="AT23" s="47" t="str">
        <f>IFERROR(VLOOKUP($A$1&amp;"-"&amp;ROW(AI22),基本資料填寫!$A:$DN,COLUMN(基本資料填寫!AW23),0),"")</f>
        <v/>
      </c>
      <c r="AU23" s="47" t="str">
        <f>IFERROR(VLOOKUP($A$1&amp;"-"&amp;ROW(AJ22),基本資料填寫!$A:$DN,COLUMN(基本資料填寫!AX23),0),"")</f>
        <v/>
      </c>
      <c r="AV23" s="47" t="str">
        <f>IFERROR(VLOOKUP($A$1&amp;"-"&amp;ROW(AK22),基本資料填寫!$A:$DN,COLUMN(基本資料填寫!AY23),0),"")</f>
        <v/>
      </c>
      <c r="AW23" s="47" t="str">
        <f>IFERROR(VLOOKUP($A$1&amp;"-"&amp;ROW(AL22),基本資料填寫!$A:$DN,COLUMN(基本資料填寫!AZ23),0),"")</f>
        <v/>
      </c>
      <c r="AX23" s="47" t="str">
        <f>IFERROR(VLOOKUP($A$1&amp;"-"&amp;ROW(AM22),基本資料填寫!$A:$DN,COLUMN(基本資料填寫!BA23),0),"")</f>
        <v/>
      </c>
      <c r="AY23" s="47" t="str">
        <f>IFERROR(VLOOKUP($A$1&amp;"-"&amp;ROW(AN22),基本資料填寫!$A:$DN,COLUMN(基本資料填寫!BB23),0),"")</f>
        <v/>
      </c>
      <c r="AZ23" s="47" t="str">
        <f>IFERROR(VLOOKUP($A$1&amp;"-"&amp;ROW(AO22),基本資料填寫!$A:$DN,COLUMN(基本資料填寫!BC23),0),"")</f>
        <v/>
      </c>
      <c r="BA23" s="47" t="str">
        <f>IFERROR(VLOOKUP($A$1&amp;"-"&amp;ROW(AP22),基本資料填寫!$A:$DN,COLUMN(基本資料填寫!BD23),0),"")</f>
        <v/>
      </c>
      <c r="BB23" s="47" t="str">
        <f>IFERROR(VLOOKUP($A$1&amp;"-"&amp;ROW(AQ22),基本資料填寫!$A:$DN,COLUMN(基本資料填寫!BE23),0),"")</f>
        <v/>
      </c>
      <c r="BC23" s="47" t="str">
        <f>IFERROR(VLOOKUP($A$1&amp;"-"&amp;ROW(AR22),基本資料填寫!$A:$DN,COLUMN(基本資料填寫!BF23),0),"")</f>
        <v/>
      </c>
      <c r="BD23" s="47" t="str">
        <f>IFERROR(VLOOKUP($A$1&amp;"-"&amp;ROW(AS22),基本資料填寫!$A:$DN,COLUMN(基本資料填寫!BG23),0),"")</f>
        <v/>
      </c>
      <c r="BE23" s="47" t="str">
        <f>IFERROR(VLOOKUP($A$1&amp;"-"&amp;ROW(AT22),基本資料填寫!$A:$DN,COLUMN(基本資料填寫!BH23),0),"")</f>
        <v/>
      </c>
      <c r="BF23" s="47" t="str">
        <f>IFERROR(VLOOKUP($A$1&amp;"-"&amp;ROW(AU22),基本資料填寫!$A:$DN,COLUMN(基本資料填寫!BI23),0),"")</f>
        <v/>
      </c>
      <c r="BG23" s="47" t="str">
        <f>IFERROR(VLOOKUP($A$1&amp;"-"&amp;ROW(AV22),基本資料填寫!$A:$DN,COLUMN(基本資料填寫!BJ23),0),"")</f>
        <v/>
      </c>
      <c r="BH23" s="47" t="str">
        <f>IFERROR(VLOOKUP($A$1&amp;"-"&amp;ROW(AW22),基本資料填寫!$A:$DN,COLUMN(基本資料填寫!BK23),0),"")</f>
        <v/>
      </c>
      <c r="BI23" s="47" t="str">
        <f>IFERROR(VLOOKUP($A$1&amp;"-"&amp;ROW(AX22),基本資料填寫!$A:$DN,COLUMN(基本資料填寫!BL23),0),"")</f>
        <v/>
      </c>
      <c r="BJ23" s="47" t="str">
        <f>IFERROR(VLOOKUP($A$1&amp;"-"&amp;ROW(AY22),基本資料填寫!$A:$DN,COLUMN(基本資料填寫!BM23),0),"")</f>
        <v/>
      </c>
      <c r="BK23" s="47" t="str">
        <f>IFERROR(VLOOKUP($A$1&amp;"-"&amp;ROW(AZ22),基本資料填寫!$A:$DN,COLUMN(基本資料填寫!BN23),0),"")</f>
        <v/>
      </c>
      <c r="BL23" s="47" t="str">
        <f>IFERROR(VLOOKUP($A$1&amp;"-"&amp;ROW(BA22),基本資料填寫!$A:$DN,COLUMN(基本資料填寫!BO23),0),"")</f>
        <v/>
      </c>
      <c r="BM23" s="47" t="str">
        <f>IFERROR(VLOOKUP($A$1&amp;"-"&amp;ROW(BB22),基本資料填寫!$A:$DN,COLUMN(基本資料填寫!BP23),0),"")</f>
        <v/>
      </c>
      <c r="BN23" s="47" t="str">
        <f>IFERROR(VLOOKUP($A$1&amp;"-"&amp;ROW(BC22),基本資料填寫!$A:$DN,COLUMN(基本資料填寫!BQ23),0),"")</f>
        <v/>
      </c>
      <c r="BO23" s="47" t="str">
        <f>IFERROR(VLOOKUP($A$1&amp;"-"&amp;ROW(BD22),基本資料填寫!$A:$DN,COLUMN(基本資料填寫!BR23),0),"")</f>
        <v/>
      </c>
    </row>
    <row r="24" spans="2:67" x14ac:dyDescent="0.3">
      <c r="B24" s="47" t="str">
        <f>IFERROR(VLOOKUP($A$1&amp;"-"&amp;ROW(A23),基本資料填寫!$A:$DN,COLUMN(基本資料填寫!K24),0),"")</f>
        <v/>
      </c>
      <c r="C24" s="47" t="str">
        <f>IFERROR(VLOOKUP($A$1&amp;"-"&amp;ROW(B23),基本資料填寫!$A:$DN,COLUMN(基本資料填寫!L24),0),"")</f>
        <v/>
      </c>
      <c r="D24" s="47" t="str">
        <f>IF(E24="","",COUNTA($E$2:E24))</f>
        <v/>
      </c>
      <c r="E24" s="47" t="str">
        <f>IFERROR(VLOOKUP($A$1&amp;"-"&amp;ROW(E23),基本資料填寫!$A:$DN,COLUMN(基本資料填寫!S24),0),"")</f>
        <v/>
      </c>
      <c r="G24" s="47" t="str">
        <f>IFERROR(VLOOKUP($A$1&amp;"-"&amp;ROW(G23),基本資料填寫!$A:$DN,COLUMN(基本資料填寫!V24),0),"")</f>
        <v/>
      </c>
      <c r="H24" s="47" t="str">
        <f>IFERROR(VLOOKUP($A$1&amp;"-"&amp;ROW(BI23),基本資料填寫!$A:$DN,COLUMN(基本資料填寫!BW24),0),"")</f>
        <v/>
      </c>
      <c r="I24" s="47" t="str">
        <f>IFERROR(VLOOKUP($A$1&amp;"-"&amp;ROW(I23),基本資料填寫!$A:$DN,COLUMN(基本資料填寫!AN24),0),"")</f>
        <v/>
      </c>
      <c r="J24" s="47" t="str">
        <f>IFERROR(VLOOKUP($A$1&amp;"-"&amp;ROW(K23),基本資料填寫!$A:$DN,COLUMN(基本資料填寫!R24),0),"")</f>
        <v/>
      </c>
      <c r="K24" s="47" t="str">
        <f>IFERROR(VLOOKUP($A$1&amp;"-"&amp;ROW(AA23),基本資料填寫!$A:$DN,COLUMN(基本資料填寫!BX24),0),"")</f>
        <v/>
      </c>
      <c r="L24" s="47" t="str">
        <f>IFERROR(VLOOKUP($A$1&amp;"-"&amp;ROW(S23),基本資料填寫!$A:$DN,COLUMN(基本資料填寫!Z24),0),"")</f>
        <v/>
      </c>
      <c r="M24" s="47" t="str">
        <f>IFERROR(VLOOKUP($A$1&amp;"-"&amp;ROW(T23),基本資料填寫!$A:$DN,COLUMN(基本資料填寫!AA24),0),"")</f>
        <v/>
      </c>
      <c r="N24" s="47" t="str">
        <f>IFERROR(VLOOKUP($A$1&amp;"-"&amp;ROW(AB23),基本資料填寫!$A:$DN,COLUMN(基本資料填寫!BY24),0),"")</f>
        <v/>
      </c>
      <c r="O24" s="47" t="str">
        <f>IFERROR(VLOOKUP($A$1&amp;"-"&amp;ROW(AC23),基本資料填寫!$A:$DN,COLUMN(基本資料填寫!BZ24),0),"")</f>
        <v/>
      </c>
      <c r="P24" s="47" t="str">
        <f>IFERROR(VLOOKUP($A$1&amp;"-"&amp;ROW(AD23),基本資料填寫!$A:$DN,COLUMN(基本資料填寫!CA24),0),"")</f>
        <v/>
      </c>
      <c r="Q24" s="47" t="str">
        <f>IFERROR(VLOOKUP($A$1&amp;"-"&amp;ROW(J23),基本資料填寫!$A:$DN,COLUMN(基本資料填寫!AO24),0),"")</f>
        <v/>
      </c>
      <c r="R24" s="47" t="str">
        <f>IFERROR(VLOOKUP($A$1&amp;"-"&amp;ROW(AE23),基本資料填寫!$A:$DN,COLUMN(基本資料填寫!CB24),0),"")</f>
        <v/>
      </c>
      <c r="S24" s="47" t="str">
        <f>IFERROR(VLOOKUP($A$1&amp;"-"&amp;ROW(AF23),基本資料填寫!$A:$DN,COLUMN(基本資料填寫!CC24),0),"")</f>
        <v/>
      </c>
      <c r="T24" s="47" t="str">
        <f>IFERROR(VLOOKUP($A$1&amp;"-"&amp;ROW(AG23),基本資料填寫!$A:$DN,COLUMN(基本資料填寫!CD24),0),"")</f>
        <v/>
      </c>
      <c r="U24" s="47" t="str">
        <f>IFERROR(VLOOKUP($A$1&amp;"-"&amp;ROW(AH23),基本資料填寫!$A:$DN,COLUMN(基本資料填寫!CE24),0),"")</f>
        <v/>
      </c>
      <c r="V24" s="47" t="str">
        <f>IFERROR(VLOOKUP($A$1&amp;"-"&amp;ROW(AI23),基本資料填寫!$A:$DN,COLUMN(基本資料填寫!CF24),0),"")</f>
        <v/>
      </c>
      <c r="W24" s="47" t="str">
        <f>IFERROR(VLOOKUP($A$1&amp;"-"&amp;ROW(AJ23),基本資料填寫!$A:$DN,COLUMN(基本資料填寫!CG24),0),"")</f>
        <v/>
      </c>
      <c r="X24" s="47" t="str">
        <f>IFERROR(VLOOKUP($A$1&amp;"-"&amp;ROW(AK23),基本資料填寫!$A:$DN,COLUMN(基本資料填寫!CH24),0),"")</f>
        <v/>
      </c>
      <c r="Y24" s="47" t="str">
        <f>IFERROR(VLOOKUP($A$1&amp;"-"&amp;ROW(AL23),基本資料填寫!$A:$DN,COLUMN(基本資料填寫!CI24),0),"")</f>
        <v/>
      </c>
      <c r="Z24" s="47" t="str">
        <f>IFERROR(VLOOKUP($A$1&amp;"-"&amp;ROW(H23),基本資料填寫!$A:$DN,COLUMN(基本資料填寫!O24),0),"")</f>
        <v/>
      </c>
      <c r="AA24" s="47" t="str">
        <f>IFERROR(VLOOKUP($A$1&amp;"-"&amp;ROW(AM23),基本資料填寫!$A:$DN,COLUMN(基本資料填寫!CJ24),0),"")</f>
        <v/>
      </c>
      <c r="AB24" s="47" t="str">
        <f>IFERROR(VLOOKUP($A$1&amp;"-"&amp;ROW(AN23),基本資料填寫!$A:$DN,COLUMN(基本資料填寫!CK24),0),"")</f>
        <v/>
      </c>
      <c r="AC24" s="47" t="str">
        <f>IFERROR(VLOOKUP($A$1&amp;"-"&amp;ROW(AP23),基本資料填寫!$A:$DN,COLUMN(基本資料填寫!CN24),0),"")</f>
        <v/>
      </c>
      <c r="AD24" s="47" t="str">
        <f>IFERROR(VLOOKUP($A$1&amp;"-"&amp;ROW(AQ23),基本資料填寫!$A:$DN,COLUMN(基本資料填寫!CO24),0),"")</f>
        <v/>
      </c>
      <c r="AE24" s="47" t="str">
        <f>IFERROR(VLOOKUP($A$1&amp;"-"&amp;ROW(AR23),基本資料填寫!$A:$DN,COLUMN(基本資料填寫!CP24),0),"")</f>
        <v/>
      </c>
      <c r="AF24" s="47" t="str">
        <f>IFERROR(VLOOKUP($A$1&amp;"-"&amp;ROW(AS23),基本資料填寫!$A:$DN,COLUMN(基本資料填寫!CQ24),0),"")</f>
        <v/>
      </c>
      <c r="AG24" s="47" t="str">
        <f>IFERROR(VLOOKUP($A$1&amp;"-"&amp;ROW(AT23),基本資料填寫!$A:$DN,COLUMN(基本資料填寫!CR24),0),"")</f>
        <v/>
      </c>
      <c r="AH24" s="47" t="str">
        <f>IFERROR(VLOOKUP($A$1&amp;"-"&amp;ROW(AU23),基本資料填寫!$A:$DN,COLUMN(基本資料填寫!CS24),0),"")</f>
        <v/>
      </c>
      <c r="AI24" s="47" t="str">
        <f>IFERROR(VLOOKUP($A$1&amp;"-"&amp;ROW(P23),基本資料填寫!$A:$DN,COLUMN(基本資料填寫!X24),0),"")</f>
        <v/>
      </c>
      <c r="AJ24" s="47" t="str">
        <f>IFERROR(VLOOKUP($A$1&amp;"-"&amp;ROW(AV23),基本資料填寫!$A:$DN,COLUMN(基本資料填寫!CT24),0),"")</f>
        <v/>
      </c>
      <c r="AK24" s="47" t="str">
        <f>IFERROR(VLOOKUP($A$1&amp;"-"&amp;ROW(AC23),基本資料填寫!$A:$DN,COLUMN(基本資料填寫!AQ24),0),"")</f>
        <v/>
      </c>
      <c r="AL24" s="47" t="str">
        <f>IFERROR(VLOOKUP($A$1&amp;"-"&amp;ROW(AO23),基本資料填寫!$A:$DN,COLUMN(基本資料填寫!CM24),0),"")</f>
        <v/>
      </c>
      <c r="AM24" s="47" t="str">
        <f>IFERROR(VLOOKUP($A$1&amp;"-"&amp;ROW(AD23),基本資料填寫!$A:$DN,COLUMN(基本資料填寫!AR24),0),"")</f>
        <v/>
      </c>
      <c r="AN24" s="47" t="str">
        <f>IFERROR(VLOOKUP($A$1&amp;"-"&amp;ROW(K23),基本資料填寫!$A:$DN,COLUMN(基本資料填寫!AP24),0),"")</f>
        <v/>
      </c>
      <c r="AO24" s="47" t="str">
        <f>IFERROR(VLOOKUP($A$1&amp;"-"&amp;ROW(J23),基本資料填寫!$A:$DN,COLUMN(基本資料填寫!AO24),0),"")</f>
        <v/>
      </c>
      <c r="AP24" s="47" t="str">
        <f>IFERROR(VLOOKUP($A$1&amp;"-"&amp;ROW(AE23),基本資料填寫!$A:$DN,COLUMN(基本資料填寫!AS24),0),"")</f>
        <v/>
      </c>
      <c r="AQ24" s="47" t="str">
        <f>IFERROR(VLOOKUP($A$1&amp;"-"&amp;ROW(AF23),基本資料填寫!$A:$DN,COLUMN(基本資料填寫!AT24),0),"")</f>
        <v/>
      </c>
      <c r="AR24" s="47" t="str">
        <f>IFERROR(VLOOKUP($A$1&amp;"-"&amp;ROW(AG23),基本資料填寫!$A:$DN,COLUMN(基本資料填寫!AU24),0),"")</f>
        <v/>
      </c>
      <c r="AS24" s="47" t="str">
        <f>IFERROR(VLOOKUP($A$1&amp;"-"&amp;ROW(AH23),基本資料填寫!$A:$DN,COLUMN(基本資料填寫!AV24),0),"")</f>
        <v/>
      </c>
      <c r="AT24" s="47" t="str">
        <f>IFERROR(VLOOKUP($A$1&amp;"-"&amp;ROW(AI23),基本資料填寫!$A:$DN,COLUMN(基本資料填寫!AW24),0),"")</f>
        <v/>
      </c>
      <c r="AU24" s="47" t="str">
        <f>IFERROR(VLOOKUP($A$1&amp;"-"&amp;ROW(AJ23),基本資料填寫!$A:$DN,COLUMN(基本資料填寫!AX24),0),"")</f>
        <v/>
      </c>
      <c r="AV24" s="47" t="str">
        <f>IFERROR(VLOOKUP($A$1&amp;"-"&amp;ROW(AK23),基本資料填寫!$A:$DN,COLUMN(基本資料填寫!AY24),0),"")</f>
        <v/>
      </c>
      <c r="AW24" s="47" t="str">
        <f>IFERROR(VLOOKUP($A$1&amp;"-"&amp;ROW(AL23),基本資料填寫!$A:$DN,COLUMN(基本資料填寫!AZ24),0),"")</f>
        <v/>
      </c>
      <c r="AX24" s="47" t="str">
        <f>IFERROR(VLOOKUP($A$1&amp;"-"&amp;ROW(AM23),基本資料填寫!$A:$DN,COLUMN(基本資料填寫!BA24),0),"")</f>
        <v/>
      </c>
      <c r="AY24" s="47" t="str">
        <f>IFERROR(VLOOKUP($A$1&amp;"-"&amp;ROW(AN23),基本資料填寫!$A:$DN,COLUMN(基本資料填寫!BB24),0),"")</f>
        <v/>
      </c>
      <c r="AZ24" s="47" t="str">
        <f>IFERROR(VLOOKUP($A$1&amp;"-"&amp;ROW(AO23),基本資料填寫!$A:$DN,COLUMN(基本資料填寫!BC24),0),"")</f>
        <v/>
      </c>
      <c r="BA24" s="47" t="str">
        <f>IFERROR(VLOOKUP($A$1&amp;"-"&amp;ROW(AP23),基本資料填寫!$A:$DN,COLUMN(基本資料填寫!BD24),0),"")</f>
        <v/>
      </c>
      <c r="BB24" s="47" t="str">
        <f>IFERROR(VLOOKUP($A$1&amp;"-"&amp;ROW(AQ23),基本資料填寫!$A:$DN,COLUMN(基本資料填寫!BE24),0),"")</f>
        <v/>
      </c>
      <c r="BC24" s="47" t="str">
        <f>IFERROR(VLOOKUP($A$1&amp;"-"&amp;ROW(AR23),基本資料填寫!$A:$DN,COLUMN(基本資料填寫!BF24),0),"")</f>
        <v/>
      </c>
      <c r="BD24" s="47" t="str">
        <f>IFERROR(VLOOKUP($A$1&amp;"-"&amp;ROW(AS23),基本資料填寫!$A:$DN,COLUMN(基本資料填寫!BG24),0),"")</f>
        <v/>
      </c>
      <c r="BE24" s="47" t="str">
        <f>IFERROR(VLOOKUP($A$1&amp;"-"&amp;ROW(AT23),基本資料填寫!$A:$DN,COLUMN(基本資料填寫!BH24),0),"")</f>
        <v/>
      </c>
      <c r="BF24" s="47" t="str">
        <f>IFERROR(VLOOKUP($A$1&amp;"-"&amp;ROW(AU23),基本資料填寫!$A:$DN,COLUMN(基本資料填寫!BI24),0),"")</f>
        <v/>
      </c>
      <c r="BG24" s="47" t="str">
        <f>IFERROR(VLOOKUP($A$1&amp;"-"&amp;ROW(AV23),基本資料填寫!$A:$DN,COLUMN(基本資料填寫!BJ24),0),"")</f>
        <v/>
      </c>
      <c r="BH24" s="47" t="str">
        <f>IFERROR(VLOOKUP($A$1&amp;"-"&amp;ROW(AW23),基本資料填寫!$A:$DN,COLUMN(基本資料填寫!BK24),0),"")</f>
        <v/>
      </c>
      <c r="BI24" s="47" t="str">
        <f>IFERROR(VLOOKUP($A$1&amp;"-"&amp;ROW(AX23),基本資料填寫!$A:$DN,COLUMN(基本資料填寫!BL24),0),"")</f>
        <v/>
      </c>
      <c r="BJ24" s="47" t="str">
        <f>IFERROR(VLOOKUP($A$1&amp;"-"&amp;ROW(AY23),基本資料填寫!$A:$DN,COLUMN(基本資料填寫!BM24),0),"")</f>
        <v/>
      </c>
      <c r="BK24" s="47" t="str">
        <f>IFERROR(VLOOKUP($A$1&amp;"-"&amp;ROW(AZ23),基本資料填寫!$A:$DN,COLUMN(基本資料填寫!BN24),0),"")</f>
        <v/>
      </c>
      <c r="BL24" s="47" t="str">
        <f>IFERROR(VLOOKUP($A$1&amp;"-"&amp;ROW(BA23),基本資料填寫!$A:$DN,COLUMN(基本資料填寫!BO24),0),"")</f>
        <v/>
      </c>
      <c r="BM24" s="47" t="str">
        <f>IFERROR(VLOOKUP($A$1&amp;"-"&amp;ROW(BB23),基本資料填寫!$A:$DN,COLUMN(基本資料填寫!BP24),0),"")</f>
        <v/>
      </c>
      <c r="BN24" s="47" t="str">
        <f>IFERROR(VLOOKUP($A$1&amp;"-"&amp;ROW(BC23),基本資料填寫!$A:$DN,COLUMN(基本資料填寫!BQ24),0),"")</f>
        <v/>
      </c>
      <c r="BO24" s="47" t="str">
        <f>IFERROR(VLOOKUP($A$1&amp;"-"&amp;ROW(BD23),基本資料填寫!$A:$DN,COLUMN(基本資料填寫!BR24),0),"")</f>
        <v/>
      </c>
    </row>
    <row r="25" spans="2:67" x14ac:dyDescent="0.3">
      <c r="B25" s="47" t="str">
        <f>IFERROR(VLOOKUP($A$1&amp;"-"&amp;ROW(A24),基本資料填寫!$A:$DN,COLUMN(基本資料填寫!K25),0),"")</f>
        <v/>
      </c>
      <c r="C25" s="47" t="str">
        <f>IFERROR(VLOOKUP($A$1&amp;"-"&amp;ROW(B24),基本資料填寫!$A:$DN,COLUMN(基本資料填寫!L25),0),"")</f>
        <v/>
      </c>
      <c r="D25" s="47" t="str">
        <f>IF(E25="","",COUNTA($E$2:E25))</f>
        <v/>
      </c>
      <c r="E25" s="47" t="str">
        <f>IFERROR(VLOOKUP($A$1&amp;"-"&amp;ROW(E24),基本資料填寫!$A:$DN,COLUMN(基本資料填寫!S25),0),"")</f>
        <v/>
      </c>
      <c r="G25" s="47" t="str">
        <f>IFERROR(VLOOKUP($A$1&amp;"-"&amp;ROW(G24),基本資料填寫!$A:$DN,COLUMN(基本資料填寫!V25),0),"")</f>
        <v/>
      </c>
      <c r="H25" s="47" t="str">
        <f>IFERROR(VLOOKUP($A$1&amp;"-"&amp;ROW(BI24),基本資料填寫!$A:$DN,COLUMN(基本資料填寫!BW25),0),"")</f>
        <v/>
      </c>
      <c r="I25" s="47" t="str">
        <f>IFERROR(VLOOKUP($A$1&amp;"-"&amp;ROW(I24),基本資料填寫!$A:$DN,COLUMN(基本資料填寫!AN25),0),"")</f>
        <v/>
      </c>
      <c r="J25" s="47" t="str">
        <f>IFERROR(VLOOKUP($A$1&amp;"-"&amp;ROW(K24),基本資料填寫!$A:$DN,COLUMN(基本資料填寫!R25),0),"")</f>
        <v/>
      </c>
      <c r="K25" s="47" t="str">
        <f>IFERROR(VLOOKUP($A$1&amp;"-"&amp;ROW(AA24),基本資料填寫!$A:$DN,COLUMN(基本資料填寫!BX25),0),"")</f>
        <v/>
      </c>
      <c r="L25" s="47" t="str">
        <f>IFERROR(VLOOKUP($A$1&amp;"-"&amp;ROW(S24),基本資料填寫!$A:$DN,COLUMN(基本資料填寫!Z25),0),"")</f>
        <v/>
      </c>
      <c r="M25" s="47" t="str">
        <f>IFERROR(VLOOKUP($A$1&amp;"-"&amp;ROW(T24),基本資料填寫!$A:$DN,COLUMN(基本資料填寫!AA25),0),"")</f>
        <v/>
      </c>
      <c r="N25" s="47" t="str">
        <f>IFERROR(VLOOKUP($A$1&amp;"-"&amp;ROW(AB24),基本資料填寫!$A:$DN,COLUMN(基本資料填寫!BY25),0),"")</f>
        <v/>
      </c>
      <c r="O25" s="47" t="str">
        <f>IFERROR(VLOOKUP($A$1&amp;"-"&amp;ROW(AC24),基本資料填寫!$A:$DN,COLUMN(基本資料填寫!BZ25),0),"")</f>
        <v/>
      </c>
      <c r="P25" s="47" t="str">
        <f>IFERROR(VLOOKUP($A$1&amp;"-"&amp;ROW(AD24),基本資料填寫!$A:$DN,COLUMN(基本資料填寫!CA25),0),"")</f>
        <v/>
      </c>
      <c r="Q25" s="47" t="str">
        <f>IFERROR(VLOOKUP($A$1&amp;"-"&amp;ROW(J24),基本資料填寫!$A:$DN,COLUMN(基本資料填寫!AO25),0),"")</f>
        <v/>
      </c>
      <c r="R25" s="47" t="str">
        <f>IFERROR(VLOOKUP($A$1&amp;"-"&amp;ROW(AE24),基本資料填寫!$A:$DN,COLUMN(基本資料填寫!CB25),0),"")</f>
        <v/>
      </c>
      <c r="S25" s="47" t="str">
        <f>IFERROR(VLOOKUP($A$1&amp;"-"&amp;ROW(AF24),基本資料填寫!$A:$DN,COLUMN(基本資料填寫!CC25),0),"")</f>
        <v/>
      </c>
      <c r="T25" s="47" t="str">
        <f>IFERROR(VLOOKUP($A$1&amp;"-"&amp;ROW(AG24),基本資料填寫!$A:$DN,COLUMN(基本資料填寫!CD25),0),"")</f>
        <v/>
      </c>
      <c r="U25" s="47" t="str">
        <f>IFERROR(VLOOKUP($A$1&amp;"-"&amp;ROW(AH24),基本資料填寫!$A:$DN,COLUMN(基本資料填寫!CE25),0),"")</f>
        <v/>
      </c>
      <c r="V25" s="47" t="str">
        <f>IFERROR(VLOOKUP($A$1&amp;"-"&amp;ROW(AI24),基本資料填寫!$A:$DN,COLUMN(基本資料填寫!CF25),0),"")</f>
        <v/>
      </c>
      <c r="W25" s="47" t="str">
        <f>IFERROR(VLOOKUP($A$1&amp;"-"&amp;ROW(AJ24),基本資料填寫!$A:$DN,COLUMN(基本資料填寫!CG25),0),"")</f>
        <v/>
      </c>
      <c r="X25" s="47" t="str">
        <f>IFERROR(VLOOKUP($A$1&amp;"-"&amp;ROW(AK24),基本資料填寫!$A:$DN,COLUMN(基本資料填寫!CH25),0),"")</f>
        <v/>
      </c>
      <c r="Y25" s="47" t="str">
        <f>IFERROR(VLOOKUP($A$1&amp;"-"&amp;ROW(AL24),基本資料填寫!$A:$DN,COLUMN(基本資料填寫!CI25),0),"")</f>
        <v/>
      </c>
      <c r="Z25" s="47" t="str">
        <f>IFERROR(VLOOKUP($A$1&amp;"-"&amp;ROW(H24),基本資料填寫!$A:$DN,COLUMN(基本資料填寫!O25),0),"")</f>
        <v/>
      </c>
      <c r="AA25" s="47" t="str">
        <f>IFERROR(VLOOKUP($A$1&amp;"-"&amp;ROW(AM24),基本資料填寫!$A:$DN,COLUMN(基本資料填寫!CJ25),0),"")</f>
        <v/>
      </c>
      <c r="AB25" s="47" t="str">
        <f>IFERROR(VLOOKUP($A$1&amp;"-"&amp;ROW(AN24),基本資料填寫!$A:$DN,COLUMN(基本資料填寫!CK25),0),"")</f>
        <v/>
      </c>
      <c r="AC25" s="47" t="str">
        <f>IFERROR(VLOOKUP($A$1&amp;"-"&amp;ROW(AP24),基本資料填寫!$A:$DN,COLUMN(基本資料填寫!CN25),0),"")</f>
        <v/>
      </c>
      <c r="AD25" s="47" t="str">
        <f>IFERROR(VLOOKUP($A$1&amp;"-"&amp;ROW(AQ24),基本資料填寫!$A:$DN,COLUMN(基本資料填寫!CO25),0),"")</f>
        <v/>
      </c>
      <c r="AE25" s="47" t="str">
        <f>IFERROR(VLOOKUP($A$1&amp;"-"&amp;ROW(AR24),基本資料填寫!$A:$DN,COLUMN(基本資料填寫!CP25),0),"")</f>
        <v/>
      </c>
      <c r="AF25" s="47" t="str">
        <f>IFERROR(VLOOKUP($A$1&amp;"-"&amp;ROW(AS24),基本資料填寫!$A:$DN,COLUMN(基本資料填寫!CQ25),0),"")</f>
        <v/>
      </c>
      <c r="AG25" s="47" t="str">
        <f>IFERROR(VLOOKUP($A$1&amp;"-"&amp;ROW(AT24),基本資料填寫!$A:$DN,COLUMN(基本資料填寫!CR25),0),"")</f>
        <v/>
      </c>
      <c r="AH25" s="47" t="str">
        <f>IFERROR(VLOOKUP($A$1&amp;"-"&amp;ROW(AU24),基本資料填寫!$A:$DN,COLUMN(基本資料填寫!CS25),0),"")</f>
        <v/>
      </c>
      <c r="AI25" s="47" t="str">
        <f>IFERROR(VLOOKUP($A$1&amp;"-"&amp;ROW(P24),基本資料填寫!$A:$DN,COLUMN(基本資料填寫!X25),0),"")</f>
        <v/>
      </c>
      <c r="AJ25" s="47" t="str">
        <f>IFERROR(VLOOKUP($A$1&amp;"-"&amp;ROW(AV24),基本資料填寫!$A:$DN,COLUMN(基本資料填寫!CT25),0),"")</f>
        <v/>
      </c>
      <c r="AK25" s="47" t="str">
        <f>IFERROR(VLOOKUP($A$1&amp;"-"&amp;ROW(AC24),基本資料填寫!$A:$DN,COLUMN(基本資料填寫!AQ25),0),"")</f>
        <v/>
      </c>
      <c r="AL25" s="47" t="str">
        <f>IFERROR(VLOOKUP($A$1&amp;"-"&amp;ROW(AO24),基本資料填寫!$A:$DN,COLUMN(基本資料填寫!CM25),0),"")</f>
        <v/>
      </c>
      <c r="AM25" s="47" t="str">
        <f>IFERROR(VLOOKUP($A$1&amp;"-"&amp;ROW(AD24),基本資料填寫!$A:$DN,COLUMN(基本資料填寫!AR25),0),"")</f>
        <v/>
      </c>
      <c r="AN25" s="47" t="str">
        <f>IFERROR(VLOOKUP($A$1&amp;"-"&amp;ROW(K24),基本資料填寫!$A:$DN,COLUMN(基本資料填寫!AP25),0),"")</f>
        <v/>
      </c>
      <c r="AO25" s="47" t="str">
        <f>IFERROR(VLOOKUP($A$1&amp;"-"&amp;ROW(J24),基本資料填寫!$A:$DN,COLUMN(基本資料填寫!AO25),0),"")</f>
        <v/>
      </c>
      <c r="AP25" s="47" t="str">
        <f>IFERROR(VLOOKUP($A$1&amp;"-"&amp;ROW(AE24),基本資料填寫!$A:$DN,COLUMN(基本資料填寫!AS25),0),"")</f>
        <v/>
      </c>
      <c r="AQ25" s="47" t="str">
        <f>IFERROR(VLOOKUP($A$1&amp;"-"&amp;ROW(AF24),基本資料填寫!$A:$DN,COLUMN(基本資料填寫!AT25),0),"")</f>
        <v/>
      </c>
      <c r="AR25" s="47" t="str">
        <f>IFERROR(VLOOKUP($A$1&amp;"-"&amp;ROW(AG24),基本資料填寫!$A:$DN,COLUMN(基本資料填寫!AU25),0),"")</f>
        <v/>
      </c>
      <c r="AS25" s="47" t="str">
        <f>IFERROR(VLOOKUP($A$1&amp;"-"&amp;ROW(AH24),基本資料填寫!$A:$DN,COLUMN(基本資料填寫!AV25),0),"")</f>
        <v/>
      </c>
      <c r="AT25" s="47" t="str">
        <f>IFERROR(VLOOKUP($A$1&amp;"-"&amp;ROW(AI24),基本資料填寫!$A:$DN,COLUMN(基本資料填寫!AW25),0),"")</f>
        <v/>
      </c>
      <c r="AU25" s="47" t="str">
        <f>IFERROR(VLOOKUP($A$1&amp;"-"&amp;ROW(AJ24),基本資料填寫!$A:$DN,COLUMN(基本資料填寫!AX25),0),"")</f>
        <v/>
      </c>
      <c r="AV25" s="47" t="str">
        <f>IFERROR(VLOOKUP($A$1&amp;"-"&amp;ROW(AK24),基本資料填寫!$A:$DN,COLUMN(基本資料填寫!AY25),0),"")</f>
        <v/>
      </c>
      <c r="AW25" s="47" t="str">
        <f>IFERROR(VLOOKUP($A$1&amp;"-"&amp;ROW(AL24),基本資料填寫!$A:$DN,COLUMN(基本資料填寫!AZ25),0),"")</f>
        <v/>
      </c>
      <c r="AX25" s="47" t="str">
        <f>IFERROR(VLOOKUP($A$1&amp;"-"&amp;ROW(AM24),基本資料填寫!$A:$DN,COLUMN(基本資料填寫!BA25),0),"")</f>
        <v/>
      </c>
      <c r="AY25" s="47" t="str">
        <f>IFERROR(VLOOKUP($A$1&amp;"-"&amp;ROW(AN24),基本資料填寫!$A:$DN,COLUMN(基本資料填寫!BB25),0),"")</f>
        <v/>
      </c>
      <c r="AZ25" s="47" t="str">
        <f>IFERROR(VLOOKUP($A$1&amp;"-"&amp;ROW(AO24),基本資料填寫!$A:$DN,COLUMN(基本資料填寫!BC25),0),"")</f>
        <v/>
      </c>
      <c r="BA25" s="47" t="str">
        <f>IFERROR(VLOOKUP($A$1&amp;"-"&amp;ROW(AP24),基本資料填寫!$A:$DN,COLUMN(基本資料填寫!BD25),0),"")</f>
        <v/>
      </c>
      <c r="BB25" s="47" t="str">
        <f>IFERROR(VLOOKUP($A$1&amp;"-"&amp;ROW(AQ24),基本資料填寫!$A:$DN,COLUMN(基本資料填寫!BE25),0),"")</f>
        <v/>
      </c>
      <c r="BC25" s="47" t="str">
        <f>IFERROR(VLOOKUP($A$1&amp;"-"&amp;ROW(AR24),基本資料填寫!$A:$DN,COLUMN(基本資料填寫!BF25),0),"")</f>
        <v/>
      </c>
      <c r="BD25" s="47" t="str">
        <f>IFERROR(VLOOKUP($A$1&amp;"-"&amp;ROW(AS24),基本資料填寫!$A:$DN,COLUMN(基本資料填寫!BG25),0),"")</f>
        <v/>
      </c>
      <c r="BE25" s="47" t="str">
        <f>IFERROR(VLOOKUP($A$1&amp;"-"&amp;ROW(AT24),基本資料填寫!$A:$DN,COLUMN(基本資料填寫!BH25),0),"")</f>
        <v/>
      </c>
      <c r="BF25" s="47" t="str">
        <f>IFERROR(VLOOKUP($A$1&amp;"-"&amp;ROW(AU24),基本資料填寫!$A:$DN,COLUMN(基本資料填寫!BI25),0),"")</f>
        <v/>
      </c>
      <c r="BG25" s="47" t="str">
        <f>IFERROR(VLOOKUP($A$1&amp;"-"&amp;ROW(AV24),基本資料填寫!$A:$DN,COLUMN(基本資料填寫!BJ25),0),"")</f>
        <v/>
      </c>
      <c r="BH25" s="47" t="str">
        <f>IFERROR(VLOOKUP($A$1&amp;"-"&amp;ROW(AW24),基本資料填寫!$A:$DN,COLUMN(基本資料填寫!BK25),0),"")</f>
        <v/>
      </c>
      <c r="BI25" s="47" t="str">
        <f>IFERROR(VLOOKUP($A$1&amp;"-"&amp;ROW(AX24),基本資料填寫!$A:$DN,COLUMN(基本資料填寫!BL25),0),"")</f>
        <v/>
      </c>
      <c r="BJ25" s="47" t="str">
        <f>IFERROR(VLOOKUP($A$1&amp;"-"&amp;ROW(AY24),基本資料填寫!$A:$DN,COLUMN(基本資料填寫!BM25),0),"")</f>
        <v/>
      </c>
      <c r="BK25" s="47" t="str">
        <f>IFERROR(VLOOKUP($A$1&amp;"-"&amp;ROW(AZ24),基本資料填寫!$A:$DN,COLUMN(基本資料填寫!BN25),0),"")</f>
        <v/>
      </c>
      <c r="BL25" s="47" t="str">
        <f>IFERROR(VLOOKUP($A$1&amp;"-"&amp;ROW(BA24),基本資料填寫!$A:$DN,COLUMN(基本資料填寫!BO25),0),"")</f>
        <v/>
      </c>
      <c r="BM25" s="47" t="str">
        <f>IFERROR(VLOOKUP($A$1&amp;"-"&amp;ROW(BB24),基本資料填寫!$A:$DN,COLUMN(基本資料填寫!BP25),0),"")</f>
        <v/>
      </c>
      <c r="BN25" s="47" t="str">
        <f>IFERROR(VLOOKUP($A$1&amp;"-"&amp;ROW(BC24),基本資料填寫!$A:$DN,COLUMN(基本資料填寫!BQ25),0),"")</f>
        <v/>
      </c>
      <c r="BO25" s="47" t="str">
        <f>IFERROR(VLOOKUP($A$1&amp;"-"&amp;ROW(BD24),基本資料填寫!$A:$DN,COLUMN(基本資料填寫!BR25),0),"")</f>
        <v/>
      </c>
    </row>
    <row r="26" spans="2:67" x14ac:dyDescent="0.3">
      <c r="B26" s="47" t="str">
        <f>IFERROR(VLOOKUP($A$1&amp;"-"&amp;ROW(A25),基本資料填寫!$A:$DN,COLUMN(基本資料填寫!K26),0),"")</f>
        <v/>
      </c>
      <c r="C26" s="47" t="str">
        <f>IFERROR(VLOOKUP($A$1&amp;"-"&amp;ROW(B25),基本資料填寫!$A:$DN,COLUMN(基本資料填寫!L26),0),"")</f>
        <v/>
      </c>
      <c r="D26" s="47" t="str">
        <f>IF(E26="","",COUNTA($E$2:E26))</f>
        <v/>
      </c>
      <c r="E26" s="47" t="str">
        <f>IFERROR(VLOOKUP($A$1&amp;"-"&amp;ROW(E25),基本資料填寫!$A:$DN,COLUMN(基本資料填寫!S26),0),"")</f>
        <v/>
      </c>
      <c r="G26" s="47" t="str">
        <f>IFERROR(VLOOKUP($A$1&amp;"-"&amp;ROW(G25),基本資料填寫!$A:$DN,COLUMN(基本資料填寫!V26),0),"")</f>
        <v/>
      </c>
      <c r="H26" s="47" t="str">
        <f>IFERROR(VLOOKUP($A$1&amp;"-"&amp;ROW(BI25),基本資料填寫!$A:$DN,COLUMN(基本資料填寫!BW26),0),"")</f>
        <v/>
      </c>
      <c r="I26" s="47" t="str">
        <f>IFERROR(VLOOKUP($A$1&amp;"-"&amp;ROW(I25),基本資料填寫!$A:$DN,COLUMN(基本資料填寫!AN26),0),"")</f>
        <v/>
      </c>
      <c r="J26" s="47" t="str">
        <f>IFERROR(VLOOKUP($A$1&amp;"-"&amp;ROW(K25),基本資料填寫!$A:$DN,COLUMN(基本資料填寫!R26),0),"")</f>
        <v/>
      </c>
      <c r="K26" s="47" t="str">
        <f>IFERROR(VLOOKUP($A$1&amp;"-"&amp;ROW(AA25),基本資料填寫!$A:$DN,COLUMN(基本資料填寫!BX26),0),"")</f>
        <v/>
      </c>
      <c r="L26" s="47" t="str">
        <f>IFERROR(VLOOKUP($A$1&amp;"-"&amp;ROW(S25),基本資料填寫!$A:$DN,COLUMN(基本資料填寫!Z26),0),"")</f>
        <v/>
      </c>
      <c r="M26" s="47" t="str">
        <f>IFERROR(VLOOKUP($A$1&amp;"-"&amp;ROW(T25),基本資料填寫!$A:$DN,COLUMN(基本資料填寫!AA26),0),"")</f>
        <v/>
      </c>
      <c r="N26" s="47" t="str">
        <f>IFERROR(VLOOKUP($A$1&amp;"-"&amp;ROW(AB25),基本資料填寫!$A:$DN,COLUMN(基本資料填寫!BY26),0),"")</f>
        <v/>
      </c>
      <c r="O26" s="47" t="str">
        <f>IFERROR(VLOOKUP($A$1&amp;"-"&amp;ROW(AC25),基本資料填寫!$A:$DN,COLUMN(基本資料填寫!BZ26),0),"")</f>
        <v/>
      </c>
      <c r="P26" s="47" t="str">
        <f>IFERROR(VLOOKUP($A$1&amp;"-"&amp;ROW(AD25),基本資料填寫!$A:$DN,COLUMN(基本資料填寫!CA26),0),"")</f>
        <v/>
      </c>
      <c r="Q26" s="47" t="str">
        <f>IFERROR(VLOOKUP($A$1&amp;"-"&amp;ROW(J25),基本資料填寫!$A:$DN,COLUMN(基本資料填寫!AO26),0),"")</f>
        <v/>
      </c>
      <c r="R26" s="47" t="str">
        <f>IFERROR(VLOOKUP($A$1&amp;"-"&amp;ROW(AE25),基本資料填寫!$A:$DN,COLUMN(基本資料填寫!CB26),0),"")</f>
        <v/>
      </c>
      <c r="S26" s="47" t="str">
        <f>IFERROR(VLOOKUP($A$1&amp;"-"&amp;ROW(AF25),基本資料填寫!$A:$DN,COLUMN(基本資料填寫!CC26),0),"")</f>
        <v/>
      </c>
      <c r="T26" s="47" t="str">
        <f>IFERROR(VLOOKUP($A$1&amp;"-"&amp;ROW(AG25),基本資料填寫!$A:$DN,COLUMN(基本資料填寫!CD26),0),"")</f>
        <v/>
      </c>
      <c r="U26" s="47" t="str">
        <f>IFERROR(VLOOKUP($A$1&amp;"-"&amp;ROW(AH25),基本資料填寫!$A:$DN,COLUMN(基本資料填寫!CE26),0),"")</f>
        <v/>
      </c>
      <c r="V26" s="47" t="str">
        <f>IFERROR(VLOOKUP($A$1&amp;"-"&amp;ROW(AI25),基本資料填寫!$A:$DN,COLUMN(基本資料填寫!CF26),0),"")</f>
        <v/>
      </c>
      <c r="W26" s="47" t="str">
        <f>IFERROR(VLOOKUP($A$1&amp;"-"&amp;ROW(AJ25),基本資料填寫!$A:$DN,COLUMN(基本資料填寫!CG26),0),"")</f>
        <v/>
      </c>
      <c r="X26" s="47" t="str">
        <f>IFERROR(VLOOKUP($A$1&amp;"-"&amp;ROW(AK25),基本資料填寫!$A:$DN,COLUMN(基本資料填寫!CH26),0),"")</f>
        <v/>
      </c>
      <c r="Y26" s="47" t="str">
        <f>IFERROR(VLOOKUP($A$1&amp;"-"&amp;ROW(AL25),基本資料填寫!$A:$DN,COLUMN(基本資料填寫!CI26),0),"")</f>
        <v/>
      </c>
      <c r="Z26" s="47" t="str">
        <f>IFERROR(VLOOKUP($A$1&amp;"-"&amp;ROW(H25),基本資料填寫!$A:$DN,COLUMN(基本資料填寫!O26),0),"")</f>
        <v/>
      </c>
      <c r="AA26" s="47" t="str">
        <f>IFERROR(VLOOKUP($A$1&amp;"-"&amp;ROW(AM25),基本資料填寫!$A:$DN,COLUMN(基本資料填寫!CJ26),0),"")</f>
        <v/>
      </c>
      <c r="AB26" s="47" t="str">
        <f>IFERROR(VLOOKUP($A$1&amp;"-"&amp;ROW(AN25),基本資料填寫!$A:$DN,COLUMN(基本資料填寫!CK26),0),"")</f>
        <v/>
      </c>
      <c r="AC26" s="47" t="str">
        <f>IFERROR(VLOOKUP($A$1&amp;"-"&amp;ROW(AP25),基本資料填寫!$A:$DN,COLUMN(基本資料填寫!CN26),0),"")</f>
        <v/>
      </c>
      <c r="AD26" s="47" t="str">
        <f>IFERROR(VLOOKUP($A$1&amp;"-"&amp;ROW(AQ25),基本資料填寫!$A:$DN,COLUMN(基本資料填寫!CO26),0),"")</f>
        <v/>
      </c>
      <c r="AE26" s="47" t="str">
        <f>IFERROR(VLOOKUP($A$1&amp;"-"&amp;ROW(AR25),基本資料填寫!$A:$DN,COLUMN(基本資料填寫!CP26),0),"")</f>
        <v/>
      </c>
      <c r="AF26" s="47" t="str">
        <f>IFERROR(VLOOKUP($A$1&amp;"-"&amp;ROW(AS25),基本資料填寫!$A:$DN,COLUMN(基本資料填寫!CQ26),0),"")</f>
        <v/>
      </c>
      <c r="AG26" s="47" t="str">
        <f>IFERROR(VLOOKUP($A$1&amp;"-"&amp;ROW(AT25),基本資料填寫!$A:$DN,COLUMN(基本資料填寫!CR26),0),"")</f>
        <v/>
      </c>
      <c r="AH26" s="47" t="str">
        <f>IFERROR(VLOOKUP($A$1&amp;"-"&amp;ROW(AU25),基本資料填寫!$A:$DN,COLUMN(基本資料填寫!CS26),0),"")</f>
        <v/>
      </c>
      <c r="AI26" s="47" t="str">
        <f>IFERROR(VLOOKUP($A$1&amp;"-"&amp;ROW(P25),基本資料填寫!$A:$DN,COLUMN(基本資料填寫!X26),0),"")</f>
        <v/>
      </c>
      <c r="AJ26" s="47" t="str">
        <f>IFERROR(VLOOKUP($A$1&amp;"-"&amp;ROW(AV25),基本資料填寫!$A:$DN,COLUMN(基本資料填寫!CT26),0),"")</f>
        <v/>
      </c>
      <c r="AK26" s="47" t="str">
        <f>IFERROR(VLOOKUP($A$1&amp;"-"&amp;ROW(AC25),基本資料填寫!$A:$DN,COLUMN(基本資料填寫!AQ26),0),"")</f>
        <v/>
      </c>
      <c r="AL26" s="47" t="str">
        <f>IFERROR(VLOOKUP($A$1&amp;"-"&amp;ROW(AO25),基本資料填寫!$A:$DN,COLUMN(基本資料填寫!CM26),0),"")</f>
        <v/>
      </c>
      <c r="AM26" s="47" t="str">
        <f>IFERROR(VLOOKUP($A$1&amp;"-"&amp;ROW(AD25),基本資料填寫!$A:$DN,COLUMN(基本資料填寫!AR26),0),"")</f>
        <v/>
      </c>
      <c r="AN26" s="47" t="str">
        <f>IFERROR(VLOOKUP($A$1&amp;"-"&amp;ROW(K25),基本資料填寫!$A:$DN,COLUMN(基本資料填寫!AP26),0),"")</f>
        <v/>
      </c>
      <c r="AO26" s="47" t="str">
        <f>IFERROR(VLOOKUP($A$1&amp;"-"&amp;ROW(J25),基本資料填寫!$A:$DN,COLUMN(基本資料填寫!AO26),0),"")</f>
        <v/>
      </c>
      <c r="AP26" s="47" t="str">
        <f>IFERROR(VLOOKUP($A$1&amp;"-"&amp;ROW(AE25),基本資料填寫!$A:$DN,COLUMN(基本資料填寫!AS26),0),"")</f>
        <v/>
      </c>
      <c r="AQ26" s="47" t="str">
        <f>IFERROR(VLOOKUP($A$1&amp;"-"&amp;ROW(AF25),基本資料填寫!$A:$DN,COLUMN(基本資料填寫!AT26),0),"")</f>
        <v/>
      </c>
      <c r="AR26" s="47" t="str">
        <f>IFERROR(VLOOKUP($A$1&amp;"-"&amp;ROW(AG25),基本資料填寫!$A:$DN,COLUMN(基本資料填寫!AU26),0),"")</f>
        <v/>
      </c>
      <c r="AS26" s="47" t="str">
        <f>IFERROR(VLOOKUP($A$1&amp;"-"&amp;ROW(AH25),基本資料填寫!$A:$DN,COLUMN(基本資料填寫!AV26),0),"")</f>
        <v/>
      </c>
      <c r="AT26" s="47" t="str">
        <f>IFERROR(VLOOKUP($A$1&amp;"-"&amp;ROW(AI25),基本資料填寫!$A:$DN,COLUMN(基本資料填寫!AW26),0),"")</f>
        <v/>
      </c>
      <c r="AU26" s="47" t="str">
        <f>IFERROR(VLOOKUP($A$1&amp;"-"&amp;ROW(AJ25),基本資料填寫!$A:$DN,COLUMN(基本資料填寫!AX26),0),"")</f>
        <v/>
      </c>
      <c r="AV26" s="47" t="str">
        <f>IFERROR(VLOOKUP($A$1&amp;"-"&amp;ROW(AK25),基本資料填寫!$A:$DN,COLUMN(基本資料填寫!AY26),0),"")</f>
        <v/>
      </c>
      <c r="AW26" s="47" t="str">
        <f>IFERROR(VLOOKUP($A$1&amp;"-"&amp;ROW(AL25),基本資料填寫!$A:$DN,COLUMN(基本資料填寫!AZ26),0),"")</f>
        <v/>
      </c>
      <c r="AX26" s="47" t="str">
        <f>IFERROR(VLOOKUP($A$1&amp;"-"&amp;ROW(AM25),基本資料填寫!$A:$DN,COLUMN(基本資料填寫!BA26),0),"")</f>
        <v/>
      </c>
      <c r="AY26" s="47" t="str">
        <f>IFERROR(VLOOKUP($A$1&amp;"-"&amp;ROW(AN25),基本資料填寫!$A:$DN,COLUMN(基本資料填寫!BB26),0),"")</f>
        <v/>
      </c>
      <c r="AZ26" s="47" t="str">
        <f>IFERROR(VLOOKUP($A$1&amp;"-"&amp;ROW(AO25),基本資料填寫!$A:$DN,COLUMN(基本資料填寫!BC26),0),"")</f>
        <v/>
      </c>
      <c r="BA26" s="47" t="str">
        <f>IFERROR(VLOOKUP($A$1&amp;"-"&amp;ROW(AP25),基本資料填寫!$A:$DN,COLUMN(基本資料填寫!BD26),0),"")</f>
        <v/>
      </c>
      <c r="BB26" s="47" t="str">
        <f>IFERROR(VLOOKUP($A$1&amp;"-"&amp;ROW(AQ25),基本資料填寫!$A:$DN,COLUMN(基本資料填寫!BE26),0),"")</f>
        <v/>
      </c>
      <c r="BC26" s="47" t="str">
        <f>IFERROR(VLOOKUP($A$1&amp;"-"&amp;ROW(AR25),基本資料填寫!$A:$DN,COLUMN(基本資料填寫!BF26),0),"")</f>
        <v/>
      </c>
      <c r="BD26" s="47" t="str">
        <f>IFERROR(VLOOKUP($A$1&amp;"-"&amp;ROW(AS25),基本資料填寫!$A:$DN,COLUMN(基本資料填寫!BG26),0),"")</f>
        <v/>
      </c>
      <c r="BE26" s="47" t="str">
        <f>IFERROR(VLOOKUP($A$1&amp;"-"&amp;ROW(AT25),基本資料填寫!$A:$DN,COLUMN(基本資料填寫!BH26),0),"")</f>
        <v/>
      </c>
      <c r="BF26" s="47" t="str">
        <f>IFERROR(VLOOKUP($A$1&amp;"-"&amp;ROW(AU25),基本資料填寫!$A:$DN,COLUMN(基本資料填寫!BI26),0),"")</f>
        <v/>
      </c>
      <c r="BG26" s="47" t="str">
        <f>IFERROR(VLOOKUP($A$1&amp;"-"&amp;ROW(AV25),基本資料填寫!$A:$DN,COLUMN(基本資料填寫!BJ26),0),"")</f>
        <v/>
      </c>
      <c r="BH26" s="47" t="str">
        <f>IFERROR(VLOOKUP($A$1&amp;"-"&amp;ROW(AW25),基本資料填寫!$A:$DN,COLUMN(基本資料填寫!BK26),0),"")</f>
        <v/>
      </c>
      <c r="BI26" s="47" t="str">
        <f>IFERROR(VLOOKUP($A$1&amp;"-"&amp;ROW(AX25),基本資料填寫!$A:$DN,COLUMN(基本資料填寫!BL26),0),"")</f>
        <v/>
      </c>
      <c r="BJ26" s="47" t="str">
        <f>IFERROR(VLOOKUP($A$1&amp;"-"&amp;ROW(AY25),基本資料填寫!$A:$DN,COLUMN(基本資料填寫!BM26),0),"")</f>
        <v/>
      </c>
      <c r="BK26" s="47" t="str">
        <f>IFERROR(VLOOKUP($A$1&amp;"-"&amp;ROW(AZ25),基本資料填寫!$A:$DN,COLUMN(基本資料填寫!BN26),0),"")</f>
        <v/>
      </c>
      <c r="BL26" s="47" t="str">
        <f>IFERROR(VLOOKUP($A$1&amp;"-"&amp;ROW(BA25),基本資料填寫!$A:$DN,COLUMN(基本資料填寫!BO26),0),"")</f>
        <v/>
      </c>
      <c r="BM26" s="47" t="str">
        <f>IFERROR(VLOOKUP($A$1&amp;"-"&amp;ROW(BB25),基本資料填寫!$A:$DN,COLUMN(基本資料填寫!BP26),0),"")</f>
        <v/>
      </c>
      <c r="BN26" s="47" t="str">
        <f>IFERROR(VLOOKUP($A$1&amp;"-"&amp;ROW(BC25),基本資料填寫!$A:$DN,COLUMN(基本資料填寫!BQ26),0),"")</f>
        <v/>
      </c>
      <c r="BO26" s="47" t="str">
        <f>IFERROR(VLOOKUP($A$1&amp;"-"&amp;ROW(BD25),基本資料填寫!$A:$DN,COLUMN(基本資料填寫!BR26),0),"")</f>
        <v/>
      </c>
    </row>
    <row r="27" spans="2:67" x14ac:dyDescent="0.3">
      <c r="B27" s="47" t="str">
        <f>IFERROR(VLOOKUP($A$1&amp;"-"&amp;ROW(A26),基本資料填寫!$A:$DN,COLUMN(基本資料填寫!K27),0),"")</f>
        <v/>
      </c>
      <c r="C27" s="47" t="str">
        <f>IFERROR(VLOOKUP($A$1&amp;"-"&amp;ROW(B26),基本資料填寫!$A:$DN,COLUMN(基本資料填寫!L27),0),"")</f>
        <v/>
      </c>
      <c r="D27" s="47" t="str">
        <f>IF(E27="","",COUNTA($E$2:E27))</f>
        <v/>
      </c>
      <c r="E27" s="47" t="str">
        <f>IFERROR(VLOOKUP($A$1&amp;"-"&amp;ROW(E26),基本資料填寫!$A:$DN,COLUMN(基本資料填寫!S27),0),"")</f>
        <v/>
      </c>
      <c r="G27" s="47" t="str">
        <f>IFERROR(VLOOKUP($A$1&amp;"-"&amp;ROW(G26),基本資料填寫!$A:$DN,COLUMN(基本資料填寫!V27),0),"")</f>
        <v/>
      </c>
      <c r="H27" s="47" t="str">
        <f>IFERROR(VLOOKUP($A$1&amp;"-"&amp;ROW(BI26),基本資料填寫!$A:$DN,COLUMN(基本資料填寫!BW27),0),"")</f>
        <v/>
      </c>
      <c r="I27" s="47" t="str">
        <f>IFERROR(VLOOKUP($A$1&amp;"-"&amp;ROW(I26),基本資料填寫!$A:$DN,COLUMN(基本資料填寫!AN27),0),"")</f>
        <v/>
      </c>
      <c r="J27" s="47" t="str">
        <f>IFERROR(VLOOKUP($A$1&amp;"-"&amp;ROW(K26),基本資料填寫!$A:$DN,COLUMN(基本資料填寫!R27),0),"")</f>
        <v/>
      </c>
      <c r="K27" s="47" t="str">
        <f>IFERROR(VLOOKUP($A$1&amp;"-"&amp;ROW(AA26),基本資料填寫!$A:$DN,COLUMN(基本資料填寫!BX27),0),"")</f>
        <v/>
      </c>
      <c r="L27" s="47" t="str">
        <f>IFERROR(VLOOKUP($A$1&amp;"-"&amp;ROW(S26),基本資料填寫!$A:$DN,COLUMN(基本資料填寫!Z27),0),"")</f>
        <v/>
      </c>
      <c r="M27" s="47" t="str">
        <f>IFERROR(VLOOKUP($A$1&amp;"-"&amp;ROW(T26),基本資料填寫!$A:$DN,COLUMN(基本資料填寫!AA27),0),"")</f>
        <v/>
      </c>
      <c r="N27" s="47" t="str">
        <f>IFERROR(VLOOKUP($A$1&amp;"-"&amp;ROW(AB26),基本資料填寫!$A:$DN,COLUMN(基本資料填寫!BY27),0),"")</f>
        <v/>
      </c>
      <c r="O27" s="47" t="str">
        <f>IFERROR(VLOOKUP($A$1&amp;"-"&amp;ROW(AC26),基本資料填寫!$A:$DN,COLUMN(基本資料填寫!BZ27),0),"")</f>
        <v/>
      </c>
      <c r="P27" s="47" t="str">
        <f>IFERROR(VLOOKUP($A$1&amp;"-"&amp;ROW(AD26),基本資料填寫!$A:$DN,COLUMN(基本資料填寫!CA27),0),"")</f>
        <v/>
      </c>
      <c r="Q27" s="47" t="str">
        <f>IFERROR(VLOOKUP($A$1&amp;"-"&amp;ROW(J26),基本資料填寫!$A:$DN,COLUMN(基本資料填寫!AO27),0),"")</f>
        <v/>
      </c>
      <c r="R27" s="47" t="str">
        <f>IFERROR(VLOOKUP($A$1&amp;"-"&amp;ROW(AE26),基本資料填寫!$A:$DN,COLUMN(基本資料填寫!CB27),0),"")</f>
        <v/>
      </c>
      <c r="S27" s="47" t="str">
        <f>IFERROR(VLOOKUP($A$1&amp;"-"&amp;ROW(AF26),基本資料填寫!$A:$DN,COLUMN(基本資料填寫!CC27),0),"")</f>
        <v/>
      </c>
      <c r="T27" s="47" t="str">
        <f>IFERROR(VLOOKUP($A$1&amp;"-"&amp;ROW(AG26),基本資料填寫!$A:$DN,COLUMN(基本資料填寫!CD27),0),"")</f>
        <v/>
      </c>
      <c r="U27" s="47" t="str">
        <f>IFERROR(VLOOKUP($A$1&amp;"-"&amp;ROW(AH26),基本資料填寫!$A:$DN,COLUMN(基本資料填寫!CE27),0),"")</f>
        <v/>
      </c>
      <c r="V27" s="47" t="str">
        <f>IFERROR(VLOOKUP($A$1&amp;"-"&amp;ROW(AI26),基本資料填寫!$A:$DN,COLUMN(基本資料填寫!CF27),0),"")</f>
        <v/>
      </c>
      <c r="W27" s="47" t="str">
        <f>IFERROR(VLOOKUP($A$1&amp;"-"&amp;ROW(AJ26),基本資料填寫!$A:$DN,COLUMN(基本資料填寫!CG27),0),"")</f>
        <v/>
      </c>
      <c r="X27" s="47" t="str">
        <f>IFERROR(VLOOKUP($A$1&amp;"-"&amp;ROW(AK26),基本資料填寫!$A:$DN,COLUMN(基本資料填寫!CH27),0),"")</f>
        <v/>
      </c>
      <c r="Y27" s="47" t="str">
        <f>IFERROR(VLOOKUP($A$1&amp;"-"&amp;ROW(AL26),基本資料填寫!$A:$DN,COLUMN(基本資料填寫!CI27),0),"")</f>
        <v/>
      </c>
      <c r="Z27" s="47" t="str">
        <f>IFERROR(VLOOKUP($A$1&amp;"-"&amp;ROW(H26),基本資料填寫!$A:$DN,COLUMN(基本資料填寫!O27),0),"")</f>
        <v/>
      </c>
      <c r="AA27" s="47" t="str">
        <f>IFERROR(VLOOKUP($A$1&amp;"-"&amp;ROW(AM26),基本資料填寫!$A:$DN,COLUMN(基本資料填寫!CJ27),0),"")</f>
        <v/>
      </c>
      <c r="AB27" s="47" t="str">
        <f>IFERROR(VLOOKUP($A$1&amp;"-"&amp;ROW(AN26),基本資料填寫!$A:$DN,COLUMN(基本資料填寫!CK27),0),"")</f>
        <v/>
      </c>
      <c r="AC27" s="47" t="str">
        <f>IFERROR(VLOOKUP($A$1&amp;"-"&amp;ROW(AP26),基本資料填寫!$A:$DN,COLUMN(基本資料填寫!CN27),0),"")</f>
        <v/>
      </c>
      <c r="AD27" s="47" t="str">
        <f>IFERROR(VLOOKUP($A$1&amp;"-"&amp;ROW(AQ26),基本資料填寫!$A:$DN,COLUMN(基本資料填寫!CO27),0),"")</f>
        <v/>
      </c>
      <c r="AE27" s="47" t="str">
        <f>IFERROR(VLOOKUP($A$1&amp;"-"&amp;ROW(AR26),基本資料填寫!$A:$DN,COLUMN(基本資料填寫!CP27),0),"")</f>
        <v/>
      </c>
      <c r="AF27" s="47" t="str">
        <f>IFERROR(VLOOKUP($A$1&amp;"-"&amp;ROW(AS26),基本資料填寫!$A:$DN,COLUMN(基本資料填寫!CQ27),0),"")</f>
        <v/>
      </c>
      <c r="AG27" s="47" t="str">
        <f>IFERROR(VLOOKUP($A$1&amp;"-"&amp;ROW(AT26),基本資料填寫!$A:$DN,COLUMN(基本資料填寫!CR27),0),"")</f>
        <v/>
      </c>
      <c r="AH27" s="47" t="str">
        <f>IFERROR(VLOOKUP($A$1&amp;"-"&amp;ROW(AU26),基本資料填寫!$A:$DN,COLUMN(基本資料填寫!CS27),0),"")</f>
        <v/>
      </c>
      <c r="AI27" s="47" t="str">
        <f>IFERROR(VLOOKUP($A$1&amp;"-"&amp;ROW(P26),基本資料填寫!$A:$DN,COLUMN(基本資料填寫!X27),0),"")</f>
        <v/>
      </c>
      <c r="AJ27" s="47" t="str">
        <f>IFERROR(VLOOKUP($A$1&amp;"-"&amp;ROW(AV26),基本資料填寫!$A:$DN,COLUMN(基本資料填寫!CT27),0),"")</f>
        <v/>
      </c>
      <c r="AK27" s="47" t="str">
        <f>IFERROR(VLOOKUP($A$1&amp;"-"&amp;ROW(AC26),基本資料填寫!$A:$DN,COLUMN(基本資料填寫!AQ27),0),"")</f>
        <v/>
      </c>
      <c r="AL27" s="47" t="str">
        <f>IFERROR(VLOOKUP($A$1&amp;"-"&amp;ROW(AO26),基本資料填寫!$A:$DN,COLUMN(基本資料填寫!CM27),0),"")</f>
        <v/>
      </c>
      <c r="AM27" s="47" t="str">
        <f>IFERROR(VLOOKUP($A$1&amp;"-"&amp;ROW(AD26),基本資料填寫!$A:$DN,COLUMN(基本資料填寫!AR27),0),"")</f>
        <v/>
      </c>
      <c r="AN27" s="47" t="str">
        <f>IFERROR(VLOOKUP($A$1&amp;"-"&amp;ROW(K26),基本資料填寫!$A:$DN,COLUMN(基本資料填寫!AP27),0),"")</f>
        <v/>
      </c>
      <c r="AO27" s="47" t="str">
        <f>IFERROR(VLOOKUP($A$1&amp;"-"&amp;ROW(J26),基本資料填寫!$A:$DN,COLUMN(基本資料填寫!AO27),0),"")</f>
        <v/>
      </c>
      <c r="AP27" s="47" t="str">
        <f>IFERROR(VLOOKUP($A$1&amp;"-"&amp;ROW(AE26),基本資料填寫!$A:$DN,COLUMN(基本資料填寫!AS27),0),"")</f>
        <v/>
      </c>
      <c r="AQ27" s="47" t="str">
        <f>IFERROR(VLOOKUP($A$1&amp;"-"&amp;ROW(AF26),基本資料填寫!$A:$DN,COLUMN(基本資料填寫!AT27),0),"")</f>
        <v/>
      </c>
      <c r="AR27" s="47" t="str">
        <f>IFERROR(VLOOKUP($A$1&amp;"-"&amp;ROW(AG26),基本資料填寫!$A:$DN,COLUMN(基本資料填寫!AU27),0),"")</f>
        <v/>
      </c>
      <c r="AS27" s="47" t="str">
        <f>IFERROR(VLOOKUP($A$1&amp;"-"&amp;ROW(AH26),基本資料填寫!$A:$DN,COLUMN(基本資料填寫!AV27),0),"")</f>
        <v/>
      </c>
      <c r="AT27" s="47" t="str">
        <f>IFERROR(VLOOKUP($A$1&amp;"-"&amp;ROW(AI26),基本資料填寫!$A:$DN,COLUMN(基本資料填寫!AW27),0),"")</f>
        <v/>
      </c>
      <c r="AU27" s="47" t="str">
        <f>IFERROR(VLOOKUP($A$1&amp;"-"&amp;ROW(AJ26),基本資料填寫!$A:$DN,COLUMN(基本資料填寫!AX27),0),"")</f>
        <v/>
      </c>
      <c r="AV27" s="47" t="str">
        <f>IFERROR(VLOOKUP($A$1&amp;"-"&amp;ROW(AK26),基本資料填寫!$A:$DN,COLUMN(基本資料填寫!AY27),0),"")</f>
        <v/>
      </c>
      <c r="AW27" s="47" t="str">
        <f>IFERROR(VLOOKUP($A$1&amp;"-"&amp;ROW(AL26),基本資料填寫!$A:$DN,COLUMN(基本資料填寫!AZ27),0),"")</f>
        <v/>
      </c>
      <c r="AX27" s="47" t="str">
        <f>IFERROR(VLOOKUP($A$1&amp;"-"&amp;ROW(AM26),基本資料填寫!$A:$DN,COLUMN(基本資料填寫!BA27),0),"")</f>
        <v/>
      </c>
      <c r="AY27" s="47" t="str">
        <f>IFERROR(VLOOKUP($A$1&amp;"-"&amp;ROW(AN26),基本資料填寫!$A:$DN,COLUMN(基本資料填寫!BB27),0),"")</f>
        <v/>
      </c>
      <c r="AZ27" s="47" t="str">
        <f>IFERROR(VLOOKUP($A$1&amp;"-"&amp;ROW(AO26),基本資料填寫!$A:$DN,COLUMN(基本資料填寫!BC27),0),"")</f>
        <v/>
      </c>
      <c r="BA27" s="47" t="str">
        <f>IFERROR(VLOOKUP($A$1&amp;"-"&amp;ROW(AP26),基本資料填寫!$A:$DN,COLUMN(基本資料填寫!BD27),0),"")</f>
        <v/>
      </c>
      <c r="BB27" s="47" t="str">
        <f>IFERROR(VLOOKUP($A$1&amp;"-"&amp;ROW(AQ26),基本資料填寫!$A:$DN,COLUMN(基本資料填寫!BE27),0),"")</f>
        <v/>
      </c>
      <c r="BC27" s="47" t="str">
        <f>IFERROR(VLOOKUP($A$1&amp;"-"&amp;ROW(AR26),基本資料填寫!$A:$DN,COLUMN(基本資料填寫!BF27),0),"")</f>
        <v/>
      </c>
      <c r="BD27" s="47" t="str">
        <f>IFERROR(VLOOKUP($A$1&amp;"-"&amp;ROW(AS26),基本資料填寫!$A:$DN,COLUMN(基本資料填寫!BG27),0),"")</f>
        <v/>
      </c>
      <c r="BE27" s="47" t="str">
        <f>IFERROR(VLOOKUP($A$1&amp;"-"&amp;ROW(AT26),基本資料填寫!$A:$DN,COLUMN(基本資料填寫!BH27),0),"")</f>
        <v/>
      </c>
      <c r="BF27" s="47" t="str">
        <f>IFERROR(VLOOKUP($A$1&amp;"-"&amp;ROW(AU26),基本資料填寫!$A:$DN,COLUMN(基本資料填寫!BI27),0),"")</f>
        <v/>
      </c>
      <c r="BG27" s="47" t="str">
        <f>IFERROR(VLOOKUP($A$1&amp;"-"&amp;ROW(AV26),基本資料填寫!$A:$DN,COLUMN(基本資料填寫!BJ27),0),"")</f>
        <v/>
      </c>
      <c r="BH27" s="47" t="str">
        <f>IFERROR(VLOOKUP($A$1&amp;"-"&amp;ROW(AW26),基本資料填寫!$A:$DN,COLUMN(基本資料填寫!BK27),0),"")</f>
        <v/>
      </c>
      <c r="BI27" s="47" t="str">
        <f>IFERROR(VLOOKUP($A$1&amp;"-"&amp;ROW(AX26),基本資料填寫!$A:$DN,COLUMN(基本資料填寫!BL27),0),"")</f>
        <v/>
      </c>
      <c r="BJ27" s="47" t="str">
        <f>IFERROR(VLOOKUP($A$1&amp;"-"&amp;ROW(AY26),基本資料填寫!$A:$DN,COLUMN(基本資料填寫!BM27),0),"")</f>
        <v/>
      </c>
      <c r="BK27" s="47" t="str">
        <f>IFERROR(VLOOKUP($A$1&amp;"-"&amp;ROW(AZ26),基本資料填寫!$A:$DN,COLUMN(基本資料填寫!BN27),0),"")</f>
        <v/>
      </c>
      <c r="BL27" s="47" t="str">
        <f>IFERROR(VLOOKUP($A$1&amp;"-"&amp;ROW(BA26),基本資料填寫!$A:$DN,COLUMN(基本資料填寫!BO27),0),"")</f>
        <v/>
      </c>
      <c r="BM27" s="47" t="str">
        <f>IFERROR(VLOOKUP($A$1&amp;"-"&amp;ROW(BB26),基本資料填寫!$A:$DN,COLUMN(基本資料填寫!BP27),0),"")</f>
        <v/>
      </c>
      <c r="BN27" s="47" t="str">
        <f>IFERROR(VLOOKUP($A$1&amp;"-"&amp;ROW(BC26),基本資料填寫!$A:$DN,COLUMN(基本資料填寫!BQ27),0),"")</f>
        <v/>
      </c>
      <c r="BO27" s="47" t="str">
        <f>IFERROR(VLOOKUP($A$1&amp;"-"&amp;ROW(BD26),基本資料填寫!$A:$DN,COLUMN(基本資料填寫!BR27),0),"")</f>
        <v/>
      </c>
    </row>
    <row r="28" spans="2:67" x14ac:dyDescent="0.3">
      <c r="B28" s="47" t="str">
        <f>IFERROR(VLOOKUP($A$1&amp;"-"&amp;ROW(A27),基本資料填寫!$A:$DN,COLUMN(基本資料填寫!K28),0),"")</f>
        <v/>
      </c>
      <c r="C28" s="47" t="str">
        <f>IFERROR(VLOOKUP($A$1&amp;"-"&amp;ROW(B27),基本資料填寫!$A:$DN,COLUMN(基本資料填寫!L28),0),"")</f>
        <v/>
      </c>
      <c r="D28" s="47" t="str">
        <f>IF(E28="","",COUNTA($E$2:E28))</f>
        <v/>
      </c>
      <c r="E28" s="47" t="str">
        <f>IFERROR(VLOOKUP($A$1&amp;"-"&amp;ROW(E27),基本資料填寫!$A:$DN,COLUMN(基本資料填寫!S28),0),"")</f>
        <v/>
      </c>
      <c r="G28" s="47" t="str">
        <f>IFERROR(VLOOKUP($A$1&amp;"-"&amp;ROW(G27),基本資料填寫!$A:$DN,COLUMN(基本資料填寫!V28),0),"")</f>
        <v/>
      </c>
      <c r="H28" s="47" t="str">
        <f>IFERROR(VLOOKUP($A$1&amp;"-"&amp;ROW(BI27),基本資料填寫!$A:$DN,COLUMN(基本資料填寫!BW28),0),"")</f>
        <v/>
      </c>
      <c r="I28" s="47" t="str">
        <f>IFERROR(VLOOKUP($A$1&amp;"-"&amp;ROW(I27),基本資料填寫!$A:$DN,COLUMN(基本資料填寫!AN28),0),"")</f>
        <v/>
      </c>
      <c r="J28" s="47" t="str">
        <f>IFERROR(VLOOKUP($A$1&amp;"-"&amp;ROW(K27),基本資料填寫!$A:$DN,COLUMN(基本資料填寫!R28),0),"")</f>
        <v/>
      </c>
      <c r="K28" s="47" t="str">
        <f>IFERROR(VLOOKUP($A$1&amp;"-"&amp;ROW(AA27),基本資料填寫!$A:$DN,COLUMN(基本資料填寫!BX28),0),"")</f>
        <v/>
      </c>
      <c r="L28" s="47" t="str">
        <f>IFERROR(VLOOKUP($A$1&amp;"-"&amp;ROW(S27),基本資料填寫!$A:$DN,COLUMN(基本資料填寫!Z28),0),"")</f>
        <v/>
      </c>
      <c r="M28" s="47" t="str">
        <f>IFERROR(VLOOKUP($A$1&amp;"-"&amp;ROW(T27),基本資料填寫!$A:$DN,COLUMN(基本資料填寫!AA28),0),"")</f>
        <v/>
      </c>
      <c r="N28" s="47" t="str">
        <f>IFERROR(VLOOKUP($A$1&amp;"-"&amp;ROW(AB27),基本資料填寫!$A:$DN,COLUMN(基本資料填寫!BY28),0),"")</f>
        <v/>
      </c>
      <c r="O28" s="47" t="str">
        <f>IFERROR(VLOOKUP($A$1&amp;"-"&amp;ROW(AC27),基本資料填寫!$A:$DN,COLUMN(基本資料填寫!BZ28),0),"")</f>
        <v/>
      </c>
      <c r="P28" s="47" t="str">
        <f>IFERROR(VLOOKUP($A$1&amp;"-"&amp;ROW(AD27),基本資料填寫!$A:$DN,COLUMN(基本資料填寫!CA28),0),"")</f>
        <v/>
      </c>
      <c r="Q28" s="47" t="str">
        <f>IFERROR(VLOOKUP($A$1&amp;"-"&amp;ROW(J27),基本資料填寫!$A:$DN,COLUMN(基本資料填寫!AO28),0),"")</f>
        <v/>
      </c>
      <c r="R28" s="47" t="str">
        <f>IFERROR(VLOOKUP($A$1&amp;"-"&amp;ROW(AE27),基本資料填寫!$A:$DN,COLUMN(基本資料填寫!CB28),0),"")</f>
        <v/>
      </c>
      <c r="S28" s="47" t="str">
        <f>IFERROR(VLOOKUP($A$1&amp;"-"&amp;ROW(AF27),基本資料填寫!$A:$DN,COLUMN(基本資料填寫!CC28),0),"")</f>
        <v/>
      </c>
      <c r="T28" s="47" t="str">
        <f>IFERROR(VLOOKUP($A$1&amp;"-"&amp;ROW(AG27),基本資料填寫!$A:$DN,COLUMN(基本資料填寫!CD28),0),"")</f>
        <v/>
      </c>
      <c r="U28" s="47" t="str">
        <f>IFERROR(VLOOKUP($A$1&amp;"-"&amp;ROW(AH27),基本資料填寫!$A:$DN,COLUMN(基本資料填寫!CE28),0),"")</f>
        <v/>
      </c>
      <c r="V28" s="47" t="str">
        <f>IFERROR(VLOOKUP($A$1&amp;"-"&amp;ROW(AI27),基本資料填寫!$A:$DN,COLUMN(基本資料填寫!CF28),0),"")</f>
        <v/>
      </c>
      <c r="W28" s="47" t="str">
        <f>IFERROR(VLOOKUP($A$1&amp;"-"&amp;ROW(AJ27),基本資料填寫!$A:$DN,COLUMN(基本資料填寫!CG28),0),"")</f>
        <v/>
      </c>
      <c r="X28" s="47" t="str">
        <f>IFERROR(VLOOKUP($A$1&amp;"-"&amp;ROW(AK27),基本資料填寫!$A:$DN,COLUMN(基本資料填寫!CH28),0),"")</f>
        <v/>
      </c>
      <c r="Y28" s="47" t="str">
        <f>IFERROR(VLOOKUP($A$1&amp;"-"&amp;ROW(AL27),基本資料填寫!$A:$DN,COLUMN(基本資料填寫!CI28),0),"")</f>
        <v/>
      </c>
      <c r="Z28" s="47" t="str">
        <f>IFERROR(VLOOKUP($A$1&amp;"-"&amp;ROW(H27),基本資料填寫!$A:$DN,COLUMN(基本資料填寫!O28),0),"")</f>
        <v/>
      </c>
      <c r="AA28" s="47" t="str">
        <f>IFERROR(VLOOKUP($A$1&amp;"-"&amp;ROW(AM27),基本資料填寫!$A:$DN,COLUMN(基本資料填寫!CJ28),0),"")</f>
        <v/>
      </c>
      <c r="AB28" s="47" t="str">
        <f>IFERROR(VLOOKUP($A$1&amp;"-"&amp;ROW(AN27),基本資料填寫!$A:$DN,COLUMN(基本資料填寫!CK28),0),"")</f>
        <v/>
      </c>
      <c r="AC28" s="47" t="str">
        <f>IFERROR(VLOOKUP($A$1&amp;"-"&amp;ROW(AP27),基本資料填寫!$A:$DN,COLUMN(基本資料填寫!CN28),0),"")</f>
        <v/>
      </c>
      <c r="AD28" s="47" t="str">
        <f>IFERROR(VLOOKUP($A$1&amp;"-"&amp;ROW(AQ27),基本資料填寫!$A:$DN,COLUMN(基本資料填寫!CO28),0),"")</f>
        <v/>
      </c>
      <c r="AE28" s="47" t="str">
        <f>IFERROR(VLOOKUP($A$1&amp;"-"&amp;ROW(AR27),基本資料填寫!$A:$DN,COLUMN(基本資料填寫!CP28),0),"")</f>
        <v/>
      </c>
      <c r="AF28" s="47" t="str">
        <f>IFERROR(VLOOKUP($A$1&amp;"-"&amp;ROW(AS27),基本資料填寫!$A:$DN,COLUMN(基本資料填寫!CQ28),0),"")</f>
        <v/>
      </c>
      <c r="AG28" s="47" t="str">
        <f>IFERROR(VLOOKUP($A$1&amp;"-"&amp;ROW(AT27),基本資料填寫!$A:$DN,COLUMN(基本資料填寫!CR28),0),"")</f>
        <v/>
      </c>
      <c r="AH28" s="47" t="str">
        <f>IFERROR(VLOOKUP($A$1&amp;"-"&amp;ROW(AU27),基本資料填寫!$A:$DN,COLUMN(基本資料填寫!CS28),0),"")</f>
        <v/>
      </c>
      <c r="AI28" s="47" t="str">
        <f>IFERROR(VLOOKUP($A$1&amp;"-"&amp;ROW(P27),基本資料填寫!$A:$DN,COLUMN(基本資料填寫!X28),0),"")</f>
        <v/>
      </c>
      <c r="AJ28" s="47" t="str">
        <f>IFERROR(VLOOKUP($A$1&amp;"-"&amp;ROW(AV27),基本資料填寫!$A:$DN,COLUMN(基本資料填寫!CT28),0),"")</f>
        <v/>
      </c>
      <c r="AK28" s="47" t="str">
        <f>IFERROR(VLOOKUP($A$1&amp;"-"&amp;ROW(AC27),基本資料填寫!$A:$DN,COLUMN(基本資料填寫!AQ28),0),"")</f>
        <v/>
      </c>
      <c r="AL28" s="47" t="str">
        <f>IFERROR(VLOOKUP($A$1&amp;"-"&amp;ROW(AO27),基本資料填寫!$A:$DN,COLUMN(基本資料填寫!CM28),0),"")</f>
        <v/>
      </c>
      <c r="AM28" s="47" t="str">
        <f>IFERROR(VLOOKUP($A$1&amp;"-"&amp;ROW(AD27),基本資料填寫!$A:$DN,COLUMN(基本資料填寫!AR28),0),"")</f>
        <v/>
      </c>
      <c r="AN28" s="47" t="str">
        <f>IFERROR(VLOOKUP($A$1&amp;"-"&amp;ROW(K27),基本資料填寫!$A:$DN,COLUMN(基本資料填寫!AP28),0),"")</f>
        <v/>
      </c>
      <c r="AO28" s="47" t="str">
        <f>IFERROR(VLOOKUP($A$1&amp;"-"&amp;ROW(J27),基本資料填寫!$A:$DN,COLUMN(基本資料填寫!AO28),0),"")</f>
        <v/>
      </c>
      <c r="AP28" s="47" t="str">
        <f>IFERROR(VLOOKUP($A$1&amp;"-"&amp;ROW(AE27),基本資料填寫!$A:$DN,COLUMN(基本資料填寫!AS28),0),"")</f>
        <v/>
      </c>
      <c r="AQ28" s="47" t="str">
        <f>IFERROR(VLOOKUP($A$1&amp;"-"&amp;ROW(AF27),基本資料填寫!$A:$DN,COLUMN(基本資料填寫!AT28),0),"")</f>
        <v/>
      </c>
      <c r="AR28" s="47" t="str">
        <f>IFERROR(VLOOKUP($A$1&amp;"-"&amp;ROW(AG27),基本資料填寫!$A:$DN,COLUMN(基本資料填寫!AU28),0),"")</f>
        <v/>
      </c>
      <c r="AS28" s="47" t="str">
        <f>IFERROR(VLOOKUP($A$1&amp;"-"&amp;ROW(AH27),基本資料填寫!$A:$DN,COLUMN(基本資料填寫!AV28),0),"")</f>
        <v/>
      </c>
      <c r="AT28" s="47" t="str">
        <f>IFERROR(VLOOKUP($A$1&amp;"-"&amp;ROW(AI27),基本資料填寫!$A:$DN,COLUMN(基本資料填寫!AW28),0),"")</f>
        <v/>
      </c>
      <c r="AU28" s="47" t="str">
        <f>IFERROR(VLOOKUP($A$1&amp;"-"&amp;ROW(AJ27),基本資料填寫!$A:$DN,COLUMN(基本資料填寫!AX28),0),"")</f>
        <v/>
      </c>
      <c r="AV28" s="47" t="str">
        <f>IFERROR(VLOOKUP($A$1&amp;"-"&amp;ROW(AK27),基本資料填寫!$A:$DN,COLUMN(基本資料填寫!AY28),0),"")</f>
        <v/>
      </c>
      <c r="AW28" s="47" t="str">
        <f>IFERROR(VLOOKUP($A$1&amp;"-"&amp;ROW(AL27),基本資料填寫!$A:$DN,COLUMN(基本資料填寫!AZ28),0),"")</f>
        <v/>
      </c>
      <c r="AX28" s="47" t="str">
        <f>IFERROR(VLOOKUP($A$1&amp;"-"&amp;ROW(AM27),基本資料填寫!$A:$DN,COLUMN(基本資料填寫!BA28),0),"")</f>
        <v/>
      </c>
      <c r="AY28" s="47" t="str">
        <f>IFERROR(VLOOKUP($A$1&amp;"-"&amp;ROW(AN27),基本資料填寫!$A:$DN,COLUMN(基本資料填寫!BB28),0),"")</f>
        <v/>
      </c>
      <c r="AZ28" s="47" t="str">
        <f>IFERROR(VLOOKUP($A$1&amp;"-"&amp;ROW(AO27),基本資料填寫!$A:$DN,COLUMN(基本資料填寫!BC28),0),"")</f>
        <v/>
      </c>
      <c r="BA28" s="47" t="str">
        <f>IFERROR(VLOOKUP($A$1&amp;"-"&amp;ROW(AP27),基本資料填寫!$A:$DN,COLUMN(基本資料填寫!BD28),0),"")</f>
        <v/>
      </c>
      <c r="BB28" s="47" t="str">
        <f>IFERROR(VLOOKUP($A$1&amp;"-"&amp;ROW(AQ27),基本資料填寫!$A:$DN,COLUMN(基本資料填寫!BE28),0),"")</f>
        <v/>
      </c>
      <c r="BC28" s="47" t="str">
        <f>IFERROR(VLOOKUP($A$1&amp;"-"&amp;ROW(AR27),基本資料填寫!$A:$DN,COLUMN(基本資料填寫!BF28),0),"")</f>
        <v/>
      </c>
      <c r="BD28" s="47" t="str">
        <f>IFERROR(VLOOKUP($A$1&amp;"-"&amp;ROW(AS27),基本資料填寫!$A:$DN,COLUMN(基本資料填寫!BG28),0),"")</f>
        <v/>
      </c>
      <c r="BE28" s="47" t="str">
        <f>IFERROR(VLOOKUP($A$1&amp;"-"&amp;ROW(AT27),基本資料填寫!$A:$DN,COLUMN(基本資料填寫!BH28),0),"")</f>
        <v/>
      </c>
      <c r="BF28" s="47" t="str">
        <f>IFERROR(VLOOKUP($A$1&amp;"-"&amp;ROW(AU27),基本資料填寫!$A:$DN,COLUMN(基本資料填寫!BI28),0),"")</f>
        <v/>
      </c>
      <c r="BG28" s="47" t="str">
        <f>IFERROR(VLOOKUP($A$1&amp;"-"&amp;ROW(AV27),基本資料填寫!$A:$DN,COLUMN(基本資料填寫!BJ28),0),"")</f>
        <v/>
      </c>
      <c r="BH28" s="47" t="str">
        <f>IFERROR(VLOOKUP($A$1&amp;"-"&amp;ROW(AW27),基本資料填寫!$A:$DN,COLUMN(基本資料填寫!BK28),0),"")</f>
        <v/>
      </c>
      <c r="BI28" s="47" t="str">
        <f>IFERROR(VLOOKUP($A$1&amp;"-"&amp;ROW(AX27),基本資料填寫!$A:$DN,COLUMN(基本資料填寫!BL28),0),"")</f>
        <v/>
      </c>
      <c r="BJ28" s="47" t="str">
        <f>IFERROR(VLOOKUP($A$1&amp;"-"&amp;ROW(AY27),基本資料填寫!$A:$DN,COLUMN(基本資料填寫!BM28),0),"")</f>
        <v/>
      </c>
      <c r="BK28" s="47" t="str">
        <f>IFERROR(VLOOKUP($A$1&amp;"-"&amp;ROW(AZ27),基本資料填寫!$A:$DN,COLUMN(基本資料填寫!BN28),0),"")</f>
        <v/>
      </c>
      <c r="BL28" s="47" t="str">
        <f>IFERROR(VLOOKUP($A$1&amp;"-"&amp;ROW(BA27),基本資料填寫!$A:$DN,COLUMN(基本資料填寫!BO28),0),"")</f>
        <v/>
      </c>
      <c r="BM28" s="47" t="str">
        <f>IFERROR(VLOOKUP($A$1&amp;"-"&amp;ROW(BB27),基本資料填寫!$A:$DN,COLUMN(基本資料填寫!BP28),0),"")</f>
        <v/>
      </c>
      <c r="BN28" s="47" t="str">
        <f>IFERROR(VLOOKUP($A$1&amp;"-"&amp;ROW(BC27),基本資料填寫!$A:$DN,COLUMN(基本資料填寫!BQ28),0),"")</f>
        <v/>
      </c>
      <c r="BO28" s="47" t="str">
        <f>IFERROR(VLOOKUP($A$1&amp;"-"&amp;ROW(BD27),基本資料填寫!$A:$DN,COLUMN(基本資料填寫!BR28),0),"")</f>
        <v/>
      </c>
    </row>
    <row r="29" spans="2:67" x14ac:dyDescent="0.3">
      <c r="B29" s="47" t="str">
        <f>IFERROR(VLOOKUP($A$1&amp;"-"&amp;ROW(A28),基本資料填寫!$A:$DN,COLUMN(基本資料填寫!K29),0),"")</f>
        <v/>
      </c>
      <c r="C29" s="47" t="str">
        <f>IFERROR(VLOOKUP($A$1&amp;"-"&amp;ROW(B28),基本資料填寫!$A:$DN,COLUMN(基本資料填寫!L29),0),"")</f>
        <v/>
      </c>
      <c r="D29" s="47" t="str">
        <f>IF(E29="","",COUNTA($E$2:E29))</f>
        <v/>
      </c>
      <c r="E29" s="47" t="str">
        <f>IFERROR(VLOOKUP($A$1&amp;"-"&amp;ROW(E28),基本資料填寫!$A:$DN,COLUMN(基本資料填寫!S29),0),"")</f>
        <v/>
      </c>
      <c r="G29" s="47" t="str">
        <f>IFERROR(VLOOKUP($A$1&amp;"-"&amp;ROW(G28),基本資料填寫!$A:$DN,COLUMN(基本資料填寫!V29),0),"")</f>
        <v/>
      </c>
      <c r="H29" s="47" t="str">
        <f>IFERROR(VLOOKUP($A$1&amp;"-"&amp;ROW(BI28),基本資料填寫!$A:$DN,COLUMN(基本資料填寫!BW29),0),"")</f>
        <v/>
      </c>
      <c r="I29" s="47" t="str">
        <f>IFERROR(VLOOKUP($A$1&amp;"-"&amp;ROW(I28),基本資料填寫!$A:$DN,COLUMN(基本資料填寫!AN29),0),"")</f>
        <v/>
      </c>
      <c r="J29" s="47" t="str">
        <f>IFERROR(VLOOKUP($A$1&amp;"-"&amp;ROW(K28),基本資料填寫!$A:$DN,COLUMN(基本資料填寫!R29),0),"")</f>
        <v/>
      </c>
      <c r="K29" s="47" t="str">
        <f>IFERROR(VLOOKUP($A$1&amp;"-"&amp;ROW(AA28),基本資料填寫!$A:$DN,COLUMN(基本資料填寫!BX29),0),"")</f>
        <v/>
      </c>
      <c r="L29" s="47" t="str">
        <f>IFERROR(VLOOKUP($A$1&amp;"-"&amp;ROW(S28),基本資料填寫!$A:$DN,COLUMN(基本資料填寫!Z29),0),"")</f>
        <v/>
      </c>
      <c r="M29" s="47" t="str">
        <f>IFERROR(VLOOKUP($A$1&amp;"-"&amp;ROW(T28),基本資料填寫!$A:$DN,COLUMN(基本資料填寫!AA29),0),"")</f>
        <v/>
      </c>
      <c r="N29" s="47" t="str">
        <f>IFERROR(VLOOKUP($A$1&amp;"-"&amp;ROW(AB28),基本資料填寫!$A:$DN,COLUMN(基本資料填寫!BY29),0),"")</f>
        <v/>
      </c>
      <c r="O29" s="47" t="str">
        <f>IFERROR(VLOOKUP($A$1&amp;"-"&amp;ROW(AC28),基本資料填寫!$A:$DN,COLUMN(基本資料填寫!BZ29),0),"")</f>
        <v/>
      </c>
      <c r="P29" s="47" t="str">
        <f>IFERROR(VLOOKUP($A$1&amp;"-"&amp;ROW(AD28),基本資料填寫!$A:$DN,COLUMN(基本資料填寫!CA29),0),"")</f>
        <v/>
      </c>
      <c r="Q29" s="47" t="str">
        <f>IFERROR(VLOOKUP($A$1&amp;"-"&amp;ROW(J28),基本資料填寫!$A:$DN,COLUMN(基本資料填寫!AO29),0),"")</f>
        <v/>
      </c>
      <c r="R29" s="47" t="str">
        <f>IFERROR(VLOOKUP($A$1&amp;"-"&amp;ROW(AE28),基本資料填寫!$A:$DN,COLUMN(基本資料填寫!CB29),0),"")</f>
        <v/>
      </c>
      <c r="S29" s="47" t="str">
        <f>IFERROR(VLOOKUP($A$1&amp;"-"&amp;ROW(AF28),基本資料填寫!$A:$DN,COLUMN(基本資料填寫!CC29),0),"")</f>
        <v/>
      </c>
      <c r="T29" s="47" t="str">
        <f>IFERROR(VLOOKUP($A$1&amp;"-"&amp;ROW(AG28),基本資料填寫!$A:$DN,COLUMN(基本資料填寫!CD29),0),"")</f>
        <v/>
      </c>
      <c r="U29" s="47" t="str">
        <f>IFERROR(VLOOKUP($A$1&amp;"-"&amp;ROW(AH28),基本資料填寫!$A:$DN,COLUMN(基本資料填寫!CE29),0),"")</f>
        <v/>
      </c>
      <c r="V29" s="47" t="str">
        <f>IFERROR(VLOOKUP($A$1&amp;"-"&amp;ROW(AI28),基本資料填寫!$A:$DN,COLUMN(基本資料填寫!CF29),0),"")</f>
        <v/>
      </c>
      <c r="W29" s="47" t="str">
        <f>IFERROR(VLOOKUP($A$1&amp;"-"&amp;ROW(AJ28),基本資料填寫!$A:$DN,COLUMN(基本資料填寫!CG29),0),"")</f>
        <v/>
      </c>
      <c r="X29" s="47" t="str">
        <f>IFERROR(VLOOKUP($A$1&amp;"-"&amp;ROW(AK28),基本資料填寫!$A:$DN,COLUMN(基本資料填寫!CH29),0),"")</f>
        <v/>
      </c>
      <c r="Y29" s="47" t="str">
        <f>IFERROR(VLOOKUP($A$1&amp;"-"&amp;ROW(AL28),基本資料填寫!$A:$DN,COLUMN(基本資料填寫!CI29),0),"")</f>
        <v/>
      </c>
      <c r="Z29" s="47" t="str">
        <f>IFERROR(VLOOKUP($A$1&amp;"-"&amp;ROW(H28),基本資料填寫!$A:$DN,COLUMN(基本資料填寫!O29),0),"")</f>
        <v/>
      </c>
      <c r="AA29" s="47" t="str">
        <f>IFERROR(VLOOKUP($A$1&amp;"-"&amp;ROW(AM28),基本資料填寫!$A:$DN,COLUMN(基本資料填寫!CJ29),0),"")</f>
        <v/>
      </c>
      <c r="AB29" s="47" t="str">
        <f>IFERROR(VLOOKUP($A$1&amp;"-"&amp;ROW(AN28),基本資料填寫!$A:$DN,COLUMN(基本資料填寫!CK29),0),"")</f>
        <v/>
      </c>
      <c r="AC29" s="47" t="str">
        <f>IFERROR(VLOOKUP($A$1&amp;"-"&amp;ROW(AP28),基本資料填寫!$A:$DN,COLUMN(基本資料填寫!CN29),0),"")</f>
        <v/>
      </c>
      <c r="AD29" s="47" t="str">
        <f>IFERROR(VLOOKUP($A$1&amp;"-"&amp;ROW(AQ28),基本資料填寫!$A:$DN,COLUMN(基本資料填寫!CO29),0),"")</f>
        <v/>
      </c>
      <c r="AE29" s="47" t="str">
        <f>IFERROR(VLOOKUP($A$1&amp;"-"&amp;ROW(AR28),基本資料填寫!$A:$DN,COLUMN(基本資料填寫!CP29),0),"")</f>
        <v/>
      </c>
      <c r="AF29" s="47" t="str">
        <f>IFERROR(VLOOKUP($A$1&amp;"-"&amp;ROW(AS28),基本資料填寫!$A:$DN,COLUMN(基本資料填寫!CQ29),0),"")</f>
        <v/>
      </c>
      <c r="AG29" s="47" t="str">
        <f>IFERROR(VLOOKUP($A$1&amp;"-"&amp;ROW(AT28),基本資料填寫!$A:$DN,COLUMN(基本資料填寫!CR29),0),"")</f>
        <v/>
      </c>
      <c r="AH29" s="47" t="str">
        <f>IFERROR(VLOOKUP($A$1&amp;"-"&amp;ROW(AU28),基本資料填寫!$A:$DN,COLUMN(基本資料填寫!CS29),0),"")</f>
        <v/>
      </c>
      <c r="AI29" s="47" t="str">
        <f>IFERROR(VLOOKUP($A$1&amp;"-"&amp;ROW(P28),基本資料填寫!$A:$DN,COLUMN(基本資料填寫!X29),0),"")</f>
        <v/>
      </c>
      <c r="AJ29" s="47" t="str">
        <f>IFERROR(VLOOKUP($A$1&amp;"-"&amp;ROW(AV28),基本資料填寫!$A:$DN,COLUMN(基本資料填寫!CT29),0),"")</f>
        <v/>
      </c>
      <c r="AK29" s="47" t="str">
        <f>IFERROR(VLOOKUP($A$1&amp;"-"&amp;ROW(AC28),基本資料填寫!$A:$DN,COLUMN(基本資料填寫!AQ29),0),"")</f>
        <v/>
      </c>
      <c r="AL29" s="47" t="str">
        <f>IFERROR(VLOOKUP($A$1&amp;"-"&amp;ROW(AO28),基本資料填寫!$A:$DN,COLUMN(基本資料填寫!CM29),0),"")</f>
        <v/>
      </c>
      <c r="AM29" s="47" t="str">
        <f>IFERROR(VLOOKUP($A$1&amp;"-"&amp;ROW(AD28),基本資料填寫!$A:$DN,COLUMN(基本資料填寫!AR29),0),"")</f>
        <v/>
      </c>
      <c r="AN29" s="47" t="str">
        <f>IFERROR(VLOOKUP($A$1&amp;"-"&amp;ROW(K28),基本資料填寫!$A:$DN,COLUMN(基本資料填寫!AP29),0),"")</f>
        <v/>
      </c>
      <c r="AO29" s="47" t="str">
        <f>IFERROR(VLOOKUP($A$1&amp;"-"&amp;ROW(J28),基本資料填寫!$A:$DN,COLUMN(基本資料填寫!AO29),0),"")</f>
        <v/>
      </c>
      <c r="AP29" s="47" t="str">
        <f>IFERROR(VLOOKUP($A$1&amp;"-"&amp;ROW(AE28),基本資料填寫!$A:$DN,COLUMN(基本資料填寫!AS29),0),"")</f>
        <v/>
      </c>
      <c r="AQ29" s="47" t="str">
        <f>IFERROR(VLOOKUP($A$1&amp;"-"&amp;ROW(AF28),基本資料填寫!$A:$DN,COLUMN(基本資料填寫!AT29),0),"")</f>
        <v/>
      </c>
      <c r="AR29" s="47" t="str">
        <f>IFERROR(VLOOKUP($A$1&amp;"-"&amp;ROW(AG28),基本資料填寫!$A:$DN,COLUMN(基本資料填寫!AU29),0),"")</f>
        <v/>
      </c>
      <c r="AS29" s="47" t="str">
        <f>IFERROR(VLOOKUP($A$1&amp;"-"&amp;ROW(AH28),基本資料填寫!$A:$DN,COLUMN(基本資料填寫!AV29),0),"")</f>
        <v/>
      </c>
      <c r="AT29" s="47" t="str">
        <f>IFERROR(VLOOKUP($A$1&amp;"-"&amp;ROW(AI28),基本資料填寫!$A:$DN,COLUMN(基本資料填寫!AW29),0),"")</f>
        <v/>
      </c>
      <c r="AU29" s="47" t="str">
        <f>IFERROR(VLOOKUP($A$1&amp;"-"&amp;ROW(AJ28),基本資料填寫!$A:$DN,COLUMN(基本資料填寫!AX29),0),"")</f>
        <v/>
      </c>
      <c r="AV29" s="47" t="str">
        <f>IFERROR(VLOOKUP($A$1&amp;"-"&amp;ROW(AK28),基本資料填寫!$A:$DN,COLUMN(基本資料填寫!AY29),0),"")</f>
        <v/>
      </c>
      <c r="AW29" s="47" t="str">
        <f>IFERROR(VLOOKUP($A$1&amp;"-"&amp;ROW(AL28),基本資料填寫!$A:$DN,COLUMN(基本資料填寫!AZ29),0),"")</f>
        <v/>
      </c>
      <c r="AX29" s="47" t="str">
        <f>IFERROR(VLOOKUP($A$1&amp;"-"&amp;ROW(AM28),基本資料填寫!$A:$DN,COLUMN(基本資料填寫!BA29),0),"")</f>
        <v/>
      </c>
      <c r="AY29" s="47" t="str">
        <f>IFERROR(VLOOKUP($A$1&amp;"-"&amp;ROW(AN28),基本資料填寫!$A:$DN,COLUMN(基本資料填寫!BB29),0),"")</f>
        <v/>
      </c>
      <c r="AZ29" s="47" t="str">
        <f>IFERROR(VLOOKUP($A$1&amp;"-"&amp;ROW(AO28),基本資料填寫!$A:$DN,COLUMN(基本資料填寫!BC29),0),"")</f>
        <v/>
      </c>
      <c r="BA29" s="47" t="str">
        <f>IFERROR(VLOOKUP($A$1&amp;"-"&amp;ROW(AP28),基本資料填寫!$A:$DN,COLUMN(基本資料填寫!BD29),0),"")</f>
        <v/>
      </c>
      <c r="BB29" s="47" t="str">
        <f>IFERROR(VLOOKUP($A$1&amp;"-"&amp;ROW(AQ28),基本資料填寫!$A:$DN,COLUMN(基本資料填寫!BE29),0),"")</f>
        <v/>
      </c>
      <c r="BC29" s="47" t="str">
        <f>IFERROR(VLOOKUP($A$1&amp;"-"&amp;ROW(AR28),基本資料填寫!$A:$DN,COLUMN(基本資料填寫!BF29),0),"")</f>
        <v/>
      </c>
      <c r="BD29" s="47" t="str">
        <f>IFERROR(VLOOKUP($A$1&amp;"-"&amp;ROW(AS28),基本資料填寫!$A:$DN,COLUMN(基本資料填寫!BG29),0),"")</f>
        <v/>
      </c>
      <c r="BE29" s="47" t="str">
        <f>IFERROR(VLOOKUP($A$1&amp;"-"&amp;ROW(AT28),基本資料填寫!$A:$DN,COLUMN(基本資料填寫!BH29),0),"")</f>
        <v/>
      </c>
      <c r="BF29" s="47" t="str">
        <f>IFERROR(VLOOKUP($A$1&amp;"-"&amp;ROW(AU28),基本資料填寫!$A:$DN,COLUMN(基本資料填寫!BI29),0),"")</f>
        <v/>
      </c>
      <c r="BG29" s="47" t="str">
        <f>IFERROR(VLOOKUP($A$1&amp;"-"&amp;ROW(AV28),基本資料填寫!$A:$DN,COLUMN(基本資料填寫!BJ29),0),"")</f>
        <v/>
      </c>
      <c r="BH29" s="47" t="str">
        <f>IFERROR(VLOOKUP($A$1&amp;"-"&amp;ROW(AW28),基本資料填寫!$A:$DN,COLUMN(基本資料填寫!BK29),0),"")</f>
        <v/>
      </c>
      <c r="BI29" s="47" t="str">
        <f>IFERROR(VLOOKUP($A$1&amp;"-"&amp;ROW(AX28),基本資料填寫!$A:$DN,COLUMN(基本資料填寫!BL29),0),"")</f>
        <v/>
      </c>
      <c r="BJ29" s="47" t="str">
        <f>IFERROR(VLOOKUP($A$1&amp;"-"&amp;ROW(AY28),基本資料填寫!$A:$DN,COLUMN(基本資料填寫!BM29),0),"")</f>
        <v/>
      </c>
      <c r="BK29" s="47" t="str">
        <f>IFERROR(VLOOKUP($A$1&amp;"-"&amp;ROW(AZ28),基本資料填寫!$A:$DN,COLUMN(基本資料填寫!BN29),0),"")</f>
        <v/>
      </c>
      <c r="BL29" s="47" t="str">
        <f>IFERROR(VLOOKUP($A$1&amp;"-"&amp;ROW(BA28),基本資料填寫!$A:$DN,COLUMN(基本資料填寫!BO29),0),"")</f>
        <v/>
      </c>
      <c r="BM29" s="47" t="str">
        <f>IFERROR(VLOOKUP($A$1&amp;"-"&amp;ROW(BB28),基本資料填寫!$A:$DN,COLUMN(基本資料填寫!BP29),0),"")</f>
        <v/>
      </c>
      <c r="BN29" s="47" t="str">
        <f>IFERROR(VLOOKUP($A$1&amp;"-"&amp;ROW(BC28),基本資料填寫!$A:$DN,COLUMN(基本資料填寫!BQ29),0),"")</f>
        <v/>
      </c>
      <c r="BO29" s="47" t="str">
        <f>IFERROR(VLOOKUP($A$1&amp;"-"&amp;ROW(BD28),基本資料填寫!$A:$DN,COLUMN(基本資料填寫!BR29),0),"")</f>
        <v/>
      </c>
    </row>
    <row r="30" spans="2:67" x14ac:dyDescent="0.3">
      <c r="B30" s="47" t="str">
        <f>IFERROR(VLOOKUP($A$1&amp;"-"&amp;ROW(A29),基本資料填寫!$A:$DN,COLUMN(基本資料填寫!K30),0),"")</f>
        <v/>
      </c>
      <c r="C30" s="47" t="str">
        <f>IFERROR(VLOOKUP($A$1&amp;"-"&amp;ROW(B29),基本資料填寫!$A:$DN,COLUMN(基本資料填寫!L30),0),"")</f>
        <v/>
      </c>
      <c r="D30" s="47" t="str">
        <f>IF(E30="","",COUNTA($E$2:E30))</f>
        <v/>
      </c>
      <c r="E30" s="47" t="str">
        <f>IFERROR(VLOOKUP($A$1&amp;"-"&amp;ROW(E29),基本資料填寫!$A:$DN,COLUMN(基本資料填寫!S30),0),"")</f>
        <v/>
      </c>
      <c r="G30" s="47" t="str">
        <f>IFERROR(VLOOKUP($A$1&amp;"-"&amp;ROW(G29),基本資料填寫!$A:$DN,COLUMN(基本資料填寫!V30),0),"")</f>
        <v/>
      </c>
      <c r="H30" s="47" t="str">
        <f>IFERROR(VLOOKUP($A$1&amp;"-"&amp;ROW(BI29),基本資料填寫!$A:$DN,COLUMN(基本資料填寫!BW30),0),"")</f>
        <v/>
      </c>
      <c r="I30" s="47" t="str">
        <f>IFERROR(VLOOKUP($A$1&amp;"-"&amp;ROW(I29),基本資料填寫!$A:$DN,COLUMN(基本資料填寫!AN30),0),"")</f>
        <v/>
      </c>
      <c r="J30" s="47" t="str">
        <f>IFERROR(VLOOKUP($A$1&amp;"-"&amp;ROW(K29),基本資料填寫!$A:$DN,COLUMN(基本資料填寫!R30),0),"")</f>
        <v/>
      </c>
      <c r="K30" s="47" t="str">
        <f>IFERROR(VLOOKUP($A$1&amp;"-"&amp;ROW(AA29),基本資料填寫!$A:$DN,COLUMN(基本資料填寫!BX30),0),"")</f>
        <v/>
      </c>
      <c r="L30" s="47" t="str">
        <f>IFERROR(VLOOKUP($A$1&amp;"-"&amp;ROW(S29),基本資料填寫!$A:$DN,COLUMN(基本資料填寫!Z30),0),"")</f>
        <v/>
      </c>
      <c r="M30" s="47" t="str">
        <f>IFERROR(VLOOKUP($A$1&amp;"-"&amp;ROW(T29),基本資料填寫!$A:$DN,COLUMN(基本資料填寫!AA30),0),"")</f>
        <v/>
      </c>
      <c r="N30" s="47" t="str">
        <f>IFERROR(VLOOKUP($A$1&amp;"-"&amp;ROW(AB29),基本資料填寫!$A:$DN,COLUMN(基本資料填寫!BY30),0),"")</f>
        <v/>
      </c>
      <c r="O30" s="47" t="str">
        <f>IFERROR(VLOOKUP($A$1&amp;"-"&amp;ROW(AC29),基本資料填寫!$A:$DN,COLUMN(基本資料填寫!BZ30),0),"")</f>
        <v/>
      </c>
      <c r="P30" s="47" t="str">
        <f>IFERROR(VLOOKUP($A$1&amp;"-"&amp;ROW(AD29),基本資料填寫!$A:$DN,COLUMN(基本資料填寫!CA30),0),"")</f>
        <v/>
      </c>
      <c r="Q30" s="47" t="str">
        <f>IFERROR(VLOOKUP($A$1&amp;"-"&amp;ROW(J29),基本資料填寫!$A:$DN,COLUMN(基本資料填寫!AO30),0),"")</f>
        <v/>
      </c>
      <c r="R30" s="47" t="str">
        <f>IFERROR(VLOOKUP($A$1&amp;"-"&amp;ROW(AE29),基本資料填寫!$A:$DN,COLUMN(基本資料填寫!CB30),0),"")</f>
        <v/>
      </c>
      <c r="S30" s="47" t="str">
        <f>IFERROR(VLOOKUP($A$1&amp;"-"&amp;ROW(AF29),基本資料填寫!$A:$DN,COLUMN(基本資料填寫!CC30),0),"")</f>
        <v/>
      </c>
      <c r="T30" s="47" t="str">
        <f>IFERROR(VLOOKUP($A$1&amp;"-"&amp;ROW(AG29),基本資料填寫!$A:$DN,COLUMN(基本資料填寫!CD30),0),"")</f>
        <v/>
      </c>
      <c r="U30" s="47" t="str">
        <f>IFERROR(VLOOKUP($A$1&amp;"-"&amp;ROW(AH29),基本資料填寫!$A:$DN,COLUMN(基本資料填寫!CE30),0),"")</f>
        <v/>
      </c>
      <c r="V30" s="47" t="str">
        <f>IFERROR(VLOOKUP($A$1&amp;"-"&amp;ROW(AI29),基本資料填寫!$A:$DN,COLUMN(基本資料填寫!CF30),0),"")</f>
        <v/>
      </c>
      <c r="W30" s="47" t="str">
        <f>IFERROR(VLOOKUP($A$1&amp;"-"&amp;ROW(AJ29),基本資料填寫!$A:$DN,COLUMN(基本資料填寫!CG30),0),"")</f>
        <v/>
      </c>
      <c r="X30" s="47" t="str">
        <f>IFERROR(VLOOKUP($A$1&amp;"-"&amp;ROW(AK29),基本資料填寫!$A:$DN,COLUMN(基本資料填寫!CH30),0),"")</f>
        <v/>
      </c>
      <c r="Y30" s="47" t="str">
        <f>IFERROR(VLOOKUP($A$1&amp;"-"&amp;ROW(AL29),基本資料填寫!$A:$DN,COLUMN(基本資料填寫!CI30),0),"")</f>
        <v/>
      </c>
      <c r="Z30" s="47" t="str">
        <f>IFERROR(VLOOKUP($A$1&amp;"-"&amp;ROW(H29),基本資料填寫!$A:$DN,COLUMN(基本資料填寫!O30),0),"")</f>
        <v/>
      </c>
      <c r="AA30" s="47" t="str">
        <f>IFERROR(VLOOKUP($A$1&amp;"-"&amp;ROW(AM29),基本資料填寫!$A:$DN,COLUMN(基本資料填寫!CJ30),0),"")</f>
        <v/>
      </c>
      <c r="AB30" s="47" t="str">
        <f>IFERROR(VLOOKUP($A$1&amp;"-"&amp;ROW(AN29),基本資料填寫!$A:$DN,COLUMN(基本資料填寫!CK30),0),"")</f>
        <v/>
      </c>
      <c r="AC30" s="47" t="str">
        <f>IFERROR(VLOOKUP($A$1&amp;"-"&amp;ROW(AP29),基本資料填寫!$A:$DN,COLUMN(基本資料填寫!CN30),0),"")</f>
        <v/>
      </c>
      <c r="AD30" s="47" t="str">
        <f>IFERROR(VLOOKUP($A$1&amp;"-"&amp;ROW(AQ29),基本資料填寫!$A:$DN,COLUMN(基本資料填寫!CO30),0),"")</f>
        <v/>
      </c>
      <c r="AE30" s="47" t="str">
        <f>IFERROR(VLOOKUP($A$1&amp;"-"&amp;ROW(AR29),基本資料填寫!$A:$DN,COLUMN(基本資料填寫!CP30),0),"")</f>
        <v/>
      </c>
      <c r="AF30" s="47" t="str">
        <f>IFERROR(VLOOKUP($A$1&amp;"-"&amp;ROW(AS29),基本資料填寫!$A:$DN,COLUMN(基本資料填寫!CQ30),0),"")</f>
        <v/>
      </c>
      <c r="AG30" s="47" t="str">
        <f>IFERROR(VLOOKUP($A$1&amp;"-"&amp;ROW(AT29),基本資料填寫!$A:$DN,COLUMN(基本資料填寫!CR30),0),"")</f>
        <v/>
      </c>
      <c r="AH30" s="47" t="str">
        <f>IFERROR(VLOOKUP($A$1&amp;"-"&amp;ROW(AU29),基本資料填寫!$A:$DN,COLUMN(基本資料填寫!CS30),0),"")</f>
        <v/>
      </c>
      <c r="AI30" s="47" t="str">
        <f>IFERROR(VLOOKUP($A$1&amp;"-"&amp;ROW(P29),基本資料填寫!$A:$DN,COLUMN(基本資料填寫!X30),0),"")</f>
        <v/>
      </c>
      <c r="AJ30" s="47" t="str">
        <f>IFERROR(VLOOKUP($A$1&amp;"-"&amp;ROW(AV29),基本資料填寫!$A:$DN,COLUMN(基本資料填寫!CT30),0),"")</f>
        <v/>
      </c>
      <c r="AK30" s="47" t="str">
        <f>IFERROR(VLOOKUP($A$1&amp;"-"&amp;ROW(AC29),基本資料填寫!$A:$DN,COLUMN(基本資料填寫!AQ30),0),"")</f>
        <v/>
      </c>
      <c r="AL30" s="47" t="str">
        <f>IFERROR(VLOOKUP($A$1&amp;"-"&amp;ROW(AO29),基本資料填寫!$A:$DN,COLUMN(基本資料填寫!CM30),0),"")</f>
        <v/>
      </c>
      <c r="AM30" s="47" t="str">
        <f>IFERROR(VLOOKUP($A$1&amp;"-"&amp;ROW(AD29),基本資料填寫!$A:$DN,COLUMN(基本資料填寫!AR30),0),"")</f>
        <v/>
      </c>
      <c r="AN30" s="47" t="str">
        <f>IFERROR(VLOOKUP($A$1&amp;"-"&amp;ROW(K29),基本資料填寫!$A:$DN,COLUMN(基本資料填寫!AP30),0),"")</f>
        <v/>
      </c>
      <c r="AO30" s="47" t="str">
        <f>IFERROR(VLOOKUP($A$1&amp;"-"&amp;ROW(J29),基本資料填寫!$A:$DN,COLUMN(基本資料填寫!AO30),0),"")</f>
        <v/>
      </c>
      <c r="AP30" s="47" t="str">
        <f>IFERROR(VLOOKUP($A$1&amp;"-"&amp;ROW(AE29),基本資料填寫!$A:$DN,COLUMN(基本資料填寫!AS30),0),"")</f>
        <v/>
      </c>
      <c r="AQ30" s="47" t="str">
        <f>IFERROR(VLOOKUP($A$1&amp;"-"&amp;ROW(AF29),基本資料填寫!$A:$DN,COLUMN(基本資料填寫!AT30),0),"")</f>
        <v/>
      </c>
      <c r="AR30" s="47" t="str">
        <f>IFERROR(VLOOKUP($A$1&amp;"-"&amp;ROW(AG29),基本資料填寫!$A:$DN,COLUMN(基本資料填寫!AU30),0),"")</f>
        <v/>
      </c>
      <c r="AS30" s="47" t="str">
        <f>IFERROR(VLOOKUP($A$1&amp;"-"&amp;ROW(AH29),基本資料填寫!$A:$DN,COLUMN(基本資料填寫!AV30),0),"")</f>
        <v/>
      </c>
      <c r="AT30" s="47" t="str">
        <f>IFERROR(VLOOKUP($A$1&amp;"-"&amp;ROW(AI29),基本資料填寫!$A:$DN,COLUMN(基本資料填寫!AW30),0),"")</f>
        <v/>
      </c>
      <c r="AU30" s="47" t="str">
        <f>IFERROR(VLOOKUP($A$1&amp;"-"&amp;ROW(AJ29),基本資料填寫!$A:$DN,COLUMN(基本資料填寫!AX30),0),"")</f>
        <v/>
      </c>
      <c r="AV30" s="47" t="str">
        <f>IFERROR(VLOOKUP($A$1&amp;"-"&amp;ROW(AK29),基本資料填寫!$A:$DN,COLUMN(基本資料填寫!AY30),0),"")</f>
        <v/>
      </c>
      <c r="AW30" s="47" t="str">
        <f>IFERROR(VLOOKUP($A$1&amp;"-"&amp;ROW(AL29),基本資料填寫!$A:$DN,COLUMN(基本資料填寫!AZ30),0),"")</f>
        <v/>
      </c>
      <c r="AX30" s="47" t="str">
        <f>IFERROR(VLOOKUP($A$1&amp;"-"&amp;ROW(AM29),基本資料填寫!$A:$DN,COLUMN(基本資料填寫!BA30),0),"")</f>
        <v/>
      </c>
      <c r="AY30" s="47" t="str">
        <f>IFERROR(VLOOKUP($A$1&amp;"-"&amp;ROW(AN29),基本資料填寫!$A:$DN,COLUMN(基本資料填寫!BB30),0),"")</f>
        <v/>
      </c>
      <c r="AZ30" s="47" t="str">
        <f>IFERROR(VLOOKUP($A$1&amp;"-"&amp;ROW(AO29),基本資料填寫!$A:$DN,COLUMN(基本資料填寫!BC30),0),"")</f>
        <v/>
      </c>
      <c r="BA30" s="47" t="str">
        <f>IFERROR(VLOOKUP($A$1&amp;"-"&amp;ROW(AP29),基本資料填寫!$A:$DN,COLUMN(基本資料填寫!BD30),0),"")</f>
        <v/>
      </c>
      <c r="BB30" s="47" t="str">
        <f>IFERROR(VLOOKUP($A$1&amp;"-"&amp;ROW(AQ29),基本資料填寫!$A:$DN,COLUMN(基本資料填寫!BE30),0),"")</f>
        <v/>
      </c>
      <c r="BC30" s="47" t="str">
        <f>IFERROR(VLOOKUP($A$1&amp;"-"&amp;ROW(AR29),基本資料填寫!$A:$DN,COLUMN(基本資料填寫!BF30),0),"")</f>
        <v/>
      </c>
      <c r="BD30" s="47" t="str">
        <f>IFERROR(VLOOKUP($A$1&amp;"-"&amp;ROW(AS29),基本資料填寫!$A:$DN,COLUMN(基本資料填寫!BG30),0),"")</f>
        <v/>
      </c>
      <c r="BE30" s="47" t="str">
        <f>IFERROR(VLOOKUP($A$1&amp;"-"&amp;ROW(AT29),基本資料填寫!$A:$DN,COLUMN(基本資料填寫!BH30),0),"")</f>
        <v/>
      </c>
      <c r="BF30" s="47" t="str">
        <f>IFERROR(VLOOKUP($A$1&amp;"-"&amp;ROW(AU29),基本資料填寫!$A:$DN,COLUMN(基本資料填寫!BI30),0),"")</f>
        <v/>
      </c>
      <c r="BG30" s="47" t="str">
        <f>IFERROR(VLOOKUP($A$1&amp;"-"&amp;ROW(AV29),基本資料填寫!$A:$DN,COLUMN(基本資料填寫!BJ30),0),"")</f>
        <v/>
      </c>
      <c r="BH30" s="47" t="str">
        <f>IFERROR(VLOOKUP($A$1&amp;"-"&amp;ROW(AW29),基本資料填寫!$A:$DN,COLUMN(基本資料填寫!BK30),0),"")</f>
        <v/>
      </c>
      <c r="BI30" s="47" t="str">
        <f>IFERROR(VLOOKUP($A$1&amp;"-"&amp;ROW(AX29),基本資料填寫!$A:$DN,COLUMN(基本資料填寫!BL30),0),"")</f>
        <v/>
      </c>
      <c r="BJ30" s="47" t="str">
        <f>IFERROR(VLOOKUP($A$1&amp;"-"&amp;ROW(AY29),基本資料填寫!$A:$DN,COLUMN(基本資料填寫!BM30),0),"")</f>
        <v/>
      </c>
      <c r="BK30" s="47" t="str">
        <f>IFERROR(VLOOKUP($A$1&amp;"-"&amp;ROW(AZ29),基本資料填寫!$A:$DN,COLUMN(基本資料填寫!BN30),0),"")</f>
        <v/>
      </c>
      <c r="BL30" s="47" t="str">
        <f>IFERROR(VLOOKUP($A$1&amp;"-"&amp;ROW(BA29),基本資料填寫!$A:$DN,COLUMN(基本資料填寫!BO30),0),"")</f>
        <v/>
      </c>
      <c r="BM30" s="47" t="str">
        <f>IFERROR(VLOOKUP($A$1&amp;"-"&amp;ROW(BB29),基本資料填寫!$A:$DN,COLUMN(基本資料填寫!BP30),0),"")</f>
        <v/>
      </c>
      <c r="BN30" s="47" t="str">
        <f>IFERROR(VLOOKUP($A$1&amp;"-"&amp;ROW(BC29),基本資料填寫!$A:$DN,COLUMN(基本資料填寫!BQ30),0),"")</f>
        <v/>
      </c>
      <c r="BO30" s="47" t="str">
        <f>IFERROR(VLOOKUP($A$1&amp;"-"&amp;ROW(BD29),基本資料填寫!$A:$DN,COLUMN(基本資料填寫!BR30),0),"")</f>
        <v/>
      </c>
    </row>
    <row r="31" spans="2:67" x14ac:dyDescent="0.3">
      <c r="B31" s="47" t="str">
        <f>IFERROR(VLOOKUP($A$1&amp;"-"&amp;ROW(A30),基本資料填寫!$A:$DN,COLUMN(基本資料填寫!K31),0),"")</f>
        <v/>
      </c>
      <c r="C31" s="47" t="str">
        <f>IFERROR(VLOOKUP($A$1&amp;"-"&amp;ROW(B30),基本資料填寫!$A:$DN,COLUMN(基本資料填寫!L31),0),"")</f>
        <v/>
      </c>
      <c r="D31" s="47" t="str">
        <f>IF(E31="","",COUNTA($E$2:E31))</f>
        <v/>
      </c>
      <c r="E31" s="47" t="str">
        <f>IFERROR(VLOOKUP($A$1&amp;"-"&amp;ROW(E30),基本資料填寫!$A:$DN,COLUMN(基本資料填寫!S31),0),"")</f>
        <v/>
      </c>
      <c r="G31" s="47" t="str">
        <f>IFERROR(VLOOKUP($A$1&amp;"-"&amp;ROW(G30),基本資料填寫!$A:$DN,COLUMN(基本資料填寫!V31),0),"")</f>
        <v/>
      </c>
      <c r="H31" s="47" t="str">
        <f>IFERROR(VLOOKUP($A$1&amp;"-"&amp;ROW(BI30),基本資料填寫!$A:$DN,COLUMN(基本資料填寫!BW31),0),"")</f>
        <v/>
      </c>
      <c r="I31" s="47" t="str">
        <f>IFERROR(VLOOKUP($A$1&amp;"-"&amp;ROW(I30),基本資料填寫!$A:$DN,COLUMN(基本資料填寫!AN31),0),"")</f>
        <v/>
      </c>
      <c r="J31" s="47" t="str">
        <f>IFERROR(VLOOKUP($A$1&amp;"-"&amp;ROW(K30),基本資料填寫!$A:$DN,COLUMN(基本資料填寫!R31),0),"")</f>
        <v/>
      </c>
      <c r="K31" s="47" t="str">
        <f>IFERROR(VLOOKUP($A$1&amp;"-"&amp;ROW(AA30),基本資料填寫!$A:$DN,COLUMN(基本資料填寫!BX31),0),"")</f>
        <v/>
      </c>
      <c r="L31" s="47" t="str">
        <f>IFERROR(VLOOKUP($A$1&amp;"-"&amp;ROW(S30),基本資料填寫!$A:$DN,COLUMN(基本資料填寫!Z31),0),"")</f>
        <v/>
      </c>
      <c r="M31" s="47" t="str">
        <f>IFERROR(VLOOKUP($A$1&amp;"-"&amp;ROW(T30),基本資料填寫!$A:$DN,COLUMN(基本資料填寫!AA31),0),"")</f>
        <v/>
      </c>
      <c r="N31" s="47" t="str">
        <f>IFERROR(VLOOKUP($A$1&amp;"-"&amp;ROW(AB30),基本資料填寫!$A:$DN,COLUMN(基本資料填寫!BY31),0),"")</f>
        <v/>
      </c>
      <c r="O31" s="47" t="str">
        <f>IFERROR(VLOOKUP($A$1&amp;"-"&amp;ROW(AC30),基本資料填寫!$A:$DN,COLUMN(基本資料填寫!BZ31),0),"")</f>
        <v/>
      </c>
      <c r="P31" s="47" t="str">
        <f>IFERROR(VLOOKUP($A$1&amp;"-"&amp;ROW(AD30),基本資料填寫!$A:$DN,COLUMN(基本資料填寫!CA31),0),"")</f>
        <v/>
      </c>
      <c r="Q31" s="47" t="str">
        <f>IFERROR(VLOOKUP($A$1&amp;"-"&amp;ROW(J30),基本資料填寫!$A:$DN,COLUMN(基本資料填寫!AO31),0),"")</f>
        <v/>
      </c>
      <c r="R31" s="47" t="str">
        <f>IFERROR(VLOOKUP($A$1&amp;"-"&amp;ROW(AE30),基本資料填寫!$A:$DN,COLUMN(基本資料填寫!CB31),0),"")</f>
        <v/>
      </c>
      <c r="S31" s="47" t="str">
        <f>IFERROR(VLOOKUP($A$1&amp;"-"&amp;ROW(AF30),基本資料填寫!$A:$DN,COLUMN(基本資料填寫!CC31),0),"")</f>
        <v/>
      </c>
      <c r="T31" s="47" t="str">
        <f>IFERROR(VLOOKUP($A$1&amp;"-"&amp;ROW(AG30),基本資料填寫!$A:$DN,COLUMN(基本資料填寫!CD31),0),"")</f>
        <v/>
      </c>
      <c r="U31" s="47" t="str">
        <f>IFERROR(VLOOKUP($A$1&amp;"-"&amp;ROW(AH30),基本資料填寫!$A:$DN,COLUMN(基本資料填寫!CE31),0),"")</f>
        <v/>
      </c>
      <c r="V31" s="47" t="str">
        <f>IFERROR(VLOOKUP($A$1&amp;"-"&amp;ROW(AI30),基本資料填寫!$A:$DN,COLUMN(基本資料填寫!CF31),0),"")</f>
        <v/>
      </c>
      <c r="W31" s="47" t="str">
        <f>IFERROR(VLOOKUP($A$1&amp;"-"&amp;ROW(AJ30),基本資料填寫!$A:$DN,COLUMN(基本資料填寫!CG31),0),"")</f>
        <v/>
      </c>
      <c r="X31" s="47" t="str">
        <f>IFERROR(VLOOKUP($A$1&amp;"-"&amp;ROW(AK30),基本資料填寫!$A:$DN,COLUMN(基本資料填寫!CH31),0),"")</f>
        <v/>
      </c>
      <c r="Y31" s="47" t="str">
        <f>IFERROR(VLOOKUP($A$1&amp;"-"&amp;ROW(AL30),基本資料填寫!$A:$DN,COLUMN(基本資料填寫!CI31),0),"")</f>
        <v/>
      </c>
      <c r="Z31" s="47" t="str">
        <f>IFERROR(VLOOKUP($A$1&amp;"-"&amp;ROW(H30),基本資料填寫!$A:$DN,COLUMN(基本資料填寫!O31),0),"")</f>
        <v/>
      </c>
      <c r="AA31" s="47" t="str">
        <f>IFERROR(VLOOKUP($A$1&amp;"-"&amp;ROW(AM30),基本資料填寫!$A:$DN,COLUMN(基本資料填寫!CJ31),0),"")</f>
        <v/>
      </c>
      <c r="AB31" s="47" t="str">
        <f>IFERROR(VLOOKUP($A$1&amp;"-"&amp;ROW(AN30),基本資料填寫!$A:$DN,COLUMN(基本資料填寫!CK31),0),"")</f>
        <v/>
      </c>
      <c r="AC31" s="47" t="str">
        <f>IFERROR(VLOOKUP($A$1&amp;"-"&amp;ROW(AP30),基本資料填寫!$A:$DN,COLUMN(基本資料填寫!CN31),0),"")</f>
        <v/>
      </c>
      <c r="AD31" s="47" t="str">
        <f>IFERROR(VLOOKUP($A$1&amp;"-"&amp;ROW(AQ30),基本資料填寫!$A:$DN,COLUMN(基本資料填寫!CO31),0),"")</f>
        <v/>
      </c>
      <c r="AE31" s="47" t="str">
        <f>IFERROR(VLOOKUP($A$1&amp;"-"&amp;ROW(AR30),基本資料填寫!$A:$DN,COLUMN(基本資料填寫!CP31),0),"")</f>
        <v/>
      </c>
      <c r="AF31" s="47" t="str">
        <f>IFERROR(VLOOKUP($A$1&amp;"-"&amp;ROW(AS30),基本資料填寫!$A:$DN,COLUMN(基本資料填寫!CQ31),0),"")</f>
        <v/>
      </c>
      <c r="AG31" s="47" t="str">
        <f>IFERROR(VLOOKUP($A$1&amp;"-"&amp;ROW(AT30),基本資料填寫!$A:$DN,COLUMN(基本資料填寫!CR31),0),"")</f>
        <v/>
      </c>
      <c r="AH31" s="47" t="str">
        <f>IFERROR(VLOOKUP($A$1&amp;"-"&amp;ROW(AU30),基本資料填寫!$A:$DN,COLUMN(基本資料填寫!CS31),0),"")</f>
        <v/>
      </c>
      <c r="AI31" s="47" t="str">
        <f>IFERROR(VLOOKUP($A$1&amp;"-"&amp;ROW(P30),基本資料填寫!$A:$DN,COLUMN(基本資料填寫!X31),0),"")</f>
        <v/>
      </c>
      <c r="AJ31" s="47" t="str">
        <f>IFERROR(VLOOKUP($A$1&amp;"-"&amp;ROW(AV30),基本資料填寫!$A:$DN,COLUMN(基本資料填寫!CT31),0),"")</f>
        <v/>
      </c>
      <c r="AK31" s="47" t="str">
        <f>IFERROR(VLOOKUP($A$1&amp;"-"&amp;ROW(AC30),基本資料填寫!$A:$DN,COLUMN(基本資料填寫!AQ31),0),"")</f>
        <v/>
      </c>
      <c r="AL31" s="47" t="str">
        <f>IFERROR(VLOOKUP($A$1&amp;"-"&amp;ROW(AO30),基本資料填寫!$A:$DN,COLUMN(基本資料填寫!CM31),0),"")</f>
        <v/>
      </c>
      <c r="AM31" s="47" t="str">
        <f>IFERROR(VLOOKUP($A$1&amp;"-"&amp;ROW(AD30),基本資料填寫!$A:$DN,COLUMN(基本資料填寫!AR31),0),"")</f>
        <v/>
      </c>
      <c r="AN31" s="47" t="str">
        <f>IFERROR(VLOOKUP($A$1&amp;"-"&amp;ROW(K30),基本資料填寫!$A:$DN,COLUMN(基本資料填寫!AP31),0),"")</f>
        <v/>
      </c>
      <c r="AO31" s="47" t="str">
        <f>IFERROR(VLOOKUP($A$1&amp;"-"&amp;ROW(J30),基本資料填寫!$A:$DN,COLUMN(基本資料填寫!AO31),0),"")</f>
        <v/>
      </c>
      <c r="AP31" s="47" t="str">
        <f>IFERROR(VLOOKUP($A$1&amp;"-"&amp;ROW(AE30),基本資料填寫!$A:$DN,COLUMN(基本資料填寫!AS31),0),"")</f>
        <v/>
      </c>
      <c r="AQ31" s="47" t="str">
        <f>IFERROR(VLOOKUP($A$1&amp;"-"&amp;ROW(AF30),基本資料填寫!$A:$DN,COLUMN(基本資料填寫!AT31),0),"")</f>
        <v/>
      </c>
      <c r="AR31" s="47" t="str">
        <f>IFERROR(VLOOKUP($A$1&amp;"-"&amp;ROW(AG30),基本資料填寫!$A:$DN,COLUMN(基本資料填寫!AU31),0),"")</f>
        <v/>
      </c>
      <c r="AS31" s="47" t="str">
        <f>IFERROR(VLOOKUP($A$1&amp;"-"&amp;ROW(AH30),基本資料填寫!$A:$DN,COLUMN(基本資料填寫!AV31),0),"")</f>
        <v/>
      </c>
      <c r="AT31" s="47" t="str">
        <f>IFERROR(VLOOKUP($A$1&amp;"-"&amp;ROW(AI30),基本資料填寫!$A:$DN,COLUMN(基本資料填寫!AW31),0),"")</f>
        <v/>
      </c>
      <c r="AU31" s="47" t="str">
        <f>IFERROR(VLOOKUP($A$1&amp;"-"&amp;ROW(AJ30),基本資料填寫!$A:$DN,COLUMN(基本資料填寫!AX31),0),"")</f>
        <v/>
      </c>
      <c r="AV31" s="47" t="str">
        <f>IFERROR(VLOOKUP($A$1&amp;"-"&amp;ROW(AK30),基本資料填寫!$A:$DN,COLUMN(基本資料填寫!AY31),0),"")</f>
        <v/>
      </c>
      <c r="AW31" s="47" t="str">
        <f>IFERROR(VLOOKUP($A$1&amp;"-"&amp;ROW(AL30),基本資料填寫!$A:$DN,COLUMN(基本資料填寫!AZ31),0),"")</f>
        <v/>
      </c>
      <c r="AX31" s="47" t="str">
        <f>IFERROR(VLOOKUP($A$1&amp;"-"&amp;ROW(AM30),基本資料填寫!$A:$DN,COLUMN(基本資料填寫!BA31),0),"")</f>
        <v/>
      </c>
      <c r="AY31" s="47" t="str">
        <f>IFERROR(VLOOKUP($A$1&amp;"-"&amp;ROW(AN30),基本資料填寫!$A:$DN,COLUMN(基本資料填寫!BB31),0),"")</f>
        <v/>
      </c>
      <c r="AZ31" s="47" t="str">
        <f>IFERROR(VLOOKUP($A$1&amp;"-"&amp;ROW(AO30),基本資料填寫!$A:$DN,COLUMN(基本資料填寫!BC31),0),"")</f>
        <v/>
      </c>
      <c r="BA31" s="47" t="str">
        <f>IFERROR(VLOOKUP($A$1&amp;"-"&amp;ROW(AP30),基本資料填寫!$A:$DN,COLUMN(基本資料填寫!BD31),0),"")</f>
        <v/>
      </c>
      <c r="BB31" s="47" t="str">
        <f>IFERROR(VLOOKUP($A$1&amp;"-"&amp;ROW(AQ30),基本資料填寫!$A:$DN,COLUMN(基本資料填寫!BE31),0),"")</f>
        <v/>
      </c>
      <c r="BC31" s="47" t="str">
        <f>IFERROR(VLOOKUP($A$1&amp;"-"&amp;ROW(AR30),基本資料填寫!$A:$DN,COLUMN(基本資料填寫!BF31),0),"")</f>
        <v/>
      </c>
      <c r="BD31" s="47" t="str">
        <f>IFERROR(VLOOKUP($A$1&amp;"-"&amp;ROW(AS30),基本資料填寫!$A:$DN,COLUMN(基本資料填寫!BG31),0),"")</f>
        <v/>
      </c>
      <c r="BE31" s="47" t="str">
        <f>IFERROR(VLOOKUP($A$1&amp;"-"&amp;ROW(AT30),基本資料填寫!$A:$DN,COLUMN(基本資料填寫!BH31),0),"")</f>
        <v/>
      </c>
      <c r="BF31" s="47" t="str">
        <f>IFERROR(VLOOKUP($A$1&amp;"-"&amp;ROW(AU30),基本資料填寫!$A:$DN,COLUMN(基本資料填寫!BI31),0),"")</f>
        <v/>
      </c>
      <c r="BG31" s="47" t="str">
        <f>IFERROR(VLOOKUP($A$1&amp;"-"&amp;ROW(AV30),基本資料填寫!$A:$DN,COLUMN(基本資料填寫!BJ31),0),"")</f>
        <v/>
      </c>
      <c r="BH31" s="47" t="str">
        <f>IFERROR(VLOOKUP($A$1&amp;"-"&amp;ROW(AW30),基本資料填寫!$A:$DN,COLUMN(基本資料填寫!BK31),0),"")</f>
        <v/>
      </c>
      <c r="BI31" s="47" t="str">
        <f>IFERROR(VLOOKUP($A$1&amp;"-"&amp;ROW(AX30),基本資料填寫!$A:$DN,COLUMN(基本資料填寫!BL31),0),"")</f>
        <v/>
      </c>
      <c r="BJ31" s="47" t="str">
        <f>IFERROR(VLOOKUP($A$1&amp;"-"&amp;ROW(AY30),基本資料填寫!$A:$DN,COLUMN(基本資料填寫!BM31),0),"")</f>
        <v/>
      </c>
      <c r="BK31" s="47" t="str">
        <f>IFERROR(VLOOKUP($A$1&amp;"-"&amp;ROW(AZ30),基本資料填寫!$A:$DN,COLUMN(基本資料填寫!BN31),0),"")</f>
        <v/>
      </c>
      <c r="BL31" s="47" t="str">
        <f>IFERROR(VLOOKUP($A$1&amp;"-"&amp;ROW(BA30),基本資料填寫!$A:$DN,COLUMN(基本資料填寫!BO31),0),"")</f>
        <v/>
      </c>
      <c r="BM31" s="47" t="str">
        <f>IFERROR(VLOOKUP($A$1&amp;"-"&amp;ROW(BB30),基本資料填寫!$A:$DN,COLUMN(基本資料填寫!BP31),0),"")</f>
        <v/>
      </c>
      <c r="BN31" s="47" t="str">
        <f>IFERROR(VLOOKUP($A$1&amp;"-"&amp;ROW(BC30),基本資料填寫!$A:$DN,COLUMN(基本資料填寫!BQ31),0),"")</f>
        <v/>
      </c>
      <c r="BO31" s="47" t="str">
        <f>IFERROR(VLOOKUP($A$1&amp;"-"&amp;ROW(BD30),基本資料填寫!$A:$DN,COLUMN(基本資料填寫!BR31),0),"")</f>
        <v/>
      </c>
    </row>
    <row r="32" spans="2:67" x14ac:dyDescent="0.3">
      <c r="B32" s="47" t="str">
        <f>IFERROR(VLOOKUP($A$1&amp;"-"&amp;ROW(A31),基本資料填寫!$A:$DN,COLUMN(基本資料填寫!K32),0),"")</f>
        <v/>
      </c>
      <c r="C32" s="47" t="str">
        <f>IFERROR(VLOOKUP($A$1&amp;"-"&amp;ROW(B31),基本資料填寫!$A:$DN,COLUMN(基本資料填寫!L32),0),"")</f>
        <v/>
      </c>
      <c r="D32" s="47" t="str">
        <f>IF(E32="","",COUNTA($E$2:E32))</f>
        <v/>
      </c>
      <c r="E32" s="47" t="str">
        <f>IFERROR(VLOOKUP($A$1&amp;"-"&amp;ROW(E31),基本資料填寫!$A:$DN,COLUMN(基本資料填寫!S32),0),"")</f>
        <v/>
      </c>
      <c r="G32" s="47" t="str">
        <f>IFERROR(VLOOKUP($A$1&amp;"-"&amp;ROW(G31),基本資料填寫!$A:$DN,COLUMN(基本資料填寫!V32),0),"")</f>
        <v/>
      </c>
      <c r="H32" s="47" t="str">
        <f>IFERROR(VLOOKUP($A$1&amp;"-"&amp;ROW(BI31),基本資料填寫!$A:$DN,COLUMN(基本資料填寫!BW32),0),"")</f>
        <v/>
      </c>
      <c r="I32" s="47" t="str">
        <f>IFERROR(VLOOKUP($A$1&amp;"-"&amp;ROW(I31),基本資料填寫!$A:$DN,COLUMN(基本資料填寫!AN32),0),"")</f>
        <v/>
      </c>
      <c r="J32" s="47" t="str">
        <f>IFERROR(VLOOKUP($A$1&amp;"-"&amp;ROW(K31),基本資料填寫!$A:$DN,COLUMN(基本資料填寫!R32),0),"")</f>
        <v/>
      </c>
      <c r="K32" s="47" t="str">
        <f>IFERROR(VLOOKUP($A$1&amp;"-"&amp;ROW(AA31),基本資料填寫!$A:$DN,COLUMN(基本資料填寫!BX32),0),"")</f>
        <v/>
      </c>
      <c r="L32" s="47" t="str">
        <f>IFERROR(VLOOKUP($A$1&amp;"-"&amp;ROW(S31),基本資料填寫!$A:$DN,COLUMN(基本資料填寫!Z32),0),"")</f>
        <v/>
      </c>
      <c r="M32" s="47" t="str">
        <f>IFERROR(VLOOKUP($A$1&amp;"-"&amp;ROW(T31),基本資料填寫!$A:$DN,COLUMN(基本資料填寫!AA32),0),"")</f>
        <v/>
      </c>
      <c r="N32" s="47" t="str">
        <f>IFERROR(VLOOKUP($A$1&amp;"-"&amp;ROW(AB31),基本資料填寫!$A:$DN,COLUMN(基本資料填寫!BY32),0),"")</f>
        <v/>
      </c>
      <c r="O32" s="47" t="str">
        <f>IFERROR(VLOOKUP($A$1&amp;"-"&amp;ROW(AC31),基本資料填寫!$A:$DN,COLUMN(基本資料填寫!BZ32),0),"")</f>
        <v/>
      </c>
      <c r="P32" s="47" t="str">
        <f>IFERROR(VLOOKUP($A$1&amp;"-"&amp;ROW(AD31),基本資料填寫!$A:$DN,COLUMN(基本資料填寫!CA32),0),"")</f>
        <v/>
      </c>
      <c r="Q32" s="47" t="str">
        <f>IFERROR(VLOOKUP($A$1&amp;"-"&amp;ROW(J31),基本資料填寫!$A:$DN,COLUMN(基本資料填寫!AO32),0),"")</f>
        <v/>
      </c>
      <c r="R32" s="47" t="str">
        <f>IFERROR(VLOOKUP($A$1&amp;"-"&amp;ROW(AE31),基本資料填寫!$A:$DN,COLUMN(基本資料填寫!CB32),0),"")</f>
        <v/>
      </c>
      <c r="S32" s="47" t="str">
        <f>IFERROR(VLOOKUP($A$1&amp;"-"&amp;ROW(AF31),基本資料填寫!$A:$DN,COLUMN(基本資料填寫!CC32),0),"")</f>
        <v/>
      </c>
      <c r="T32" s="47" t="str">
        <f>IFERROR(VLOOKUP($A$1&amp;"-"&amp;ROW(AG31),基本資料填寫!$A:$DN,COLUMN(基本資料填寫!CD32),0),"")</f>
        <v/>
      </c>
      <c r="U32" s="47" t="str">
        <f>IFERROR(VLOOKUP($A$1&amp;"-"&amp;ROW(AH31),基本資料填寫!$A:$DN,COLUMN(基本資料填寫!CE32),0),"")</f>
        <v/>
      </c>
      <c r="V32" s="47" t="str">
        <f>IFERROR(VLOOKUP($A$1&amp;"-"&amp;ROW(AI31),基本資料填寫!$A:$DN,COLUMN(基本資料填寫!CF32),0),"")</f>
        <v/>
      </c>
      <c r="W32" s="47" t="str">
        <f>IFERROR(VLOOKUP($A$1&amp;"-"&amp;ROW(AJ31),基本資料填寫!$A:$DN,COLUMN(基本資料填寫!CG32),0),"")</f>
        <v/>
      </c>
      <c r="X32" s="47" t="str">
        <f>IFERROR(VLOOKUP($A$1&amp;"-"&amp;ROW(AK31),基本資料填寫!$A:$DN,COLUMN(基本資料填寫!CH32),0),"")</f>
        <v/>
      </c>
      <c r="Y32" s="47" t="str">
        <f>IFERROR(VLOOKUP($A$1&amp;"-"&amp;ROW(AL31),基本資料填寫!$A:$DN,COLUMN(基本資料填寫!CI32),0),"")</f>
        <v/>
      </c>
      <c r="Z32" s="47" t="str">
        <f>IFERROR(VLOOKUP($A$1&amp;"-"&amp;ROW(H31),基本資料填寫!$A:$DN,COLUMN(基本資料填寫!O32),0),"")</f>
        <v/>
      </c>
      <c r="AA32" s="47" t="str">
        <f>IFERROR(VLOOKUP($A$1&amp;"-"&amp;ROW(AM31),基本資料填寫!$A:$DN,COLUMN(基本資料填寫!CJ32),0),"")</f>
        <v/>
      </c>
      <c r="AB32" s="47" t="str">
        <f>IFERROR(VLOOKUP($A$1&amp;"-"&amp;ROW(AN31),基本資料填寫!$A:$DN,COLUMN(基本資料填寫!CK32),0),"")</f>
        <v/>
      </c>
      <c r="AC32" s="47" t="str">
        <f>IFERROR(VLOOKUP($A$1&amp;"-"&amp;ROW(AP31),基本資料填寫!$A:$DN,COLUMN(基本資料填寫!CN32),0),"")</f>
        <v/>
      </c>
      <c r="AD32" s="47" t="str">
        <f>IFERROR(VLOOKUP($A$1&amp;"-"&amp;ROW(AQ31),基本資料填寫!$A:$DN,COLUMN(基本資料填寫!CO32),0),"")</f>
        <v/>
      </c>
      <c r="AE32" s="47" t="str">
        <f>IFERROR(VLOOKUP($A$1&amp;"-"&amp;ROW(AR31),基本資料填寫!$A:$DN,COLUMN(基本資料填寫!CP32),0),"")</f>
        <v/>
      </c>
      <c r="AF32" s="47" t="str">
        <f>IFERROR(VLOOKUP($A$1&amp;"-"&amp;ROW(AS31),基本資料填寫!$A:$DN,COLUMN(基本資料填寫!CQ32),0),"")</f>
        <v/>
      </c>
      <c r="AG32" s="47" t="str">
        <f>IFERROR(VLOOKUP($A$1&amp;"-"&amp;ROW(AT31),基本資料填寫!$A:$DN,COLUMN(基本資料填寫!CR32),0),"")</f>
        <v/>
      </c>
      <c r="AH32" s="47" t="str">
        <f>IFERROR(VLOOKUP($A$1&amp;"-"&amp;ROW(AU31),基本資料填寫!$A:$DN,COLUMN(基本資料填寫!CS32),0),"")</f>
        <v/>
      </c>
      <c r="AI32" s="47" t="str">
        <f>IFERROR(VLOOKUP($A$1&amp;"-"&amp;ROW(P31),基本資料填寫!$A:$DN,COLUMN(基本資料填寫!X32),0),"")</f>
        <v/>
      </c>
      <c r="AJ32" s="47" t="str">
        <f>IFERROR(VLOOKUP($A$1&amp;"-"&amp;ROW(AV31),基本資料填寫!$A:$DN,COLUMN(基本資料填寫!CT32),0),"")</f>
        <v/>
      </c>
      <c r="AK32" s="47" t="str">
        <f>IFERROR(VLOOKUP($A$1&amp;"-"&amp;ROW(AC31),基本資料填寫!$A:$DN,COLUMN(基本資料填寫!AQ32),0),"")</f>
        <v/>
      </c>
      <c r="AL32" s="47" t="str">
        <f>IFERROR(VLOOKUP($A$1&amp;"-"&amp;ROW(AO31),基本資料填寫!$A:$DN,COLUMN(基本資料填寫!CM32),0),"")</f>
        <v/>
      </c>
      <c r="AM32" s="47" t="str">
        <f>IFERROR(VLOOKUP($A$1&amp;"-"&amp;ROW(AD31),基本資料填寫!$A:$DN,COLUMN(基本資料填寫!AR32),0),"")</f>
        <v/>
      </c>
      <c r="AN32" s="47" t="str">
        <f>IFERROR(VLOOKUP($A$1&amp;"-"&amp;ROW(K31),基本資料填寫!$A:$DN,COLUMN(基本資料填寫!AP32),0),"")</f>
        <v/>
      </c>
      <c r="AO32" s="47" t="str">
        <f>IFERROR(VLOOKUP($A$1&amp;"-"&amp;ROW(J31),基本資料填寫!$A:$DN,COLUMN(基本資料填寫!AO32),0),"")</f>
        <v/>
      </c>
      <c r="AP32" s="47" t="str">
        <f>IFERROR(VLOOKUP($A$1&amp;"-"&amp;ROW(AE31),基本資料填寫!$A:$DN,COLUMN(基本資料填寫!AS32),0),"")</f>
        <v/>
      </c>
      <c r="AQ32" s="47" t="str">
        <f>IFERROR(VLOOKUP($A$1&amp;"-"&amp;ROW(AF31),基本資料填寫!$A:$DN,COLUMN(基本資料填寫!AT32),0),"")</f>
        <v/>
      </c>
      <c r="AR32" s="47" t="str">
        <f>IFERROR(VLOOKUP($A$1&amp;"-"&amp;ROW(AG31),基本資料填寫!$A:$DN,COLUMN(基本資料填寫!AU32),0),"")</f>
        <v/>
      </c>
      <c r="AS32" s="47" t="str">
        <f>IFERROR(VLOOKUP($A$1&amp;"-"&amp;ROW(AH31),基本資料填寫!$A:$DN,COLUMN(基本資料填寫!AV32),0),"")</f>
        <v/>
      </c>
      <c r="AT32" s="47" t="str">
        <f>IFERROR(VLOOKUP($A$1&amp;"-"&amp;ROW(AI31),基本資料填寫!$A:$DN,COLUMN(基本資料填寫!AW32),0),"")</f>
        <v/>
      </c>
      <c r="AU32" s="47" t="str">
        <f>IFERROR(VLOOKUP($A$1&amp;"-"&amp;ROW(AJ31),基本資料填寫!$A:$DN,COLUMN(基本資料填寫!AX32),0),"")</f>
        <v/>
      </c>
      <c r="AV32" s="47" t="str">
        <f>IFERROR(VLOOKUP($A$1&amp;"-"&amp;ROW(AK31),基本資料填寫!$A:$DN,COLUMN(基本資料填寫!AY32),0),"")</f>
        <v/>
      </c>
      <c r="AW32" s="47" t="str">
        <f>IFERROR(VLOOKUP($A$1&amp;"-"&amp;ROW(AL31),基本資料填寫!$A:$DN,COLUMN(基本資料填寫!AZ32),0),"")</f>
        <v/>
      </c>
      <c r="AX32" s="47" t="str">
        <f>IFERROR(VLOOKUP($A$1&amp;"-"&amp;ROW(AM31),基本資料填寫!$A:$DN,COLUMN(基本資料填寫!BA32),0),"")</f>
        <v/>
      </c>
      <c r="AY32" s="47" t="str">
        <f>IFERROR(VLOOKUP($A$1&amp;"-"&amp;ROW(AN31),基本資料填寫!$A:$DN,COLUMN(基本資料填寫!BB32),0),"")</f>
        <v/>
      </c>
      <c r="AZ32" s="47" t="str">
        <f>IFERROR(VLOOKUP($A$1&amp;"-"&amp;ROW(AO31),基本資料填寫!$A:$DN,COLUMN(基本資料填寫!BC32),0),"")</f>
        <v/>
      </c>
      <c r="BA32" s="47" t="str">
        <f>IFERROR(VLOOKUP($A$1&amp;"-"&amp;ROW(AP31),基本資料填寫!$A:$DN,COLUMN(基本資料填寫!BD32),0),"")</f>
        <v/>
      </c>
      <c r="BB32" s="47" t="str">
        <f>IFERROR(VLOOKUP($A$1&amp;"-"&amp;ROW(AQ31),基本資料填寫!$A:$DN,COLUMN(基本資料填寫!BE32),0),"")</f>
        <v/>
      </c>
      <c r="BC32" s="47" t="str">
        <f>IFERROR(VLOOKUP($A$1&amp;"-"&amp;ROW(AR31),基本資料填寫!$A:$DN,COLUMN(基本資料填寫!BF32),0),"")</f>
        <v/>
      </c>
      <c r="BD32" s="47" t="str">
        <f>IFERROR(VLOOKUP($A$1&amp;"-"&amp;ROW(AS31),基本資料填寫!$A:$DN,COLUMN(基本資料填寫!BG32),0),"")</f>
        <v/>
      </c>
      <c r="BE32" s="47" t="str">
        <f>IFERROR(VLOOKUP($A$1&amp;"-"&amp;ROW(AT31),基本資料填寫!$A:$DN,COLUMN(基本資料填寫!BH32),0),"")</f>
        <v/>
      </c>
      <c r="BF32" s="47" t="str">
        <f>IFERROR(VLOOKUP($A$1&amp;"-"&amp;ROW(AU31),基本資料填寫!$A:$DN,COLUMN(基本資料填寫!BI32),0),"")</f>
        <v/>
      </c>
      <c r="BG32" s="47" t="str">
        <f>IFERROR(VLOOKUP($A$1&amp;"-"&amp;ROW(AV31),基本資料填寫!$A:$DN,COLUMN(基本資料填寫!BJ32),0),"")</f>
        <v/>
      </c>
      <c r="BH32" s="47" t="str">
        <f>IFERROR(VLOOKUP($A$1&amp;"-"&amp;ROW(AW31),基本資料填寫!$A:$DN,COLUMN(基本資料填寫!BK32),0),"")</f>
        <v/>
      </c>
      <c r="BI32" s="47" t="str">
        <f>IFERROR(VLOOKUP($A$1&amp;"-"&amp;ROW(AX31),基本資料填寫!$A:$DN,COLUMN(基本資料填寫!BL32),0),"")</f>
        <v/>
      </c>
      <c r="BJ32" s="47" t="str">
        <f>IFERROR(VLOOKUP($A$1&amp;"-"&amp;ROW(AY31),基本資料填寫!$A:$DN,COLUMN(基本資料填寫!BM32),0),"")</f>
        <v/>
      </c>
      <c r="BK32" s="47" t="str">
        <f>IFERROR(VLOOKUP($A$1&amp;"-"&amp;ROW(AZ31),基本資料填寫!$A:$DN,COLUMN(基本資料填寫!BN32),0),"")</f>
        <v/>
      </c>
      <c r="BL32" s="47" t="str">
        <f>IFERROR(VLOOKUP($A$1&amp;"-"&amp;ROW(BA31),基本資料填寫!$A:$DN,COLUMN(基本資料填寫!BO32),0),"")</f>
        <v/>
      </c>
      <c r="BM32" s="47" t="str">
        <f>IFERROR(VLOOKUP($A$1&amp;"-"&amp;ROW(BB31),基本資料填寫!$A:$DN,COLUMN(基本資料填寫!BP32),0),"")</f>
        <v/>
      </c>
      <c r="BN32" s="47" t="str">
        <f>IFERROR(VLOOKUP($A$1&amp;"-"&amp;ROW(BC31),基本資料填寫!$A:$DN,COLUMN(基本資料填寫!BQ32),0),"")</f>
        <v/>
      </c>
      <c r="BO32" s="47" t="str">
        <f>IFERROR(VLOOKUP($A$1&amp;"-"&amp;ROW(BD31),基本資料填寫!$A:$DN,COLUMN(基本資料填寫!BR32),0),"")</f>
        <v/>
      </c>
    </row>
    <row r="33" spans="2:67" x14ac:dyDescent="0.3">
      <c r="B33" s="47" t="str">
        <f>IFERROR(VLOOKUP($A$1&amp;"-"&amp;ROW(A32),基本資料填寫!$A:$DN,COLUMN(基本資料填寫!K33),0),"")</f>
        <v/>
      </c>
      <c r="C33" s="47" t="str">
        <f>IFERROR(VLOOKUP($A$1&amp;"-"&amp;ROW(B32),基本資料填寫!$A:$DN,COLUMN(基本資料填寫!L33),0),"")</f>
        <v/>
      </c>
      <c r="D33" s="47" t="str">
        <f>IF(E33="","",COUNTA($E$2:E33))</f>
        <v/>
      </c>
      <c r="E33" s="47" t="str">
        <f>IFERROR(VLOOKUP($A$1&amp;"-"&amp;ROW(E32),基本資料填寫!$A:$DN,COLUMN(基本資料填寫!S33),0),"")</f>
        <v/>
      </c>
      <c r="G33" s="47" t="str">
        <f>IFERROR(VLOOKUP($A$1&amp;"-"&amp;ROW(G32),基本資料填寫!$A:$DN,COLUMN(基本資料填寫!V33),0),"")</f>
        <v/>
      </c>
      <c r="H33" s="47" t="str">
        <f>IFERROR(VLOOKUP($A$1&amp;"-"&amp;ROW(BI32),基本資料填寫!$A:$DN,COLUMN(基本資料填寫!BW33),0),"")</f>
        <v/>
      </c>
      <c r="I33" s="47" t="str">
        <f>IFERROR(VLOOKUP($A$1&amp;"-"&amp;ROW(I32),基本資料填寫!$A:$DN,COLUMN(基本資料填寫!AN33),0),"")</f>
        <v/>
      </c>
      <c r="J33" s="47" t="str">
        <f>IFERROR(VLOOKUP($A$1&amp;"-"&amp;ROW(K32),基本資料填寫!$A:$DN,COLUMN(基本資料填寫!R33),0),"")</f>
        <v/>
      </c>
      <c r="K33" s="47" t="str">
        <f>IFERROR(VLOOKUP($A$1&amp;"-"&amp;ROW(AA32),基本資料填寫!$A:$DN,COLUMN(基本資料填寫!BX33),0),"")</f>
        <v/>
      </c>
      <c r="L33" s="47" t="str">
        <f>IFERROR(VLOOKUP($A$1&amp;"-"&amp;ROW(S32),基本資料填寫!$A:$DN,COLUMN(基本資料填寫!Z33),0),"")</f>
        <v/>
      </c>
      <c r="M33" s="47" t="str">
        <f>IFERROR(VLOOKUP($A$1&amp;"-"&amp;ROW(T32),基本資料填寫!$A:$DN,COLUMN(基本資料填寫!AA33),0),"")</f>
        <v/>
      </c>
      <c r="N33" s="47" t="str">
        <f>IFERROR(VLOOKUP($A$1&amp;"-"&amp;ROW(AB32),基本資料填寫!$A:$DN,COLUMN(基本資料填寫!BY33),0),"")</f>
        <v/>
      </c>
      <c r="O33" s="47" t="str">
        <f>IFERROR(VLOOKUP($A$1&amp;"-"&amp;ROW(AC32),基本資料填寫!$A:$DN,COLUMN(基本資料填寫!BZ33),0),"")</f>
        <v/>
      </c>
      <c r="P33" s="47" t="str">
        <f>IFERROR(VLOOKUP($A$1&amp;"-"&amp;ROW(AD32),基本資料填寫!$A:$DN,COLUMN(基本資料填寫!CA33),0),"")</f>
        <v/>
      </c>
      <c r="Q33" s="47" t="str">
        <f>IFERROR(VLOOKUP($A$1&amp;"-"&amp;ROW(J32),基本資料填寫!$A:$DN,COLUMN(基本資料填寫!AO33),0),"")</f>
        <v/>
      </c>
      <c r="R33" s="47" t="str">
        <f>IFERROR(VLOOKUP($A$1&amp;"-"&amp;ROW(AE32),基本資料填寫!$A:$DN,COLUMN(基本資料填寫!CB33),0),"")</f>
        <v/>
      </c>
      <c r="S33" s="47" t="str">
        <f>IFERROR(VLOOKUP($A$1&amp;"-"&amp;ROW(AF32),基本資料填寫!$A:$DN,COLUMN(基本資料填寫!CC33),0),"")</f>
        <v/>
      </c>
      <c r="T33" s="47" t="str">
        <f>IFERROR(VLOOKUP($A$1&amp;"-"&amp;ROW(AG32),基本資料填寫!$A:$DN,COLUMN(基本資料填寫!CD33),0),"")</f>
        <v/>
      </c>
      <c r="U33" s="47" t="str">
        <f>IFERROR(VLOOKUP($A$1&amp;"-"&amp;ROW(AH32),基本資料填寫!$A:$DN,COLUMN(基本資料填寫!CE33),0),"")</f>
        <v/>
      </c>
      <c r="V33" s="47" t="str">
        <f>IFERROR(VLOOKUP($A$1&amp;"-"&amp;ROW(AI32),基本資料填寫!$A:$DN,COLUMN(基本資料填寫!CF33),0),"")</f>
        <v/>
      </c>
      <c r="W33" s="47" t="str">
        <f>IFERROR(VLOOKUP($A$1&amp;"-"&amp;ROW(AJ32),基本資料填寫!$A:$DN,COLUMN(基本資料填寫!CG33),0),"")</f>
        <v/>
      </c>
      <c r="X33" s="47" t="str">
        <f>IFERROR(VLOOKUP($A$1&amp;"-"&amp;ROW(AK32),基本資料填寫!$A:$DN,COLUMN(基本資料填寫!CH33),0),"")</f>
        <v/>
      </c>
      <c r="Y33" s="47" t="str">
        <f>IFERROR(VLOOKUP($A$1&amp;"-"&amp;ROW(AL32),基本資料填寫!$A:$DN,COLUMN(基本資料填寫!CI33),0),"")</f>
        <v/>
      </c>
      <c r="Z33" s="47" t="str">
        <f>IFERROR(VLOOKUP($A$1&amp;"-"&amp;ROW(H32),基本資料填寫!$A:$DN,COLUMN(基本資料填寫!O33),0),"")</f>
        <v/>
      </c>
      <c r="AA33" s="47" t="str">
        <f>IFERROR(VLOOKUP($A$1&amp;"-"&amp;ROW(AM32),基本資料填寫!$A:$DN,COLUMN(基本資料填寫!CJ33),0),"")</f>
        <v/>
      </c>
      <c r="AB33" s="47" t="str">
        <f>IFERROR(VLOOKUP($A$1&amp;"-"&amp;ROW(AN32),基本資料填寫!$A:$DN,COLUMN(基本資料填寫!CK33),0),"")</f>
        <v/>
      </c>
      <c r="AC33" s="47" t="str">
        <f>IFERROR(VLOOKUP($A$1&amp;"-"&amp;ROW(AP32),基本資料填寫!$A:$DN,COLUMN(基本資料填寫!CN33),0),"")</f>
        <v/>
      </c>
      <c r="AD33" s="47" t="str">
        <f>IFERROR(VLOOKUP($A$1&amp;"-"&amp;ROW(AQ32),基本資料填寫!$A:$DN,COLUMN(基本資料填寫!CO33),0),"")</f>
        <v/>
      </c>
      <c r="AE33" s="47" t="str">
        <f>IFERROR(VLOOKUP($A$1&amp;"-"&amp;ROW(AR32),基本資料填寫!$A:$DN,COLUMN(基本資料填寫!CP33),0),"")</f>
        <v/>
      </c>
      <c r="AF33" s="47" t="str">
        <f>IFERROR(VLOOKUP($A$1&amp;"-"&amp;ROW(AS32),基本資料填寫!$A:$DN,COLUMN(基本資料填寫!CQ33),0),"")</f>
        <v/>
      </c>
      <c r="AG33" s="47" t="str">
        <f>IFERROR(VLOOKUP($A$1&amp;"-"&amp;ROW(AT32),基本資料填寫!$A:$DN,COLUMN(基本資料填寫!CR33),0),"")</f>
        <v/>
      </c>
      <c r="AH33" s="47" t="str">
        <f>IFERROR(VLOOKUP($A$1&amp;"-"&amp;ROW(AU32),基本資料填寫!$A:$DN,COLUMN(基本資料填寫!CS33),0),"")</f>
        <v/>
      </c>
      <c r="AI33" s="47" t="str">
        <f>IFERROR(VLOOKUP($A$1&amp;"-"&amp;ROW(P32),基本資料填寫!$A:$DN,COLUMN(基本資料填寫!X33),0),"")</f>
        <v/>
      </c>
      <c r="AJ33" s="47" t="str">
        <f>IFERROR(VLOOKUP($A$1&amp;"-"&amp;ROW(AV32),基本資料填寫!$A:$DN,COLUMN(基本資料填寫!CT33),0),"")</f>
        <v/>
      </c>
      <c r="AK33" s="47" t="str">
        <f>IFERROR(VLOOKUP($A$1&amp;"-"&amp;ROW(AC32),基本資料填寫!$A:$DN,COLUMN(基本資料填寫!AQ33),0),"")</f>
        <v/>
      </c>
      <c r="AL33" s="47" t="str">
        <f>IFERROR(VLOOKUP($A$1&amp;"-"&amp;ROW(AO32),基本資料填寫!$A:$DN,COLUMN(基本資料填寫!CM33),0),"")</f>
        <v/>
      </c>
      <c r="AM33" s="47" t="str">
        <f>IFERROR(VLOOKUP($A$1&amp;"-"&amp;ROW(AD32),基本資料填寫!$A:$DN,COLUMN(基本資料填寫!AR33),0),"")</f>
        <v/>
      </c>
      <c r="AN33" s="47" t="str">
        <f>IFERROR(VLOOKUP($A$1&amp;"-"&amp;ROW(K32),基本資料填寫!$A:$DN,COLUMN(基本資料填寫!AP33),0),"")</f>
        <v/>
      </c>
      <c r="AO33" s="47" t="str">
        <f>IFERROR(VLOOKUP($A$1&amp;"-"&amp;ROW(J32),基本資料填寫!$A:$DN,COLUMN(基本資料填寫!AO33),0),"")</f>
        <v/>
      </c>
      <c r="AP33" s="47" t="str">
        <f>IFERROR(VLOOKUP($A$1&amp;"-"&amp;ROW(AE32),基本資料填寫!$A:$DN,COLUMN(基本資料填寫!AS33),0),"")</f>
        <v/>
      </c>
      <c r="AQ33" s="47" t="str">
        <f>IFERROR(VLOOKUP($A$1&amp;"-"&amp;ROW(AF32),基本資料填寫!$A:$DN,COLUMN(基本資料填寫!AT33),0),"")</f>
        <v/>
      </c>
      <c r="AR33" s="47" t="str">
        <f>IFERROR(VLOOKUP($A$1&amp;"-"&amp;ROW(AG32),基本資料填寫!$A:$DN,COLUMN(基本資料填寫!AU33),0),"")</f>
        <v/>
      </c>
      <c r="AS33" s="47" t="str">
        <f>IFERROR(VLOOKUP($A$1&amp;"-"&amp;ROW(AH32),基本資料填寫!$A:$DN,COLUMN(基本資料填寫!AV33),0),"")</f>
        <v/>
      </c>
      <c r="AT33" s="47" t="str">
        <f>IFERROR(VLOOKUP($A$1&amp;"-"&amp;ROW(AI32),基本資料填寫!$A:$DN,COLUMN(基本資料填寫!AW33),0),"")</f>
        <v/>
      </c>
      <c r="AU33" s="47" t="str">
        <f>IFERROR(VLOOKUP($A$1&amp;"-"&amp;ROW(AJ32),基本資料填寫!$A:$DN,COLUMN(基本資料填寫!AX33),0),"")</f>
        <v/>
      </c>
      <c r="AV33" s="47" t="str">
        <f>IFERROR(VLOOKUP($A$1&amp;"-"&amp;ROW(AK32),基本資料填寫!$A:$DN,COLUMN(基本資料填寫!AY33),0),"")</f>
        <v/>
      </c>
      <c r="AW33" s="47" t="str">
        <f>IFERROR(VLOOKUP($A$1&amp;"-"&amp;ROW(AL32),基本資料填寫!$A:$DN,COLUMN(基本資料填寫!AZ33),0),"")</f>
        <v/>
      </c>
      <c r="AX33" s="47" t="str">
        <f>IFERROR(VLOOKUP($A$1&amp;"-"&amp;ROW(AM32),基本資料填寫!$A:$DN,COLUMN(基本資料填寫!BA33),0),"")</f>
        <v/>
      </c>
      <c r="AY33" s="47" t="str">
        <f>IFERROR(VLOOKUP($A$1&amp;"-"&amp;ROW(AN32),基本資料填寫!$A:$DN,COLUMN(基本資料填寫!BB33),0),"")</f>
        <v/>
      </c>
      <c r="AZ33" s="47" t="str">
        <f>IFERROR(VLOOKUP($A$1&amp;"-"&amp;ROW(AO32),基本資料填寫!$A:$DN,COLUMN(基本資料填寫!BC33),0),"")</f>
        <v/>
      </c>
      <c r="BA33" s="47" t="str">
        <f>IFERROR(VLOOKUP($A$1&amp;"-"&amp;ROW(AP32),基本資料填寫!$A:$DN,COLUMN(基本資料填寫!BD33),0),"")</f>
        <v/>
      </c>
      <c r="BB33" s="47" t="str">
        <f>IFERROR(VLOOKUP($A$1&amp;"-"&amp;ROW(AQ32),基本資料填寫!$A:$DN,COLUMN(基本資料填寫!BE33),0),"")</f>
        <v/>
      </c>
      <c r="BC33" s="47" t="str">
        <f>IFERROR(VLOOKUP($A$1&amp;"-"&amp;ROW(AR32),基本資料填寫!$A:$DN,COLUMN(基本資料填寫!BF33),0),"")</f>
        <v/>
      </c>
      <c r="BD33" s="47" t="str">
        <f>IFERROR(VLOOKUP($A$1&amp;"-"&amp;ROW(AS32),基本資料填寫!$A:$DN,COLUMN(基本資料填寫!BG33),0),"")</f>
        <v/>
      </c>
      <c r="BE33" s="47" t="str">
        <f>IFERROR(VLOOKUP($A$1&amp;"-"&amp;ROW(AT32),基本資料填寫!$A:$DN,COLUMN(基本資料填寫!BH33),0),"")</f>
        <v/>
      </c>
      <c r="BF33" s="47" t="str">
        <f>IFERROR(VLOOKUP($A$1&amp;"-"&amp;ROW(AU32),基本資料填寫!$A:$DN,COLUMN(基本資料填寫!BI33),0),"")</f>
        <v/>
      </c>
      <c r="BG33" s="47" t="str">
        <f>IFERROR(VLOOKUP($A$1&amp;"-"&amp;ROW(AV32),基本資料填寫!$A:$DN,COLUMN(基本資料填寫!BJ33),0),"")</f>
        <v/>
      </c>
      <c r="BH33" s="47" t="str">
        <f>IFERROR(VLOOKUP($A$1&amp;"-"&amp;ROW(AW32),基本資料填寫!$A:$DN,COLUMN(基本資料填寫!BK33),0),"")</f>
        <v/>
      </c>
      <c r="BI33" s="47" t="str">
        <f>IFERROR(VLOOKUP($A$1&amp;"-"&amp;ROW(AX32),基本資料填寫!$A:$DN,COLUMN(基本資料填寫!BL33),0),"")</f>
        <v/>
      </c>
      <c r="BJ33" s="47" t="str">
        <f>IFERROR(VLOOKUP($A$1&amp;"-"&amp;ROW(AY32),基本資料填寫!$A:$DN,COLUMN(基本資料填寫!BM33),0),"")</f>
        <v/>
      </c>
      <c r="BK33" s="47" t="str">
        <f>IFERROR(VLOOKUP($A$1&amp;"-"&amp;ROW(AZ32),基本資料填寫!$A:$DN,COLUMN(基本資料填寫!BN33),0),"")</f>
        <v/>
      </c>
      <c r="BL33" s="47" t="str">
        <f>IFERROR(VLOOKUP($A$1&amp;"-"&amp;ROW(BA32),基本資料填寫!$A:$DN,COLUMN(基本資料填寫!BO33),0),"")</f>
        <v/>
      </c>
      <c r="BM33" s="47" t="str">
        <f>IFERROR(VLOOKUP($A$1&amp;"-"&amp;ROW(BB32),基本資料填寫!$A:$DN,COLUMN(基本資料填寫!BP33),0),"")</f>
        <v/>
      </c>
      <c r="BN33" s="47" t="str">
        <f>IFERROR(VLOOKUP($A$1&amp;"-"&amp;ROW(BC32),基本資料填寫!$A:$DN,COLUMN(基本資料填寫!BQ33),0),"")</f>
        <v/>
      </c>
      <c r="BO33" s="47" t="str">
        <f>IFERROR(VLOOKUP($A$1&amp;"-"&amp;ROW(BD32),基本資料填寫!$A:$DN,COLUMN(基本資料填寫!BR33),0),"")</f>
        <v/>
      </c>
    </row>
    <row r="34" spans="2:67" x14ac:dyDescent="0.3">
      <c r="B34" s="47" t="str">
        <f>IFERROR(VLOOKUP($A$1&amp;"-"&amp;ROW(A33),基本資料填寫!$A:$DN,COLUMN(基本資料填寫!K34),0),"")</f>
        <v/>
      </c>
      <c r="C34" s="47" t="str">
        <f>IFERROR(VLOOKUP($A$1&amp;"-"&amp;ROW(B33),基本資料填寫!$A:$DN,COLUMN(基本資料填寫!L34),0),"")</f>
        <v/>
      </c>
      <c r="D34" s="47" t="str">
        <f>IF(E34="","",COUNTA($E$2:E34))</f>
        <v/>
      </c>
      <c r="E34" s="47" t="str">
        <f>IFERROR(VLOOKUP($A$1&amp;"-"&amp;ROW(E33),基本資料填寫!$A:$DN,COLUMN(基本資料填寫!S34),0),"")</f>
        <v/>
      </c>
      <c r="G34" s="47" t="str">
        <f>IFERROR(VLOOKUP($A$1&amp;"-"&amp;ROW(G33),基本資料填寫!$A:$DN,COLUMN(基本資料填寫!V34),0),"")</f>
        <v/>
      </c>
      <c r="H34" s="47" t="str">
        <f>IFERROR(VLOOKUP($A$1&amp;"-"&amp;ROW(BI33),基本資料填寫!$A:$DN,COLUMN(基本資料填寫!BW34),0),"")</f>
        <v/>
      </c>
      <c r="I34" s="47" t="str">
        <f>IFERROR(VLOOKUP($A$1&amp;"-"&amp;ROW(I33),基本資料填寫!$A:$DN,COLUMN(基本資料填寫!AN34),0),"")</f>
        <v/>
      </c>
      <c r="J34" s="47" t="str">
        <f>IFERROR(VLOOKUP($A$1&amp;"-"&amp;ROW(K33),基本資料填寫!$A:$DN,COLUMN(基本資料填寫!R34),0),"")</f>
        <v/>
      </c>
      <c r="K34" s="47" t="str">
        <f>IFERROR(VLOOKUP($A$1&amp;"-"&amp;ROW(AA33),基本資料填寫!$A:$DN,COLUMN(基本資料填寫!BX34),0),"")</f>
        <v/>
      </c>
      <c r="L34" s="47" t="str">
        <f>IFERROR(VLOOKUP($A$1&amp;"-"&amp;ROW(S33),基本資料填寫!$A:$DN,COLUMN(基本資料填寫!Z34),0),"")</f>
        <v/>
      </c>
      <c r="M34" s="47" t="str">
        <f>IFERROR(VLOOKUP($A$1&amp;"-"&amp;ROW(T33),基本資料填寫!$A:$DN,COLUMN(基本資料填寫!AA34),0),"")</f>
        <v/>
      </c>
      <c r="N34" s="47" t="str">
        <f>IFERROR(VLOOKUP($A$1&amp;"-"&amp;ROW(AB33),基本資料填寫!$A:$DN,COLUMN(基本資料填寫!BY34),0),"")</f>
        <v/>
      </c>
      <c r="O34" s="47" t="str">
        <f>IFERROR(VLOOKUP($A$1&amp;"-"&amp;ROW(AC33),基本資料填寫!$A:$DN,COLUMN(基本資料填寫!BZ34),0),"")</f>
        <v/>
      </c>
      <c r="P34" s="47" t="str">
        <f>IFERROR(VLOOKUP($A$1&amp;"-"&amp;ROW(AD33),基本資料填寫!$A:$DN,COLUMN(基本資料填寫!CA34),0),"")</f>
        <v/>
      </c>
      <c r="Q34" s="47" t="str">
        <f>IFERROR(VLOOKUP($A$1&amp;"-"&amp;ROW(J33),基本資料填寫!$A:$DN,COLUMN(基本資料填寫!AO34),0),"")</f>
        <v/>
      </c>
      <c r="R34" s="47" t="str">
        <f>IFERROR(VLOOKUP($A$1&amp;"-"&amp;ROW(AE33),基本資料填寫!$A:$DN,COLUMN(基本資料填寫!CB34),0),"")</f>
        <v/>
      </c>
      <c r="S34" s="47" t="str">
        <f>IFERROR(VLOOKUP($A$1&amp;"-"&amp;ROW(AF33),基本資料填寫!$A:$DN,COLUMN(基本資料填寫!CC34),0),"")</f>
        <v/>
      </c>
      <c r="T34" s="47" t="str">
        <f>IFERROR(VLOOKUP($A$1&amp;"-"&amp;ROW(AG33),基本資料填寫!$A:$DN,COLUMN(基本資料填寫!CD34),0),"")</f>
        <v/>
      </c>
      <c r="U34" s="47" t="str">
        <f>IFERROR(VLOOKUP($A$1&amp;"-"&amp;ROW(AH33),基本資料填寫!$A:$DN,COLUMN(基本資料填寫!CE34),0),"")</f>
        <v/>
      </c>
      <c r="V34" s="47" t="str">
        <f>IFERROR(VLOOKUP($A$1&amp;"-"&amp;ROW(AI33),基本資料填寫!$A:$DN,COLUMN(基本資料填寫!CF34),0),"")</f>
        <v/>
      </c>
      <c r="W34" s="47" t="str">
        <f>IFERROR(VLOOKUP($A$1&amp;"-"&amp;ROW(AJ33),基本資料填寫!$A:$DN,COLUMN(基本資料填寫!CG34),0),"")</f>
        <v/>
      </c>
      <c r="X34" s="47" t="str">
        <f>IFERROR(VLOOKUP($A$1&amp;"-"&amp;ROW(AK33),基本資料填寫!$A:$DN,COLUMN(基本資料填寫!CH34),0),"")</f>
        <v/>
      </c>
      <c r="Y34" s="47" t="str">
        <f>IFERROR(VLOOKUP($A$1&amp;"-"&amp;ROW(AL33),基本資料填寫!$A:$DN,COLUMN(基本資料填寫!CI34),0),"")</f>
        <v/>
      </c>
      <c r="Z34" s="47" t="str">
        <f>IFERROR(VLOOKUP($A$1&amp;"-"&amp;ROW(H33),基本資料填寫!$A:$DN,COLUMN(基本資料填寫!O34),0),"")</f>
        <v/>
      </c>
      <c r="AA34" s="47" t="str">
        <f>IFERROR(VLOOKUP($A$1&amp;"-"&amp;ROW(AM33),基本資料填寫!$A:$DN,COLUMN(基本資料填寫!CJ34),0),"")</f>
        <v/>
      </c>
      <c r="AB34" s="47" t="str">
        <f>IFERROR(VLOOKUP($A$1&amp;"-"&amp;ROW(AN33),基本資料填寫!$A:$DN,COLUMN(基本資料填寫!CK34),0),"")</f>
        <v/>
      </c>
      <c r="AC34" s="47" t="str">
        <f>IFERROR(VLOOKUP($A$1&amp;"-"&amp;ROW(AP33),基本資料填寫!$A:$DN,COLUMN(基本資料填寫!CN34),0),"")</f>
        <v/>
      </c>
      <c r="AD34" s="47" t="str">
        <f>IFERROR(VLOOKUP($A$1&amp;"-"&amp;ROW(AQ33),基本資料填寫!$A:$DN,COLUMN(基本資料填寫!CO34),0),"")</f>
        <v/>
      </c>
      <c r="AE34" s="47" t="str">
        <f>IFERROR(VLOOKUP($A$1&amp;"-"&amp;ROW(AR33),基本資料填寫!$A:$DN,COLUMN(基本資料填寫!CP34),0),"")</f>
        <v/>
      </c>
      <c r="AF34" s="47" t="str">
        <f>IFERROR(VLOOKUP($A$1&amp;"-"&amp;ROW(AS33),基本資料填寫!$A:$DN,COLUMN(基本資料填寫!CQ34),0),"")</f>
        <v/>
      </c>
      <c r="AG34" s="47" t="str">
        <f>IFERROR(VLOOKUP($A$1&amp;"-"&amp;ROW(AT33),基本資料填寫!$A:$DN,COLUMN(基本資料填寫!CR34),0),"")</f>
        <v/>
      </c>
      <c r="AH34" s="47" t="str">
        <f>IFERROR(VLOOKUP($A$1&amp;"-"&amp;ROW(AU33),基本資料填寫!$A:$DN,COLUMN(基本資料填寫!CS34),0),"")</f>
        <v/>
      </c>
      <c r="AI34" s="47" t="str">
        <f>IFERROR(VLOOKUP($A$1&amp;"-"&amp;ROW(P33),基本資料填寫!$A:$DN,COLUMN(基本資料填寫!X34),0),"")</f>
        <v/>
      </c>
      <c r="AJ34" s="47" t="str">
        <f>IFERROR(VLOOKUP($A$1&amp;"-"&amp;ROW(AV33),基本資料填寫!$A:$DN,COLUMN(基本資料填寫!CT34),0),"")</f>
        <v/>
      </c>
      <c r="AK34" s="47" t="str">
        <f>IFERROR(VLOOKUP($A$1&amp;"-"&amp;ROW(AC33),基本資料填寫!$A:$DN,COLUMN(基本資料填寫!AQ34),0),"")</f>
        <v/>
      </c>
      <c r="AL34" s="47" t="str">
        <f>IFERROR(VLOOKUP($A$1&amp;"-"&amp;ROW(AO33),基本資料填寫!$A:$DN,COLUMN(基本資料填寫!CM34),0),"")</f>
        <v/>
      </c>
      <c r="AM34" s="47" t="str">
        <f>IFERROR(VLOOKUP($A$1&amp;"-"&amp;ROW(AD33),基本資料填寫!$A:$DN,COLUMN(基本資料填寫!AR34),0),"")</f>
        <v/>
      </c>
      <c r="AN34" s="47" t="str">
        <f>IFERROR(VLOOKUP($A$1&amp;"-"&amp;ROW(K33),基本資料填寫!$A:$DN,COLUMN(基本資料填寫!AP34),0),"")</f>
        <v/>
      </c>
      <c r="AO34" s="47" t="str">
        <f>IFERROR(VLOOKUP($A$1&amp;"-"&amp;ROW(J33),基本資料填寫!$A:$DN,COLUMN(基本資料填寫!AO34),0),"")</f>
        <v/>
      </c>
      <c r="AP34" s="47" t="str">
        <f>IFERROR(VLOOKUP($A$1&amp;"-"&amp;ROW(AE33),基本資料填寫!$A:$DN,COLUMN(基本資料填寫!AS34),0),"")</f>
        <v/>
      </c>
      <c r="AQ34" s="47" t="str">
        <f>IFERROR(VLOOKUP($A$1&amp;"-"&amp;ROW(AF33),基本資料填寫!$A:$DN,COLUMN(基本資料填寫!AT34),0),"")</f>
        <v/>
      </c>
      <c r="AR34" s="47" t="str">
        <f>IFERROR(VLOOKUP($A$1&amp;"-"&amp;ROW(AG33),基本資料填寫!$A:$DN,COLUMN(基本資料填寫!AU34),0),"")</f>
        <v/>
      </c>
      <c r="AS34" s="47" t="str">
        <f>IFERROR(VLOOKUP($A$1&amp;"-"&amp;ROW(AH33),基本資料填寫!$A:$DN,COLUMN(基本資料填寫!AV34),0),"")</f>
        <v/>
      </c>
      <c r="AT34" s="47" t="str">
        <f>IFERROR(VLOOKUP($A$1&amp;"-"&amp;ROW(AI33),基本資料填寫!$A:$DN,COLUMN(基本資料填寫!AW34),0),"")</f>
        <v/>
      </c>
      <c r="AU34" s="47" t="str">
        <f>IFERROR(VLOOKUP($A$1&amp;"-"&amp;ROW(AJ33),基本資料填寫!$A:$DN,COLUMN(基本資料填寫!AX34),0),"")</f>
        <v/>
      </c>
      <c r="AV34" s="47" t="str">
        <f>IFERROR(VLOOKUP($A$1&amp;"-"&amp;ROW(AK33),基本資料填寫!$A:$DN,COLUMN(基本資料填寫!AY34),0),"")</f>
        <v/>
      </c>
      <c r="AW34" s="47" t="str">
        <f>IFERROR(VLOOKUP($A$1&amp;"-"&amp;ROW(AL33),基本資料填寫!$A:$DN,COLUMN(基本資料填寫!AZ34),0),"")</f>
        <v/>
      </c>
      <c r="AX34" s="47" t="str">
        <f>IFERROR(VLOOKUP($A$1&amp;"-"&amp;ROW(AM33),基本資料填寫!$A:$DN,COLUMN(基本資料填寫!BA34),0),"")</f>
        <v/>
      </c>
      <c r="AY34" s="47" t="str">
        <f>IFERROR(VLOOKUP($A$1&amp;"-"&amp;ROW(AN33),基本資料填寫!$A:$DN,COLUMN(基本資料填寫!BB34),0),"")</f>
        <v/>
      </c>
      <c r="AZ34" s="47" t="str">
        <f>IFERROR(VLOOKUP($A$1&amp;"-"&amp;ROW(AO33),基本資料填寫!$A:$DN,COLUMN(基本資料填寫!BC34),0),"")</f>
        <v/>
      </c>
      <c r="BA34" s="47" t="str">
        <f>IFERROR(VLOOKUP($A$1&amp;"-"&amp;ROW(AP33),基本資料填寫!$A:$DN,COLUMN(基本資料填寫!BD34),0),"")</f>
        <v/>
      </c>
      <c r="BB34" s="47" t="str">
        <f>IFERROR(VLOOKUP($A$1&amp;"-"&amp;ROW(AQ33),基本資料填寫!$A:$DN,COLUMN(基本資料填寫!BE34),0),"")</f>
        <v/>
      </c>
      <c r="BC34" s="47" t="str">
        <f>IFERROR(VLOOKUP($A$1&amp;"-"&amp;ROW(AR33),基本資料填寫!$A:$DN,COLUMN(基本資料填寫!BF34),0),"")</f>
        <v/>
      </c>
      <c r="BD34" s="47" t="str">
        <f>IFERROR(VLOOKUP($A$1&amp;"-"&amp;ROW(AS33),基本資料填寫!$A:$DN,COLUMN(基本資料填寫!BG34),0),"")</f>
        <v/>
      </c>
      <c r="BE34" s="47" t="str">
        <f>IFERROR(VLOOKUP($A$1&amp;"-"&amp;ROW(AT33),基本資料填寫!$A:$DN,COLUMN(基本資料填寫!BH34),0),"")</f>
        <v/>
      </c>
      <c r="BF34" s="47" t="str">
        <f>IFERROR(VLOOKUP($A$1&amp;"-"&amp;ROW(AU33),基本資料填寫!$A:$DN,COLUMN(基本資料填寫!BI34),0),"")</f>
        <v/>
      </c>
      <c r="BG34" s="47" t="str">
        <f>IFERROR(VLOOKUP($A$1&amp;"-"&amp;ROW(AV33),基本資料填寫!$A:$DN,COLUMN(基本資料填寫!BJ34),0),"")</f>
        <v/>
      </c>
      <c r="BH34" s="47" t="str">
        <f>IFERROR(VLOOKUP($A$1&amp;"-"&amp;ROW(AW33),基本資料填寫!$A:$DN,COLUMN(基本資料填寫!BK34),0),"")</f>
        <v/>
      </c>
      <c r="BI34" s="47" t="str">
        <f>IFERROR(VLOOKUP($A$1&amp;"-"&amp;ROW(AX33),基本資料填寫!$A:$DN,COLUMN(基本資料填寫!BL34),0),"")</f>
        <v/>
      </c>
      <c r="BJ34" s="47" t="str">
        <f>IFERROR(VLOOKUP($A$1&amp;"-"&amp;ROW(AY33),基本資料填寫!$A:$DN,COLUMN(基本資料填寫!BM34),0),"")</f>
        <v/>
      </c>
      <c r="BK34" s="47" t="str">
        <f>IFERROR(VLOOKUP($A$1&amp;"-"&amp;ROW(AZ33),基本資料填寫!$A:$DN,COLUMN(基本資料填寫!BN34),0),"")</f>
        <v/>
      </c>
      <c r="BL34" s="47" t="str">
        <f>IFERROR(VLOOKUP($A$1&amp;"-"&amp;ROW(BA33),基本資料填寫!$A:$DN,COLUMN(基本資料填寫!BO34),0),"")</f>
        <v/>
      </c>
      <c r="BM34" s="47" t="str">
        <f>IFERROR(VLOOKUP($A$1&amp;"-"&amp;ROW(BB33),基本資料填寫!$A:$DN,COLUMN(基本資料填寫!BP34),0),"")</f>
        <v/>
      </c>
      <c r="BN34" s="47" t="str">
        <f>IFERROR(VLOOKUP($A$1&amp;"-"&amp;ROW(BC33),基本資料填寫!$A:$DN,COLUMN(基本資料填寫!BQ34),0),"")</f>
        <v/>
      </c>
      <c r="BO34" s="47" t="str">
        <f>IFERROR(VLOOKUP($A$1&amp;"-"&amp;ROW(BD33),基本資料填寫!$A:$DN,COLUMN(基本資料填寫!BR34),0),"")</f>
        <v/>
      </c>
    </row>
    <row r="35" spans="2:67" x14ac:dyDescent="0.3">
      <c r="B35" s="47" t="str">
        <f>IFERROR(VLOOKUP($A$1&amp;"-"&amp;ROW(A34),基本資料填寫!$A:$DN,COLUMN(基本資料填寫!K35),0),"")</f>
        <v/>
      </c>
      <c r="C35" s="47" t="str">
        <f>IFERROR(VLOOKUP($A$1&amp;"-"&amp;ROW(B34),基本資料填寫!$A:$DN,COLUMN(基本資料填寫!L35),0),"")</f>
        <v/>
      </c>
      <c r="D35" s="47" t="str">
        <f>IF(E35="","",COUNTA($E$2:E35))</f>
        <v/>
      </c>
      <c r="E35" s="47" t="str">
        <f>IFERROR(VLOOKUP($A$1&amp;"-"&amp;ROW(E34),基本資料填寫!$A:$DN,COLUMN(基本資料填寫!S35),0),"")</f>
        <v/>
      </c>
      <c r="G35" s="47" t="str">
        <f>IFERROR(VLOOKUP($A$1&amp;"-"&amp;ROW(G34),基本資料填寫!$A:$DN,COLUMN(基本資料填寫!V35),0),"")</f>
        <v/>
      </c>
      <c r="H35" s="47" t="str">
        <f>IFERROR(VLOOKUP($A$1&amp;"-"&amp;ROW(BI34),基本資料填寫!$A:$DN,COLUMN(基本資料填寫!BW35),0),"")</f>
        <v/>
      </c>
      <c r="I35" s="47" t="str">
        <f>IFERROR(VLOOKUP($A$1&amp;"-"&amp;ROW(I34),基本資料填寫!$A:$DN,COLUMN(基本資料填寫!AN35),0),"")</f>
        <v/>
      </c>
      <c r="J35" s="47" t="str">
        <f>IFERROR(VLOOKUP($A$1&amp;"-"&amp;ROW(K34),基本資料填寫!$A:$DN,COLUMN(基本資料填寫!R35),0),"")</f>
        <v/>
      </c>
      <c r="K35" s="47" t="str">
        <f>IFERROR(VLOOKUP($A$1&amp;"-"&amp;ROW(AA34),基本資料填寫!$A:$DN,COLUMN(基本資料填寫!BX35),0),"")</f>
        <v/>
      </c>
      <c r="L35" s="47" t="str">
        <f>IFERROR(VLOOKUP($A$1&amp;"-"&amp;ROW(S34),基本資料填寫!$A:$DN,COLUMN(基本資料填寫!Z35),0),"")</f>
        <v/>
      </c>
      <c r="M35" s="47" t="str">
        <f>IFERROR(VLOOKUP($A$1&amp;"-"&amp;ROW(T34),基本資料填寫!$A:$DN,COLUMN(基本資料填寫!AA35),0),"")</f>
        <v/>
      </c>
      <c r="N35" s="47" t="str">
        <f>IFERROR(VLOOKUP($A$1&amp;"-"&amp;ROW(AB34),基本資料填寫!$A:$DN,COLUMN(基本資料填寫!BY35),0),"")</f>
        <v/>
      </c>
      <c r="O35" s="47" t="str">
        <f>IFERROR(VLOOKUP($A$1&amp;"-"&amp;ROW(AC34),基本資料填寫!$A:$DN,COLUMN(基本資料填寫!BZ35),0),"")</f>
        <v/>
      </c>
      <c r="P35" s="47" t="str">
        <f>IFERROR(VLOOKUP($A$1&amp;"-"&amp;ROW(AD34),基本資料填寫!$A:$DN,COLUMN(基本資料填寫!CA35),0),"")</f>
        <v/>
      </c>
      <c r="Q35" s="47" t="str">
        <f>IFERROR(VLOOKUP($A$1&amp;"-"&amp;ROW(J34),基本資料填寫!$A:$DN,COLUMN(基本資料填寫!AO35),0),"")</f>
        <v/>
      </c>
      <c r="R35" s="47" t="str">
        <f>IFERROR(VLOOKUP($A$1&amp;"-"&amp;ROW(AE34),基本資料填寫!$A:$DN,COLUMN(基本資料填寫!CB35),0),"")</f>
        <v/>
      </c>
      <c r="S35" s="47" t="str">
        <f>IFERROR(VLOOKUP($A$1&amp;"-"&amp;ROW(AF34),基本資料填寫!$A:$DN,COLUMN(基本資料填寫!CC35),0),"")</f>
        <v/>
      </c>
      <c r="T35" s="47" t="str">
        <f>IFERROR(VLOOKUP($A$1&amp;"-"&amp;ROW(AG34),基本資料填寫!$A:$DN,COLUMN(基本資料填寫!CD35),0),"")</f>
        <v/>
      </c>
      <c r="U35" s="47" t="str">
        <f>IFERROR(VLOOKUP($A$1&amp;"-"&amp;ROW(AH34),基本資料填寫!$A:$DN,COLUMN(基本資料填寫!CE35),0),"")</f>
        <v/>
      </c>
      <c r="V35" s="47" t="str">
        <f>IFERROR(VLOOKUP($A$1&amp;"-"&amp;ROW(AI34),基本資料填寫!$A:$DN,COLUMN(基本資料填寫!CF35),0),"")</f>
        <v/>
      </c>
      <c r="W35" s="47" t="str">
        <f>IFERROR(VLOOKUP($A$1&amp;"-"&amp;ROW(AJ34),基本資料填寫!$A:$DN,COLUMN(基本資料填寫!CG35),0),"")</f>
        <v/>
      </c>
      <c r="X35" s="47" t="str">
        <f>IFERROR(VLOOKUP($A$1&amp;"-"&amp;ROW(AK34),基本資料填寫!$A:$DN,COLUMN(基本資料填寫!CH35),0),"")</f>
        <v/>
      </c>
      <c r="Y35" s="47" t="str">
        <f>IFERROR(VLOOKUP($A$1&amp;"-"&amp;ROW(AL34),基本資料填寫!$A:$DN,COLUMN(基本資料填寫!CI35),0),"")</f>
        <v/>
      </c>
      <c r="Z35" s="47" t="str">
        <f>IFERROR(VLOOKUP($A$1&amp;"-"&amp;ROW(H34),基本資料填寫!$A:$DN,COLUMN(基本資料填寫!O35),0),"")</f>
        <v/>
      </c>
      <c r="AA35" s="47" t="str">
        <f>IFERROR(VLOOKUP($A$1&amp;"-"&amp;ROW(AM34),基本資料填寫!$A:$DN,COLUMN(基本資料填寫!CJ35),0),"")</f>
        <v/>
      </c>
      <c r="AB35" s="47" t="str">
        <f>IFERROR(VLOOKUP($A$1&amp;"-"&amp;ROW(AN34),基本資料填寫!$A:$DN,COLUMN(基本資料填寫!CK35),0),"")</f>
        <v/>
      </c>
      <c r="AC35" s="47" t="str">
        <f>IFERROR(VLOOKUP($A$1&amp;"-"&amp;ROW(AP34),基本資料填寫!$A:$DN,COLUMN(基本資料填寫!CN35),0),"")</f>
        <v/>
      </c>
      <c r="AD35" s="47" t="str">
        <f>IFERROR(VLOOKUP($A$1&amp;"-"&amp;ROW(AQ34),基本資料填寫!$A:$DN,COLUMN(基本資料填寫!CO35),0),"")</f>
        <v/>
      </c>
      <c r="AE35" s="47" t="str">
        <f>IFERROR(VLOOKUP($A$1&amp;"-"&amp;ROW(AR34),基本資料填寫!$A:$DN,COLUMN(基本資料填寫!CP35),0),"")</f>
        <v/>
      </c>
      <c r="AF35" s="47" t="str">
        <f>IFERROR(VLOOKUP($A$1&amp;"-"&amp;ROW(AS34),基本資料填寫!$A:$DN,COLUMN(基本資料填寫!CQ35),0),"")</f>
        <v/>
      </c>
      <c r="AG35" s="47" t="str">
        <f>IFERROR(VLOOKUP($A$1&amp;"-"&amp;ROW(AT34),基本資料填寫!$A:$DN,COLUMN(基本資料填寫!CR35),0),"")</f>
        <v/>
      </c>
      <c r="AH35" s="47" t="str">
        <f>IFERROR(VLOOKUP($A$1&amp;"-"&amp;ROW(AU34),基本資料填寫!$A:$DN,COLUMN(基本資料填寫!CS35),0),"")</f>
        <v/>
      </c>
      <c r="AI35" s="47" t="str">
        <f>IFERROR(VLOOKUP($A$1&amp;"-"&amp;ROW(P34),基本資料填寫!$A:$DN,COLUMN(基本資料填寫!X35),0),"")</f>
        <v/>
      </c>
      <c r="AJ35" s="47" t="str">
        <f>IFERROR(VLOOKUP($A$1&amp;"-"&amp;ROW(AV34),基本資料填寫!$A:$DN,COLUMN(基本資料填寫!CT35),0),"")</f>
        <v/>
      </c>
      <c r="AK35" s="47" t="str">
        <f>IFERROR(VLOOKUP($A$1&amp;"-"&amp;ROW(AC34),基本資料填寫!$A:$DN,COLUMN(基本資料填寫!AQ35),0),"")</f>
        <v/>
      </c>
      <c r="AL35" s="47" t="str">
        <f>IFERROR(VLOOKUP($A$1&amp;"-"&amp;ROW(AO34),基本資料填寫!$A:$DN,COLUMN(基本資料填寫!CM35),0),"")</f>
        <v/>
      </c>
      <c r="AM35" s="47" t="str">
        <f>IFERROR(VLOOKUP($A$1&amp;"-"&amp;ROW(AD34),基本資料填寫!$A:$DN,COLUMN(基本資料填寫!AR35),0),"")</f>
        <v/>
      </c>
      <c r="AN35" s="47" t="str">
        <f>IFERROR(VLOOKUP($A$1&amp;"-"&amp;ROW(K34),基本資料填寫!$A:$DN,COLUMN(基本資料填寫!AP35),0),"")</f>
        <v/>
      </c>
      <c r="AO35" s="47" t="str">
        <f>IFERROR(VLOOKUP($A$1&amp;"-"&amp;ROW(J34),基本資料填寫!$A:$DN,COLUMN(基本資料填寫!AO35),0),"")</f>
        <v/>
      </c>
      <c r="AP35" s="47" t="str">
        <f>IFERROR(VLOOKUP($A$1&amp;"-"&amp;ROW(AE34),基本資料填寫!$A:$DN,COLUMN(基本資料填寫!AS35),0),"")</f>
        <v/>
      </c>
      <c r="AQ35" s="47" t="str">
        <f>IFERROR(VLOOKUP($A$1&amp;"-"&amp;ROW(AF34),基本資料填寫!$A:$DN,COLUMN(基本資料填寫!AT35),0),"")</f>
        <v/>
      </c>
      <c r="AR35" s="47" t="str">
        <f>IFERROR(VLOOKUP($A$1&amp;"-"&amp;ROW(AG34),基本資料填寫!$A:$DN,COLUMN(基本資料填寫!AU35),0),"")</f>
        <v/>
      </c>
      <c r="AS35" s="47" t="str">
        <f>IFERROR(VLOOKUP($A$1&amp;"-"&amp;ROW(AH34),基本資料填寫!$A:$DN,COLUMN(基本資料填寫!AV35),0),"")</f>
        <v/>
      </c>
      <c r="AT35" s="47" t="str">
        <f>IFERROR(VLOOKUP($A$1&amp;"-"&amp;ROW(AI34),基本資料填寫!$A:$DN,COLUMN(基本資料填寫!AW35),0),"")</f>
        <v/>
      </c>
      <c r="AU35" s="47" t="str">
        <f>IFERROR(VLOOKUP($A$1&amp;"-"&amp;ROW(AJ34),基本資料填寫!$A:$DN,COLUMN(基本資料填寫!AX35),0),"")</f>
        <v/>
      </c>
      <c r="AV35" s="47" t="str">
        <f>IFERROR(VLOOKUP($A$1&amp;"-"&amp;ROW(AK34),基本資料填寫!$A:$DN,COLUMN(基本資料填寫!AY35),0),"")</f>
        <v/>
      </c>
      <c r="AW35" s="47" t="str">
        <f>IFERROR(VLOOKUP($A$1&amp;"-"&amp;ROW(AL34),基本資料填寫!$A:$DN,COLUMN(基本資料填寫!AZ35),0),"")</f>
        <v/>
      </c>
      <c r="AX35" s="47" t="str">
        <f>IFERROR(VLOOKUP($A$1&amp;"-"&amp;ROW(AM34),基本資料填寫!$A:$DN,COLUMN(基本資料填寫!BA35),0),"")</f>
        <v/>
      </c>
      <c r="AY35" s="47" t="str">
        <f>IFERROR(VLOOKUP($A$1&amp;"-"&amp;ROW(AN34),基本資料填寫!$A:$DN,COLUMN(基本資料填寫!BB35),0),"")</f>
        <v/>
      </c>
      <c r="AZ35" s="47" t="str">
        <f>IFERROR(VLOOKUP($A$1&amp;"-"&amp;ROW(AO34),基本資料填寫!$A:$DN,COLUMN(基本資料填寫!BC35),0),"")</f>
        <v/>
      </c>
      <c r="BA35" s="47" t="str">
        <f>IFERROR(VLOOKUP($A$1&amp;"-"&amp;ROW(AP34),基本資料填寫!$A:$DN,COLUMN(基本資料填寫!BD35),0),"")</f>
        <v/>
      </c>
      <c r="BB35" s="47" t="str">
        <f>IFERROR(VLOOKUP($A$1&amp;"-"&amp;ROW(AQ34),基本資料填寫!$A:$DN,COLUMN(基本資料填寫!BE35),0),"")</f>
        <v/>
      </c>
      <c r="BC35" s="47" t="str">
        <f>IFERROR(VLOOKUP($A$1&amp;"-"&amp;ROW(AR34),基本資料填寫!$A:$DN,COLUMN(基本資料填寫!BF35),0),"")</f>
        <v/>
      </c>
      <c r="BD35" s="47" t="str">
        <f>IFERROR(VLOOKUP($A$1&amp;"-"&amp;ROW(AS34),基本資料填寫!$A:$DN,COLUMN(基本資料填寫!BG35),0),"")</f>
        <v/>
      </c>
      <c r="BE35" s="47" t="str">
        <f>IFERROR(VLOOKUP($A$1&amp;"-"&amp;ROW(AT34),基本資料填寫!$A:$DN,COLUMN(基本資料填寫!BH35),0),"")</f>
        <v/>
      </c>
      <c r="BF35" s="47" t="str">
        <f>IFERROR(VLOOKUP($A$1&amp;"-"&amp;ROW(AU34),基本資料填寫!$A:$DN,COLUMN(基本資料填寫!BI35),0),"")</f>
        <v/>
      </c>
      <c r="BG35" s="47" t="str">
        <f>IFERROR(VLOOKUP($A$1&amp;"-"&amp;ROW(AV34),基本資料填寫!$A:$DN,COLUMN(基本資料填寫!BJ35),0),"")</f>
        <v/>
      </c>
      <c r="BH35" s="47" t="str">
        <f>IFERROR(VLOOKUP($A$1&amp;"-"&amp;ROW(AW34),基本資料填寫!$A:$DN,COLUMN(基本資料填寫!BK35),0),"")</f>
        <v/>
      </c>
      <c r="BI35" s="47" t="str">
        <f>IFERROR(VLOOKUP($A$1&amp;"-"&amp;ROW(AX34),基本資料填寫!$A:$DN,COLUMN(基本資料填寫!BL35),0),"")</f>
        <v/>
      </c>
      <c r="BJ35" s="47" t="str">
        <f>IFERROR(VLOOKUP($A$1&amp;"-"&amp;ROW(AY34),基本資料填寫!$A:$DN,COLUMN(基本資料填寫!BM35),0),"")</f>
        <v/>
      </c>
      <c r="BK35" s="47" t="str">
        <f>IFERROR(VLOOKUP($A$1&amp;"-"&amp;ROW(AZ34),基本資料填寫!$A:$DN,COLUMN(基本資料填寫!BN35),0),"")</f>
        <v/>
      </c>
      <c r="BL35" s="47" t="str">
        <f>IFERROR(VLOOKUP($A$1&amp;"-"&amp;ROW(BA34),基本資料填寫!$A:$DN,COLUMN(基本資料填寫!BO35),0),"")</f>
        <v/>
      </c>
      <c r="BM35" s="47" t="str">
        <f>IFERROR(VLOOKUP($A$1&amp;"-"&amp;ROW(BB34),基本資料填寫!$A:$DN,COLUMN(基本資料填寫!BP35),0),"")</f>
        <v/>
      </c>
      <c r="BN35" s="47" t="str">
        <f>IFERROR(VLOOKUP($A$1&amp;"-"&amp;ROW(BC34),基本資料填寫!$A:$DN,COLUMN(基本資料填寫!BQ35),0),"")</f>
        <v/>
      </c>
      <c r="BO35" s="47" t="str">
        <f>IFERROR(VLOOKUP($A$1&amp;"-"&amp;ROW(BD34),基本資料填寫!$A:$DN,COLUMN(基本資料填寫!BR35),0),"")</f>
        <v/>
      </c>
    </row>
    <row r="36" spans="2:67" x14ac:dyDescent="0.3">
      <c r="B36" s="47" t="str">
        <f>IFERROR(VLOOKUP($A$1&amp;"-"&amp;ROW(A35),基本資料填寫!$A:$DN,COLUMN(基本資料填寫!K36),0),"")</f>
        <v/>
      </c>
      <c r="C36" s="47" t="str">
        <f>IFERROR(VLOOKUP($A$1&amp;"-"&amp;ROW(B35),基本資料填寫!$A:$DN,COLUMN(基本資料填寫!L36),0),"")</f>
        <v/>
      </c>
      <c r="D36" s="47" t="str">
        <f>IF(E36="","",COUNTA($E$2:E36))</f>
        <v/>
      </c>
      <c r="E36" s="47" t="str">
        <f>IFERROR(VLOOKUP($A$1&amp;"-"&amp;ROW(E35),基本資料填寫!$A:$DN,COLUMN(基本資料填寫!S36),0),"")</f>
        <v/>
      </c>
      <c r="G36" s="47" t="str">
        <f>IFERROR(VLOOKUP($A$1&amp;"-"&amp;ROW(G35),基本資料填寫!$A:$DN,COLUMN(基本資料填寫!V36),0),"")</f>
        <v/>
      </c>
      <c r="H36" s="47" t="str">
        <f>IFERROR(VLOOKUP($A$1&amp;"-"&amp;ROW(BI35),基本資料填寫!$A:$DN,COLUMN(基本資料填寫!BW36),0),"")</f>
        <v/>
      </c>
      <c r="I36" s="47" t="str">
        <f>IFERROR(VLOOKUP($A$1&amp;"-"&amp;ROW(I35),基本資料填寫!$A:$DN,COLUMN(基本資料填寫!AN36),0),"")</f>
        <v/>
      </c>
      <c r="J36" s="47" t="str">
        <f>IFERROR(VLOOKUP($A$1&amp;"-"&amp;ROW(K35),基本資料填寫!$A:$DN,COLUMN(基本資料填寫!R36),0),"")</f>
        <v/>
      </c>
      <c r="K36" s="47" t="str">
        <f>IFERROR(VLOOKUP($A$1&amp;"-"&amp;ROW(AA35),基本資料填寫!$A:$DN,COLUMN(基本資料填寫!BX36),0),"")</f>
        <v/>
      </c>
      <c r="L36" s="47" t="str">
        <f>IFERROR(VLOOKUP($A$1&amp;"-"&amp;ROW(S35),基本資料填寫!$A:$DN,COLUMN(基本資料填寫!Z36),0),"")</f>
        <v/>
      </c>
      <c r="M36" s="47" t="str">
        <f>IFERROR(VLOOKUP($A$1&amp;"-"&amp;ROW(T35),基本資料填寫!$A:$DN,COLUMN(基本資料填寫!AA36),0),"")</f>
        <v/>
      </c>
      <c r="N36" s="47" t="str">
        <f>IFERROR(VLOOKUP($A$1&amp;"-"&amp;ROW(AB35),基本資料填寫!$A:$DN,COLUMN(基本資料填寫!BY36),0),"")</f>
        <v/>
      </c>
      <c r="O36" s="47" t="str">
        <f>IFERROR(VLOOKUP($A$1&amp;"-"&amp;ROW(AC35),基本資料填寫!$A:$DN,COLUMN(基本資料填寫!BZ36),0),"")</f>
        <v/>
      </c>
      <c r="P36" s="47" t="str">
        <f>IFERROR(VLOOKUP($A$1&amp;"-"&amp;ROW(AD35),基本資料填寫!$A:$DN,COLUMN(基本資料填寫!CA36),0),"")</f>
        <v/>
      </c>
      <c r="Q36" s="47" t="str">
        <f>IFERROR(VLOOKUP($A$1&amp;"-"&amp;ROW(J35),基本資料填寫!$A:$DN,COLUMN(基本資料填寫!AO36),0),"")</f>
        <v/>
      </c>
      <c r="R36" s="47" t="str">
        <f>IFERROR(VLOOKUP($A$1&amp;"-"&amp;ROW(AE35),基本資料填寫!$A:$DN,COLUMN(基本資料填寫!CB36),0),"")</f>
        <v/>
      </c>
      <c r="S36" s="47" t="str">
        <f>IFERROR(VLOOKUP($A$1&amp;"-"&amp;ROW(AF35),基本資料填寫!$A:$DN,COLUMN(基本資料填寫!CC36),0),"")</f>
        <v/>
      </c>
      <c r="T36" s="47" t="str">
        <f>IFERROR(VLOOKUP($A$1&amp;"-"&amp;ROW(AG35),基本資料填寫!$A:$DN,COLUMN(基本資料填寫!CD36),0),"")</f>
        <v/>
      </c>
      <c r="U36" s="47" t="str">
        <f>IFERROR(VLOOKUP($A$1&amp;"-"&amp;ROW(AH35),基本資料填寫!$A:$DN,COLUMN(基本資料填寫!CE36),0),"")</f>
        <v/>
      </c>
      <c r="V36" s="47" t="str">
        <f>IFERROR(VLOOKUP($A$1&amp;"-"&amp;ROW(AI35),基本資料填寫!$A:$DN,COLUMN(基本資料填寫!CF36),0),"")</f>
        <v/>
      </c>
      <c r="W36" s="47" t="str">
        <f>IFERROR(VLOOKUP($A$1&amp;"-"&amp;ROW(AJ35),基本資料填寫!$A:$DN,COLUMN(基本資料填寫!CG36),0),"")</f>
        <v/>
      </c>
      <c r="X36" s="47" t="str">
        <f>IFERROR(VLOOKUP($A$1&amp;"-"&amp;ROW(AK35),基本資料填寫!$A:$DN,COLUMN(基本資料填寫!CH36),0),"")</f>
        <v/>
      </c>
      <c r="Y36" s="47" t="str">
        <f>IFERROR(VLOOKUP($A$1&amp;"-"&amp;ROW(AL35),基本資料填寫!$A:$DN,COLUMN(基本資料填寫!CI36),0),"")</f>
        <v/>
      </c>
      <c r="Z36" s="47" t="str">
        <f>IFERROR(VLOOKUP($A$1&amp;"-"&amp;ROW(H35),基本資料填寫!$A:$DN,COLUMN(基本資料填寫!O36),0),"")</f>
        <v/>
      </c>
      <c r="AA36" s="47" t="str">
        <f>IFERROR(VLOOKUP($A$1&amp;"-"&amp;ROW(AM35),基本資料填寫!$A:$DN,COLUMN(基本資料填寫!CJ36),0),"")</f>
        <v/>
      </c>
      <c r="AB36" s="47" t="str">
        <f>IFERROR(VLOOKUP($A$1&amp;"-"&amp;ROW(AN35),基本資料填寫!$A:$DN,COLUMN(基本資料填寫!CK36),0),"")</f>
        <v/>
      </c>
      <c r="AC36" s="47" t="str">
        <f>IFERROR(VLOOKUP($A$1&amp;"-"&amp;ROW(AP35),基本資料填寫!$A:$DN,COLUMN(基本資料填寫!CN36),0),"")</f>
        <v/>
      </c>
      <c r="AD36" s="47" t="str">
        <f>IFERROR(VLOOKUP($A$1&amp;"-"&amp;ROW(AQ35),基本資料填寫!$A:$DN,COLUMN(基本資料填寫!CO36),0),"")</f>
        <v/>
      </c>
      <c r="AE36" s="47" t="str">
        <f>IFERROR(VLOOKUP($A$1&amp;"-"&amp;ROW(AR35),基本資料填寫!$A:$DN,COLUMN(基本資料填寫!CP36),0),"")</f>
        <v/>
      </c>
      <c r="AF36" s="47" t="str">
        <f>IFERROR(VLOOKUP($A$1&amp;"-"&amp;ROW(AS35),基本資料填寫!$A:$DN,COLUMN(基本資料填寫!CQ36),0),"")</f>
        <v/>
      </c>
      <c r="AG36" s="47" t="str">
        <f>IFERROR(VLOOKUP($A$1&amp;"-"&amp;ROW(AT35),基本資料填寫!$A:$DN,COLUMN(基本資料填寫!CR36),0),"")</f>
        <v/>
      </c>
      <c r="AH36" s="47" t="str">
        <f>IFERROR(VLOOKUP($A$1&amp;"-"&amp;ROW(AU35),基本資料填寫!$A:$DN,COLUMN(基本資料填寫!CS36),0),"")</f>
        <v/>
      </c>
      <c r="AI36" s="47" t="str">
        <f>IFERROR(VLOOKUP($A$1&amp;"-"&amp;ROW(P35),基本資料填寫!$A:$DN,COLUMN(基本資料填寫!X36),0),"")</f>
        <v/>
      </c>
      <c r="AJ36" s="47" t="str">
        <f>IFERROR(VLOOKUP($A$1&amp;"-"&amp;ROW(AV35),基本資料填寫!$A:$DN,COLUMN(基本資料填寫!CT36),0),"")</f>
        <v/>
      </c>
      <c r="AK36" s="47" t="str">
        <f>IFERROR(VLOOKUP($A$1&amp;"-"&amp;ROW(AC35),基本資料填寫!$A:$DN,COLUMN(基本資料填寫!AQ36),0),"")</f>
        <v/>
      </c>
      <c r="AL36" s="47" t="str">
        <f>IFERROR(VLOOKUP($A$1&amp;"-"&amp;ROW(AO35),基本資料填寫!$A:$DN,COLUMN(基本資料填寫!CM36),0),"")</f>
        <v/>
      </c>
      <c r="AM36" s="47" t="str">
        <f>IFERROR(VLOOKUP($A$1&amp;"-"&amp;ROW(AD35),基本資料填寫!$A:$DN,COLUMN(基本資料填寫!AR36),0),"")</f>
        <v/>
      </c>
      <c r="AN36" s="47" t="str">
        <f>IFERROR(VLOOKUP($A$1&amp;"-"&amp;ROW(K35),基本資料填寫!$A:$DN,COLUMN(基本資料填寫!AP36),0),"")</f>
        <v/>
      </c>
      <c r="AO36" s="47" t="str">
        <f>IFERROR(VLOOKUP($A$1&amp;"-"&amp;ROW(J35),基本資料填寫!$A:$DN,COLUMN(基本資料填寫!AO36),0),"")</f>
        <v/>
      </c>
      <c r="AP36" s="47" t="str">
        <f>IFERROR(VLOOKUP($A$1&amp;"-"&amp;ROW(AE35),基本資料填寫!$A:$DN,COLUMN(基本資料填寫!AS36),0),"")</f>
        <v/>
      </c>
      <c r="AQ36" s="47" t="str">
        <f>IFERROR(VLOOKUP($A$1&amp;"-"&amp;ROW(AF35),基本資料填寫!$A:$DN,COLUMN(基本資料填寫!AT36),0),"")</f>
        <v/>
      </c>
      <c r="AR36" s="47" t="str">
        <f>IFERROR(VLOOKUP($A$1&amp;"-"&amp;ROW(AG35),基本資料填寫!$A:$DN,COLUMN(基本資料填寫!AU36),0),"")</f>
        <v/>
      </c>
      <c r="AS36" s="47" t="str">
        <f>IFERROR(VLOOKUP($A$1&amp;"-"&amp;ROW(AH35),基本資料填寫!$A:$DN,COLUMN(基本資料填寫!AV36),0),"")</f>
        <v/>
      </c>
      <c r="AT36" s="47" t="str">
        <f>IFERROR(VLOOKUP($A$1&amp;"-"&amp;ROW(AI35),基本資料填寫!$A:$DN,COLUMN(基本資料填寫!AW36),0),"")</f>
        <v/>
      </c>
      <c r="AU36" s="47" t="str">
        <f>IFERROR(VLOOKUP($A$1&amp;"-"&amp;ROW(AJ35),基本資料填寫!$A:$DN,COLUMN(基本資料填寫!AX36),0),"")</f>
        <v/>
      </c>
      <c r="AV36" s="47" t="str">
        <f>IFERROR(VLOOKUP($A$1&amp;"-"&amp;ROW(AK35),基本資料填寫!$A:$DN,COLUMN(基本資料填寫!AY36),0),"")</f>
        <v/>
      </c>
      <c r="AW36" s="47" t="str">
        <f>IFERROR(VLOOKUP($A$1&amp;"-"&amp;ROW(AL35),基本資料填寫!$A:$DN,COLUMN(基本資料填寫!AZ36),0),"")</f>
        <v/>
      </c>
      <c r="AX36" s="47" t="str">
        <f>IFERROR(VLOOKUP($A$1&amp;"-"&amp;ROW(AM35),基本資料填寫!$A:$DN,COLUMN(基本資料填寫!BA36),0),"")</f>
        <v/>
      </c>
      <c r="AY36" s="47" t="str">
        <f>IFERROR(VLOOKUP($A$1&amp;"-"&amp;ROW(AN35),基本資料填寫!$A:$DN,COLUMN(基本資料填寫!BB36),0),"")</f>
        <v/>
      </c>
      <c r="AZ36" s="47" t="str">
        <f>IFERROR(VLOOKUP($A$1&amp;"-"&amp;ROW(AO35),基本資料填寫!$A:$DN,COLUMN(基本資料填寫!BC36),0),"")</f>
        <v/>
      </c>
      <c r="BA36" s="47" t="str">
        <f>IFERROR(VLOOKUP($A$1&amp;"-"&amp;ROW(AP35),基本資料填寫!$A:$DN,COLUMN(基本資料填寫!BD36),0),"")</f>
        <v/>
      </c>
      <c r="BB36" s="47" t="str">
        <f>IFERROR(VLOOKUP($A$1&amp;"-"&amp;ROW(AQ35),基本資料填寫!$A:$DN,COLUMN(基本資料填寫!BE36),0),"")</f>
        <v/>
      </c>
      <c r="BC36" s="47" t="str">
        <f>IFERROR(VLOOKUP($A$1&amp;"-"&amp;ROW(AR35),基本資料填寫!$A:$DN,COLUMN(基本資料填寫!BF36),0),"")</f>
        <v/>
      </c>
      <c r="BD36" s="47" t="str">
        <f>IFERROR(VLOOKUP($A$1&amp;"-"&amp;ROW(AS35),基本資料填寫!$A:$DN,COLUMN(基本資料填寫!BG36),0),"")</f>
        <v/>
      </c>
      <c r="BE36" s="47" t="str">
        <f>IFERROR(VLOOKUP($A$1&amp;"-"&amp;ROW(AT35),基本資料填寫!$A:$DN,COLUMN(基本資料填寫!BH36),0),"")</f>
        <v/>
      </c>
      <c r="BF36" s="47" t="str">
        <f>IFERROR(VLOOKUP($A$1&amp;"-"&amp;ROW(AU35),基本資料填寫!$A:$DN,COLUMN(基本資料填寫!BI36),0),"")</f>
        <v/>
      </c>
      <c r="BG36" s="47" t="str">
        <f>IFERROR(VLOOKUP($A$1&amp;"-"&amp;ROW(AV35),基本資料填寫!$A:$DN,COLUMN(基本資料填寫!BJ36),0),"")</f>
        <v/>
      </c>
      <c r="BH36" s="47" t="str">
        <f>IFERROR(VLOOKUP($A$1&amp;"-"&amp;ROW(AW35),基本資料填寫!$A:$DN,COLUMN(基本資料填寫!BK36),0),"")</f>
        <v/>
      </c>
      <c r="BI36" s="47" t="str">
        <f>IFERROR(VLOOKUP($A$1&amp;"-"&amp;ROW(AX35),基本資料填寫!$A:$DN,COLUMN(基本資料填寫!BL36),0),"")</f>
        <v/>
      </c>
      <c r="BJ36" s="47" t="str">
        <f>IFERROR(VLOOKUP($A$1&amp;"-"&amp;ROW(AY35),基本資料填寫!$A:$DN,COLUMN(基本資料填寫!BM36),0),"")</f>
        <v/>
      </c>
      <c r="BK36" s="47" t="str">
        <f>IFERROR(VLOOKUP($A$1&amp;"-"&amp;ROW(AZ35),基本資料填寫!$A:$DN,COLUMN(基本資料填寫!BN36),0),"")</f>
        <v/>
      </c>
      <c r="BL36" s="47" t="str">
        <f>IFERROR(VLOOKUP($A$1&amp;"-"&amp;ROW(BA35),基本資料填寫!$A:$DN,COLUMN(基本資料填寫!BO36),0),"")</f>
        <v/>
      </c>
      <c r="BM36" s="47" t="str">
        <f>IFERROR(VLOOKUP($A$1&amp;"-"&amp;ROW(BB35),基本資料填寫!$A:$DN,COLUMN(基本資料填寫!BP36),0),"")</f>
        <v/>
      </c>
      <c r="BN36" s="47" t="str">
        <f>IFERROR(VLOOKUP($A$1&amp;"-"&amp;ROW(BC35),基本資料填寫!$A:$DN,COLUMN(基本資料填寫!BQ36),0),"")</f>
        <v/>
      </c>
      <c r="BO36" s="47" t="str">
        <f>IFERROR(VLOOKUP($A$1&amp;"-"&amp;ROW(BD35),基本資料填寫!$A:$DN,COLUMN(基本資料填寫!BR36),0),"")</f>
        <v/>
      </c>
    </row>
    <row r="37" spans="2:67" x14ac:dyDescent="0.3">
      <c r="B37" s="47" t="str">
        <f>IFERROR(VLOOKUP($A$1&amp;"-"&amp;ROW(A36),基本資料填寫!$A:$DN,COLUMN(基本資料填寫!K37),0),"")</f>
        <v/>
      </c>
      <c r="C37" s="47" t="str">
        <f>IFERROR(VLOOKUP($A$1&amp;"-"&amp;ROW(B36),基本資料填寫!$A:$DN,COLUMN(基本資料填寫!L37),0),"")</f>
        <v/>
      </c>
      <c r="D37" s="47" t="str">
        <f>IF(E37="","",COUNTA($E$2:E37))</f>
        <v/>
      </c>
      <c r="E37" s="47" t="str">
        <f>IFERROR(VLOOKUP($A$1&amp;"-"&amp;ROW(E36),基本資料填寫!$A:$DN,COLUMN(基本資料填寫!S37),0),"")</f>
        <v/>
      </c>
      <c r="G37" s="47" t="str">
        <f>IFERROR(VLOOKUP($A$1&amp;"-"&amp;ROW(G36),基本資料填寫!$A:$DN,COLUMN(基本資料填寫!V37),0),"")</f>
        <v/>
      </c>
      <c r="H37" s="47" t="str">
        <f>IFERROR(VLOOKUP($A$1&amp;"-"&amp;ROW(BI36),基本資料填寫!$A:$DN,COLUMN(基本資料填寫!BW37),0),"")</f>
        <v/>
      </c>
      <c r="I37" s="47" t="str">
        <f>IFERROR(VLOOKUP($A$1&amp;"-"&amp;ROW(I36),基本資料填寫!$A:$DN,COLUMN(基本資料填寫!AN37),0),"")</f>
        <v/>
      </c>
      <c r="J37" s="47" t="str">
        <f>IFERROR(VLOOKUP($A$1&amp;"-"&amp;ROW(K36),基本資料填寫!$A:$DN,COLUMN(基本資料填寫!R37),0),"")</f>
        <v/>
      </c>
      <c r="K37" s="47" t="str">
        <f>IFERROR(VLOOKUP($A$1&amp;"-"&amp;ROW(AA36),基本資料填寫!$A:$DN,COLUMN(基本資料填寫!BX37),0),"")</f>
        <v/>
      </c>
      <c r="L37" s="47" t="str">
        <f>IFERROR(VLOOKUP($A$1&amp;"-"&amp;ROW(S36),基本資料填寫!$A:$DN,COLUMN(基本資料填寫!Z37),0),"")</f>
        <v/>
      </c>
      <c r="M37" s="47" t="str">
        <f>IFERROR(VLOOKUP($A$1&amp;"-"&amp;ROW(T36),基本資料填寫!$A:$DN,COLUMN(基本資料填寫!AA37),0),"")</f>
        <v/>
      </c>
      <c r="N37" s="47" t="str">
        <f>IFERROR(VLOOKUP($A$1&amp;"-"&amp;ROW(AB36),基本資料填寫!$A:$DN,COLUMN(基本資料填寫!BY37),0),"")</f>
        <v/>
      </c>
      <c r="O37" s="47" t="str">
        <f>IFERROR(VLOOKUP($A$1&amp;"-"&amp;ROW(AC36),基本資料填寫!$A:$DN,COLUMN(基本資料填寫!BZ37),0),"")</f>
        <v/>
      </c>
      <c r="P37" s="47" t="str">
        <f>IFERROR(VLOOKUP($A$1&amp;"-"&amp;ROW(AD36),基本資料填寫!$A:$DN,COLUMN(基本資料填寫!CA37),0),"")</f>
        <v/>
      </c>
      <c r="Q37" s="47" t="str">
        <f>IFERROR(VLOOKUP($A$1&amp;"-"&amp;ROW(J36),基本資料填寫!$A:$DN,COLUMN(基本資料填寫!AO37),0),"")</f>
        <v/>
      </c>
      <c r="R37" s="47" t="str">
        <f>IFERROR(VLOOKUP($A$1&amp;"-"&amp;ROW(AE36),基本資料填寫!$A:$DN,COLUMN(基本資料填寫!CB37),0),"")</f>
        <v/>
      </c>
      <c r="S37" s="47" t="str">
        <f>IFERROR(VLOOKUP($A$1&amp;"-"&amp;ROW(AF36),基本資料填寫!$A:$DN,COLUMN(基本資料填寫!CC37),0),"")</f>
        <v/>
      </c>
      <c r="T37" s="47" t="str">
        <f>IFERROR(VLOOKUP($A$1&amp;"-"&amp;ROW(AG36),基本資料填寫!$A:$DN,COLUMN(基本資料填寫!CD37),0),"")</f>
        <v/>
      </c>
      <c r="U37" s="47" t="str">
        <f>IFERROR(VLOOKUP($A$1&amp;"-"&amp;ROW(AH36),基本資料填寫!$A:$DN,COLUMN(基本資料填寫!CE37),0),"")</f>
        <v/>
      </c>
      <c r="V37" s="47" t="str">
        <f>IFERROR(VLOOKUP($A$1&amp;"-"&amp;ROW(AI36),基本資料填寫!$A:$DN,COLUMN(基本資料填寫!CF37),0),"")</f>
        <v/>
      </c>
      <c r="W37" s="47" t="str">
        <f>IFERROR(VLOOKUP($A$1&amp;"-"&amp;ROW(AJ36),基本資料填寫!$A:$DN,COLUMN(基本資料填寫!CG37),0),"")</f>
        <v/>
      </c>
      <c r="X37" s="47" t="str">
        <f>IFERROR(VLOOKUP($A$1&amp;"-"&amp;ROW(AK36),基本資料填寫!$A:$DN,COLUMN(基本資料填寫!CH37),0),"")</f>
        <v/>
      </c>
      <c r="Y37" s="47" t="str">
        <f>IFERROR(VLOOKUP($A$1&amp;"-"&amp;ROW(AL36),基本資料填寫!$A:$DN,COLUMN(基本資料填寫!CI37),0),"")</f>
        <v/>
      </c>
      <c r="Z37" s="47" t="str">
        <f>IFERROR(VLOOKUP($A$1&amp;"-"&amp;ROW(H36),基本資料填寫!$A:$DN,COLUMN(基本資料填寫!O37),0),"")</f>
        <v/>
      </c>
      <c r="AA37" s="47" t="str">
        <f>IFERROR(VLOOKUP($A$1&amp;"-"&amp;ROW(AM36),基本資料填寫!$A:$DN,COLUMN(基本資料填寫!CJ37),0),"")</f>
        <v/>
      </c>
      <c r="AB37" s="47" t="str">
        <f>IFERROR(VLOOKUP($A$1&amp;"-"&amp;ROW(AN36),基本資料填寫!$A:$DN,COLUMN(基本資料填寫!CK37),0),"")</f>
        <v/>
      </c>
      <c r="AC37" s="47" t="str">
        <f>IFERROR(VLOOKUP($A$1&amp;"-"&amp;ROW(AP36),基本資料填寫!$A:$DN,COLUMN(基本資料填寫!CN37),0),"")</f>
        <v/>
      </c>
      <c r="AD37" s="47" t="str">
        <f>IFERROR(VLOOKUP($A$1&amp;"-"&amp;ROW(AQ36),基本資料填寫!$A:$DN,COLUMN(基本資料填寫!CO37),0),"")</f>
        <v/>
      </c>
      <c r="AE37" s="47" t="str">
        <f>IFERROR(VLOOKUP($A$1&amp;"-"&amp;ROW(AR36),基本資料填寫!$A:$DN,COLUMN(基本資料填寫!CP37),0),"")</f>
        <v/>
      </c>
      <c r="AF37" s="47" t="str">
        <f>IFERROR(VLOOKUP($A$1&amp;"-"&amp;ROW(AS36),基本資料填寫!$A:$DN,COLUMN(基本資料填寫!CQ37),0),"")</f>
        <v/>
      </c>
      <c r="AG37" s="47" t="str">
        <f>IFERROR(VLOOKUP($A$1&amp;"-"&amp;ROW(AT36),基本資料填寫!$A:$DN,COLUMN(基本資料填寫!CR37),0),"")</f>
        <v/>
      </c>
      <c r="AH37" s="47" t="str">
        <f>IFERROR(VLOOKUP($A$1&amp;"-"&amp;ROW(AU36),基本資料填寫!$A:$DN,COLUMN(基本資料填寫!CS37),0),"")</f>
        <v/>
      </c>
      <c r="AI37" s="47" t="str">
        <f>IFERROR(VLOOKUP($A$1&amp;"-"&amp;ROW(P36),基本資料填寫!$A:$DN,COLUMN(基本資料填寫!X37),0),"")</f>
        <v/>
      </c>
      <c r="AJ37" s="47" t="str">
        <f>IFERROR(VLOOKUP($A$1&amp;"-"&amp;ROW(AV36),基本資料填寫!$A:$DN,COLUMN(基本資料填寫!CT37),0),"")</f>
        <v/>
      </c>
      <c r="AK37" s="47" t="str">
        <f>IFERROR(VLOOKUP($A$1&amp;"-"&amp;ROW(AC36),基本資料填寫!$A:$DN,COLUMN(基本資料填寫!AQ37),0),"")</f>
        <v/>
      </c>
      <c r="AL37" s="47" t="str">
        <f>IFERROR(VLOOKUP($A$1&amp;"-"&amp;ROW(AO36),基本資料填寫!$A:$DN,COLUMN(基本資料填寫!CM37),0),"")</f>
        <v/>
      </c>
      <c r="AM37" s="47" t="str">
        <f>IFERROR(VLOOKUP($A$1&amp;"-"&amp;ROW(AD36),基本資料填寫!$A:$DN,COLUMN(基本資料填寫!AR37),0),"")</f>
        <v/>
      </c>
      <c r="AN37" s="47" t="str">
        <f>IFERROR(VLOOKUP($A$1&amp;"-"&amp;ROW(K36),基本資料填寫!$A:$DN,COLUMN(基本資料填寫!AP37),0),"")</f>
        <v/>
      </c>
      <c r="AO37" s="47" t="str">
        <f>IFERROR(VLOOKUP($A$1&amp;"-"&amp;ROW(J36),基本資料填寫!$A:$DN,COLUMN(基本資料填寫!AO37),0),"")</f>
        <v/>
      </c>
      <c r="AP37" s="47" t="str">
        <f>IFERROR(VLOOKUP($A$1&amp;"-"&amp;ROW(AE36),基本資料填寫!$A:$DN,COLUMN(基本資料填寫!AS37),0),"")</f>
        <v/>
      </c>
      <c r="AQ37" s="47" t="str">
        <f>IFERROR(VLOOKUP($A$1&amp;"-"&amp;ROW(AF36),基本資料填寫!$A:$DN,COLUMN(基本資料填寫!AT37),0),"")</f>
        <v/>
      </c>
      <c r="AR37" s="47" t="str">
        <f>IFERROR(VLOOKUP($A$1&amp;"-"&amp;ROW(AG36),基本資料填寫!$A:$DN,COLUMN(基本資料填寫!AU37),0),"")</f>
        <v/>
      </c>
      <c r="AS37" s="47" t="str">
        <f>IFERROR(VLOOKUP($A$1&amp;"-"&amp;ROW(AH36),基本資料填寫!$A:$DN,COLUMN(基本資料填寫!AV37),0),"")</f>
        <v/>
      </c>
      <c r="AT37" s="47" t="str">
        <f>IFERROR(VLOOKUP($A$1&amp;"-"&amp;ROW(AI36),基本資料填寫!$A:$DN,COLUMN(基本資料填寫!AW37),0),"")</f>
        <v/>
      </c>
      <c r="AU37" s="47" t="str">
        <f>IFERROR(VLOOKUP($A$1&amp;"-"&amp;ROW(AJ36),基本資料填寫!$A:$DN,COLUMN(基本資料填寫!AX37),0),"")</f>
        <v/>
      </c>
      <c r="AV37" s="47" t="str">
        <f>IFERROR(VLOOKUP($A$1&amp;"-"&amp;ROW(AK36),基本資料填寫!$A:$DN,COLUMN(基本資料填寫!AY37),0),"")</f>
        <v/>
      </c>
      <c r="AW37" s="47" t="str">
        <f>IFERROR(VLOOKUP($A$1&amp;"-"&amp;ROW(AL36),基本資料填寫!$A:$DN,COLUMN(基本資料填寫!AZ37),0),"")</f>
        <v/>
      </c>
      <c r="AX37" s="47" t="str">
        <f>IFERROR(VLOOKUP($A$1&amp;"-"&amp;ROW(AM36),基本資料填寫!$A:$DN,COLUMN(基本資料填寫!BA37),0),"")</f>
        <v/>
      </c>
      <c r="AY37" s="47" t="str">
        <f>IFERROR(VLOOKUP($A$1&amp;"-"&amp;ROW(AN36),基本資料填寫!$A:$DN,COLUMN(基本資料填寫!BB37),0),"")</f>
        <v/>
      </c>
      <c r="AZ37" s="47" t="str">
        <f>IFERROR(VLOOKUP($A$1&amp;"-"&amp;ROW(AO36),基本資料填寫!$A:$DN,COLUMN(基本資料填寫!BC37),0),"")</f>
        <v/>
      </c>
      <c r="BA37" s="47" t="str">
        <f>IFERROR(VLOOKUP($A$1&amp;"-"&amp;ROW(AP36),基本資料填寫!$A:$DN,COLUMN(基本資料填寫!BD37),0),"")</f>
        <v/>
      </c>
      <c r="BB37" s="47" t="str">
        <f>IFERROR(VLOOKUP($A$1&amp;"-"&amp;ROW(AQ36),基本資料填寫!$A:$DN,COLUMN(基本資料填寫!BE37),0),"")</f>
        <v/>
      </c>
      <c r="BC37" s="47" t="str">
        <f>IFERROR(VLOOKUP($A$1&amp;"-"&amp;ROW(AR36),基本資料填寫!$A:$DN,COLUMN(基本資料填寫!BF37),0),"")</f>
        <v/>
      </c>
      <c r="BD37" s="47" t="str">
        <f>IFERROR(VLOOKUP($A$1&amp;"-"&amp;ROW(AS36),基本資料填寫!$A:$DN,COLUMN(基本資料填寫!BG37),0),"")</f>
        <v/>
      </c>
      <c r="BE37" s="47" t="str">
        <f>IFERROR(VLOOKUP($A$1&amp;"-"&amp;ROW(AT36),基本資料填寫!$A:$DN,COLUMN(基本資料填寫!BH37),0),"")</f>
        <v/>
      </c>
      <c r="BF37" s="47" t="str">
        <f>IFERROR(VLOOKUP($A$1&amp;"-"&amp;ROW(AU36),基本資料填寫!$A:$DN,COLUMN(基本資料填寫!BI37),0),"")</f>
        <v/>
      </c>
      <c r="BG37" s="47" t="str">
        <f>IFERROR(VLOOKUP($A$1&amp;"-"&amp;ROW(AV36),基本資料填寫!$A:$DN,COLUMN(基本資料填寫!BJ37),0),"")</f>
        <v/>
      </c>
      <c r="BH37" s="47" t="str">
        <f>IFERROR(VLOOKUP($A$1&amp;"-"&amp;ROW(AW36),基本資料填寫!$A:$DN,COLUMN(基本資料填寫!BK37),0),"")</f>
        <v/>
      </c>
      <c r="BI37" s="47" t="str">
        <f>IFERROR(VLOOKUP($A$1&amp;"-"&amp;ROW(AX36),基本資料填寫!$A:$DN,COLUMN(基本資料填寫!BL37),0),"")</f>
        <v/>
      </c>
      <c r="BJ37" s="47" t="str">
        <f>IFERROR(VLOOKUP($A$1&amp;"-"&amp;ROW(AY36),基本資料填寫!$A:$DN,COLUMN(基本資料填寫!BM37),0),"")</f>
        <v/>
      </c>
      <c r="BK37" s="47" t="str">
        <f>IFERROR(VLOOKUP($A$1&amp;"-"&amp;ROW(AZ36),基本資料填寫!$A:$DN,COLUMN(基本資料填寫!BN37),0),"")</f>
        <v/>
      </c>
      <c r="BL37" s="47" t="str">
        <f>IFERROR(VLOOKUP($A$1&amp;"-"&amp;ROW(BA36),基本資料填寫!$A:$DN,COLUMN(基本資料填寫!BO37),0),"")</f>
        <v/>
      </c>
      <c r="BM37" s="47" t="str">
        <f>IFERROR(VLOOKUP($A$1&amp;"-"&amp;ROW(BB36),基本資料填寫!$A:$DN,COLUMN(基本資料填寫!BP37),0),"")</f>
        <v/>
      </c>
      <c r="BN37" s="47" t="str">
        <f>IFERROR(VLOOKUP($A$1&amp;"-"&amp;ROW(BC36),基本資料填寫!$A:$DN,COLUMN(基本資料填寫!BQ37),0),"")</f>
        <v/>
      </c>
      <c r="BO37" s="47" t="str">
        <f>IFERROR(VLOOKUP($A$1&amp;"-"&amp;ROW(BD36),基本資料填寫!$A:$DN,COLUMN(基本資料填寫!BR37),0),"")</f>
        <v/>
      </c>
    </row>
    <row r="38" spans="2:67" x14ac:dyDescent="0.3">
      <c r="B38" s="47" t="str">
        <f>IFERROR(VLOOKUP($A$1&amp;"-"&amp;ROW(A37),基本資料填寫!$A:$DN,COLUMN(基本資料填寫!K38),0),"")</f>
        <v/>
      </c>
      <c r="C38" s="47" t="str">
        <f>IFERROR(VLOOKUP($A$1&amp;"-"&amp;ROW(B37),基本資料填寫!$A:$DN,COLUMN(基本資料填寫!L38),0),"")</f>
        <v/>
      </c>
      <c r="D38" s="47" t="str">
        <f>IF(E38="","",COUNTA($E$2:E38))</f>
        <v/>
      </c>
      <c r="E38" s="47" t="str">
        <f>IFERROR(VLOOKUP($A$1&amp;"-"&amp;ROW(E37),基本資料填寫!$A:$DN,COLUMN(基本資料填寫!S38),0),"")</f>
        <v/>
      </c>
      <c r="G38" s="47" t="str">
        <f>IFERROR(VLOOKUP($A$1&amp;"-"&amp;ROW(G37),基本資料填寫!$A:$DN,COLUMN(基本資料填寫!V38),0),"")</f>
        <v/>
      </c>
      <c r="H38" s="47" t="str">
        <f>IFERROR(VLOOKUP($A$1&amp;"-"&amp;ROW(BI37),基本資料填寫!$A:$DN,COLUMN(基本資料填寫!BW38),0),"")</f>
        <v/>
      </c>
      <c r="I38" s="47" t="str">
        <f>IFERROR(VLOOKUP($A$1&amp;"-"&amp;ROW(I37),基本資料填寫!$A:$DN,COLUMN(基本資料填寫!AN38),0),"")</f>
        <v/>
      </c>
      <c r="J38" s="47" t="str">
        <f>IFERROR(VLOOKUP($A$1&amp;"-"&amp;ROW(K37),基本資料填寫!$A:$DN,COLUMN(基本資料填寫!R38),0),"")</f>
        <v/>
      </c>
      <c r="K38" s="47" t="str">
        <f>IFERROR(VLOOKUP($A$1&amp;"-"&amp;ROW(AA37),基本資料填寫!$A:$DN,COLUMN(基本資料填寫!BX38),0),"")</f>
        <v/>
      </c>
      <c r="L38" s="47" t="str">
        <f>IFERROR(VLOOKUP($A$1&amp;"-"&amp;ROW(S37),基本資料填寫!$A:$DN,COLUMN(基本資料填寫!Z38),0),"")</f>
        <v/>
      </c>
      <c r="M38" s="47" t="str">
        <f>IFERROR(VLOOKUP($A$1&amp;"-"&amp;ROW(T37),基本資料填寫!$A:$DN,COLUMN(基本資料填寫!AA38),0),"")</f>
        <v/>
      </c>
      <c r="N38" s="47" t="str">
        <f>IFERROR(VLOOKUP($A$1&amp;"-"&amp;ROW(AB37),基本資料填寫!$A:$DN,COLUMN(基本資料填寫!BY38),0),"")</f>
        <v/>
      </c>
      <c r="O38" s="47" t="str">
        <f>IFERROR(VLOOKUP($A$1&amp;"-"&amp;ROW(AC37),基本資料填寫!$A:$DN,COLUMN(基本資料填寫!BZ38),0),"")</f>
        <v/>
      </c>
      <c r="P38" s="47" t="str">
        <f>IFERROR(VLOOKUP($A$1&amp;"-"&amp;ROW(AD37),基本資料填寫!$A:$DN,COLUMN(基本資料填寫!CA38),0),"")</f>
        <v/>
      </c>
      <c r="Q38" s="47" t="str">
        <f>IFERROR(VLOOKUP($A$1&amp;"-"&amp;ROW(J37),基本資料填寫!$A:$DN,COLUMN(基本資料填寫!AO38),0),"")</f>
        <v/>
      </c>
      <c r="R38" s="47" t="str">
        <f>IFERROR(VLOOKUP($A$1&amp;"-"&amp;ROW(AE37),基本資料填寫!$A:$DN,COLUMN(基本資料填寫!CB38),0),"")</f>
        <v/>
      </c>
      <c r="S38" s="47" t="str">
        <f>IFERROR(VLOOKUP($A$1&amp;"-"&amp;ROW(AF37),基本資料填寫!$A:$DN,COLUMN(基本資料填寫!CC38),0),"")</f>
        <v/>
      </c>
      <c r="T38" s="47" t="str">
        <f>IFERROR(VLOOKUP($A$1&amp;"-"&amp;ROW(AG37),基本資料填寫!$A:$DN,COLUMN(基本資料填寫!CD38),0),"")</f>
        <v/>
      </c>
      <c r="U38" s="47" t="str">
        <f>IFERROR(VLOOKUP($A$1&amp;"-"&amp;ROW(AH37),基本資料填寫!$A:$DN,COLUMN(基本資料填寫!CE38),0),"")</f>
        <v/>
      </c>
      <c r="V38" s="47" t="str">
        <f>IFERROR(VLOOKUP($A$1&amp;"-"&amp;ROW(AI37),基本資料填寫!$A:$DN,COLUMN(基本資料填寫!CF38),0),"")</f>
        <v/>
      </c>
      <c r="W38" s="47" t="str">
        <f>IFERROR(VLOOKUP($A$1&amp;"-"&amp;ROW(AJ37),基本資料填寫!$A:$DN,COLUMN(基本資料填寫!CG38),0),"")</f>
        <v/>
      </c>
      <c r="X38" s="47" t="str">
        <f>IFERROR(VLOOKUP($A$1&amp;"-"&amp;ROW(AK37),基本資料填寫!$A:$DN,COLUMN(基本資料填寫!CH38),0),"")</f>
        <v/>
      </c>
      <c r="Y38" s="47" t="str">
        <f>IFERROR(VLOOKUP($A$1&amp;"-"&amp;ROW(AL37),基本資料填寫!$A:$DN,COLUMN(基本資料填寫!CI38),0),"")</f>
        <v/>
      </c>
      <c r="Z38" s="47" t="str">
        <f>IFERROR(VLOOKUP($A$1&amp;"-"&amp;ROW(H37),基本資料填寫!$A:$DN,COLUMN(基本資料填寫!O38),0),"")</f>
        <v/>
      </c>
      <c r="AA38" s="47" t="str">
        <f>IFERROR(VLOOKUP($A$1&amp;"-"&amp;ROW(AM37),基本資料填寫!$A:$DN,COLUMN(基本資料填寫!CJ38),0),"")</f>
        <v/>
      </c>
      <c r="AB38" s="47" t="str">
        <f>IFERROR(VLOOKUP($A$1&amp;"-"&amp;ROW(AN37),基本資料填寫!$A:$DN,COLUMN(基本資料填寫!CK38),0),"")</f>
        <v/>
      </c>
      <c r="AC38" s="47" t="str">
        <f>IFERROR(VLOOKUP($A$1&amp;"-"&amp;ROW(AP37),基本資料填寫!$A:$DN,COLUMN(基本資料填寫!CN38),0),"")</f>
        <v/>
      </c>
      <c r="AD38" s="47" t="str">
        <f>IFERROR(VLOOKUP($A$1&amp;"-"&amp;ROW(AQ37),基本資料填寫!$A:$DN,COLUMN(基本資料填寫!CO38),0),"")</f>
        <v/>
      </c>
      <c r="AE38" s="47" t="str">
        <f>IFERROR(VLOOKUP($A$1&amp;"-"&amp;ROW(AR37),基本資料填寫!$A:$DN,COLUMN(基本資料填寫!CP38),0),"")</f>
        <v/>
      </c>
      <c r="AF38" s="47" t="str">
        <f>IFERROR(VLOOKUP($A$1&amp;"-"&amp;ROW(AS37),基本資料填寫!$A:$DN,COLUMN(基本資料填寫!CQ38),0),"")</f>
        <v/>
      </c>
      <c r="AG38" s="47" t="str">
        <f>IFERROR(VLOOKUP($A$1&amp;"-"&amp;ROW(AT37),基本資料填寫!$A:$DN,COLUMN(基本資料填寫!CR38),0),"")</f>
        <v/>
      </c>
      <c r="AH38" s="47" t="str">
        <f>IFERROR(VLOOKUP($A$1&amp;"-"&amp;ROW(AU37),基本資料填寫!$A:$DN,COLUMN(基本資料填寫!CS38),0),"")</f>
        <v/>
      </c>
      <c r="AI38" s="47" t="str">
        <f>IFERROR(VLOOKUP($A$1&amp;"-"&amp;ROW(P37),基本資料填寫!$A:$DN,COLUMN(基本資料填寫!X38),0),"")</f>
        <v/>
      </c>
      <c r="AJ38" s="47" t="str">
        <f>IFERROR(VLOOKUP($A$1&amp;"-"&amp;ROW(AV37),基本資料填寫!$A:$DN,COLUMN(基本資料填寫!CT38),0),"")</f>
        <v/>
      </c>
      <c r="AK38" s="47" t="str">
        <f>IFERROR(VLOOKUP($A$1&amp;"-"&amp;ROW(AC37),基本資料填寫!$A:$DN,COLUMN(基本資料填寫!AQ38),0),"")</f>
        <v/>
      </c>
      <c r="AL38" s="47" t="str">
        <f>IFERROR(VLOOKUP($A$1&amp;"-"&amp;ROW(AO37),基本資料填寫!$A:$DN,COLUMN(基本資料填寫!CM38),0),"")</f>
        <v/>
      </c>
      <c r="AM38" s="47" t="str">
        <f>IFERROR(VLOOKUP($A$1&amp;"-"&amp;ROW(AD37),基本資料填寫!$A:$DN,COLUMN(基本資料填寫!AR38),0),"")</f>
        <v/>
      </c>
      <c r="AN38" s="47" t="str">
        <f>IFERROR(VLOOKUP($A$1&amp;"-"&amp;ROW(K37),基本資料填寫!$A:$DN,COLUMN(基本資料填寫!AP38),0),"")</f>
        <v/>
      </c>
      <c r="AO38" s="47" t="str">
        <f>IFERROR(VLOOKUP($A$1&amp;"-"&amp;ROW(J37),基本資料填寫!$A:$DN,COLUMN(基本資料填寫!AO38),0),"")</f>
        <v/>
      </c>
      <c r="AP38" s="47" t="str">
        <f>IFERROR(VLOOKUP($A$1&amp;"-"&amp;ROW(AE37),基本資料填寫!$A:$DN,COLUMN(基本資料填寫!AS38),0),"")</f>
        <v/>
      </c>
      <c r="AQ38" s="47" t="str">
        <f>IFERROR(VLOOKUP($A$1&amp;"-"&amp;ROW(AF37),基本資料填寫!$A:$DN,COLUMN(基本資料填寫!AT38),0),"")</f>
        <v/>
      </c>
      <c r="AR38" s="47" t="str">
        <f>IFERROR(VLOOKUP($A$1&amp;"-"&amp;ROW(AG37),基本資料填寫!$A:$DN,COLUMN(基本資料填寫!AU38),0),"")</f>
        <v/>
      </c>
      <c r="AS38" s="47" t="str">
        <f>IFERROR(VLOOKUP($A$1&amp;"-"&amp;ROW(AH37),基本資料填寫!$A:$DN,COLUMN(基本資料填寫!AV38),0),"")</f>
        <v/>
      </c>
      <c r="AT38" s="47" t="str">
        <f>IFERROR(VLOOKUP($A$1&amp;"-"&amp;ROW(AI37),基本資料填寫!$A:$DN,COLUMN(基本資料填寫!AW38),0),"")</f>
        <v/>
      </c>
      <c r="AU38" s="47" t="str">
        <f>IFERROR(VLOOKUP($A$1&amp;"-"&amp;ROW(AJ37),基本資料填寫!$A:$DN,COLUMN(基本資料填寫!AX38),0),"")</f>
        <v/>
      </c>
      <c r="AV38" s="47" t="str">
        <f>IFERROR(VLOOKUP($A$1&amp;"-"&amp;ROW(AK37),基本資料填寫!$A:$DN,COLUMN(基本資料填寫!AY38),0),"")</f>
        <v/>
      </c>
      <c r="AW38" s="47" t="str">
        <f>IFERROR(VLOOKUP($A$1&amp;"-"&amp;ROW(AL37),基本資料填寫!$A:$DN,COLUMN(基本資料填寫!AZ38),0),"")</f>
        <v/>
      </c>
      <c r="AX38" s="47" t="str">
        <f>IFERROR(VLOOKUP($A$1&amp;"-"&amp;ROW(AM37),基本資料填寫!$A:$DN,COLUMN(基本資料填寫!BA38),0),"")</f>
        <v/>
      </c>
      <c r="AY38" s="47" t="str">
        <f>IFERROR(VLOOKUP($A$1&amp;"-"&amp;ROW(AN37),基本資料填寫!$A:$DN,COLUMN(基本資料填寫!BB38),0),"")</f>
        <v/>
      </c>
      <c r="AZ38" s="47" t="str">
        <f>IFERROR(VLOOKUP($A$1&amp;"-"&amp;ROW(AO37),基本資料填寫!$A:$DN,COLUMN(基本資料填寫!BC38),0),"")</f>
        <v/>
      </c>
      <c r="BA38" s="47" t="str">
        <f>IFERROR(VLOOKUP($A$1&amp;"-"&amp;ROW(AP37),基本資料填寫!$A:$DN,COLUMN(基本資料填寫!BD38),0),"")</f>
        <v/>
      </c>
      <c r="BB38" s="47" t="str">
        <f>IFERROR(VLOOKUP($A$1&amp;"-"&amp;ROW(AQ37),基本資料填寫!$A:$DN,COLUMN(基本資料填寫!BE38),0),"")</f>
        <v/>
      </c>
      <c r="BC38" s="47" t="str">
        <f>IFERROR(VLOOKUP($A$1&amp;"-"&amp;ROW(AR37),基本資料填寫!$A:$DN,COLUMN(基本資料填寫!BF38),0),"")</f>
        <v/>
      </c>
      <c r="BD38" s="47" t="str">
        <f>IFERROR(VLOOKUP($A$1&amp;"-"&amp;ROW(AS37),基本資料填寫!$A:$DN,COLUMN(基本資料填寫!BG38),0),"")</f>
        <v/>
      </c>
      <c r="BE38" s="47" t="str">
        <f>IFERROR(VLOOKUP($A$1&amp;"-"&amp;ROW(AT37),基本資料填寫!$A:$DN,COLUMN(基本資料填寫!BH38),0),"")</f>
        <v/>
      </c>
      <c r="BF38" s="47" t="str">
        <f>IFERROR(VLOOKUP($A$1&amp;"-"&amp;ROW(AU37),基本資料填寫!$A:$DN,COLUMN(基本資料填寫!BI38),0),"")</f>
        <v/>
      </c>
      <c r="BG38" s="47" t="str">
        <f>IFERROR(VLOOKUP($A$1&amp;"-"&amp;ROW(AV37),基本資料填寫!$A:$DN,COLUMN(基本資料填寫!BJ38),0),"")</f>
        <v/>
      </c>
      <c r="BH38" s="47" t="str">
        <f>IFERROR(VLOOKUP($A$1&amp;"-"&amp;ROW(AW37),基本資料填寫!$A:$DN,COLUMN(基本資料填寫!BK38),0),"")</f>
        <v/>
      </c>
      <c r="BI38" s="47" t="str">
        <f>IFERROR(VLOOKUP($A$1&amp;"-"&amp;ROW(AX37),基本資料填寫!$A:$DN,COLUMN(基本資料填寫!BL38),0),"")</f>
        <v/>
      </c>
      <c r="BJ38" s="47" t="str">
        <f>IFERROR(VLOOKUP($A$1&amp;"-"&amp;ROW(AY37),基本資料填寫!$A:$DN,COLUMN(基本資料填寫!BM38),0),"")</f>
        <v/>
      </c>
      <c r="BK38" s="47" t="str">
        <f>IFERROR(VLOOKUP($A$1&amp;"-"&amp;ROW(AZ37),基本資料填寫!$A:$DN,COLUMN(基本資料填寫!BN38),0),"")</f>
        <v/>
      </c>
      <c r="BL38" s="47" t="str">
        <f>IFERROR(VLOOKUP($A$1&amp;"-"&amp;ROW(BA37),基本資料填寫!$A:$DN,COLUMN(基本資料填寫!BO38),0),"")</f>
        <v/>
      </c>
      <c r="BM38" s="47" t="str">
        <f>IFERROR(VLOOKUP($A$1&amp;"-"&amp;ROW(BB37),基本資料填寫!$A:$DN,COLUMN(基本資料填寫!BP38),0),"")</f>
        <v/>
      </c>
      <c r="BN38" s="47" t="str">
        <f>IFERROR(VLOOKUP($A$1&amp;"-"&amp;ROW(BC37),基本資料填寫!$A:$DN,COLUMN(基本資料填寫!BQ38),0),"")</f>
        <v/>
      </c>
      <c r="BO38" s="47" t="str">
        <f>IFERROR(VLOOKUP($A$1&amp;"-"&amp;ROW(BD37),基本資料填寫!$A:$DN,COLUMN(基本資料填寫!BR38),0),"")</f>
        <v/>
      </c>
    </row>
    <row r="39" spans="2:67" x14ac:dyDescent="0.3">
      <c r="B39" s="47" t="str">
        <f>IFERROR(VLOOKUP($A$1&amp;"-"&amp;ROW(A38),基本資料填寫!$A:$DN,COLUMN(基本資料填寫!K39),0),"")</f>
        <v/>
      </c>
      <c r="C39" s="47" t="str">
        <f>IFERROR(VLOOKUP($A$1&amp;"-"&amp;ROW(B38),基本資料填寫!$A:$DN,COLUMN(基本資料填寫!L39),0),"")</f>
        <v/>
      </c>
      <c r="D39" s="47" t="str">
        <f>IF(E39="","",COUNTA($E$2:E39))</f>
        <v/>
      </c>
      <c r="E39" s="47" t="str">
        <f>IFERROR(VLOOKUP($A$1&amp;"-"&amp;ROW(E38),基本資料填寫!$A:$DN,COLUMN(基本資料填寫!S39),0),"")</f>
        <v/>
      </c>
      <c r="G39" s="47" t="str">
        <f>IFERROR(VLOOKUP($A$1&amp;"-"&amp;ROW(G38),基本資料填寫!$A:$DN,COLUMN(基本資料填寫!V39),0),"")</f>
        <v/>
      </c>
      <c r="H39" s="47" t="str">
        <f>IFERROR(VLOOKUP($A$1&amp;"-"&amp;ROW(BI38),基本資料填寫!$A:$DN,COLUMN(基本資料填寫!BW39),0),"")</f>
        <v/>
      </c>
      <c r="I39" s="47" t="str">
        <f>IFERROR(VLOOKUP($A$1&amp;"-"&amp;ROW(I38),基本資料填寫!$A:$DN,COLUMN(基本資料填寫!AN39),0),"")</f>
        <v/>
      </c>
      <c r="J39" s="47" t="str">
        <f>IFERROR(VLOOKUP($A$1&amp;"-"&amp;ROW(K38),基本資料填寫!$A:$DN,COLUMN(基本資料填寫!R39),0),"")</f>
        <v/>
      </c>
      <c r="K39" s="47" t="str">
        <f>IFERROR(VLOOKUP($A$1&amp;"-"&amp;ROW(AA38),基本資料填寫!$A:$DN,COLUMN(基本資料填寫!BX39),0),"")</f>
        <v/>
      </c>
      <c r="L39" s="47" t="str">
        <f>IFERROR(VLOOKUP($A$1&amp;"-"&amp;ROW(S38),基本資料填寫!$A:$DN,COLUMN(基本資料填寫!Z39),0),"")</f>
        <v/>
      </c>
      <c r="M39" s="47" t="str">
        <f>IFERROR(VLOOKUP($A$1&amp;"-"&amp;ROW(T38),基本資料填寫!$A:$DN,COLUMN(基本資料填寫!AA39),0),"")</f>
        <v/>
      </c>
      <c r="N39" s="47" t="str">
        <f>IFERROR(VLOOKUP($A$1&amp;"-"&amp;ROW(AB38),基本資料填寫!$A:$DN,COLUMN(基本資料填寫!BY39),0),"")</f>
        <v/>
      </c>
      <c r="O39" s="47" t="str">
        <f>IFERROR(VLOOKUP($A$1&amp;"-"&amp;ROW(AC38),基本資料填寫!$A:$DN,COLUMN(基本資料填寫!BZ39),0),"")</f>
        <v/>
      </c>
      <c r="P39" s="47" t="str">
        <f>IFERROR(VLOOKUP($A$1&amp;"-"&amp;ROW(AD38),基本資料填寫!$A:$DN,COLUMN(基本資料填寫!CA39),0),"")</f>
        <v/>
      </c>
      <c r="Q39" s="47" t="str">
        <f>IFERROR(VLOOKUP($A$1&amp;"-"&amp;ROW(J38),基本資料填寫!$A:$DN,COLUMN(基本資料填寫!AO39),0),"")</f>
        <v/>
      </c>
      <c r="R39" s="47" t="str">
        <f>IFERROR(VLOOKUP($A$1&amp;"-"&amp;ROW(AE38),基本資料填寫!$A:$DN,COLUMN(基本資料填寫!CB39),0),"")</f>
        <v/>
      </c>
      <c r="S39" s="47" t="str">
        <f>IFERROR(VLOOKUP($A$1&amp;"-"&amp;ROW(AF38),基本資料填寫!$A:$DN,COLUMN(基本資料填寫!CC39),0),"")</f>
        <v/>
      </c>
      <c r="T39" s="47" t="str">
        <f>IFERROR(VLOOKUP($A$1&amp;"-"&amp;ROW(AG38),基本資料填寫!$A:$DN,COLUMN(基本資料填寫!CD39),0),"")</f>
        <v/>
      </c>
      <c r="U39" s="47" t="str">
        <f>IFERROR(VLOOKUP($A$1&amp;"-"&amp;ROW(AH38),基本資料填寫!$A:$DN,COLUMN(基本資料填寫!CE39),0),"")</f>
        <v/>
      </c>
      <c r="V39" s="47" t="str">
        <f>IFERROR(VLOOKUP($A$1&amp;"-"&amp;ROW(AI38),基本資料填寫!$A:$DN,COLUMN(基本資料填寫!CF39),0),"")</f>
        <v/>
      </c>
      <c r="W39" s="47" t="str">
        <f>IFERROR(VLOOKUP($A$1&amp;"-"&amp;ROW(AJ38),基本資料填寫!$A:$DN,COLUMN(基本資料填寫!CG39),0),"")</f>
        <v/>
      </c>
      <c r="X39" s="47" t="str">
        <f>IFERROR(VLOOKUP($A$1&amp;"-"&amp;ROW(AK38),基本資料填寫!$A:$DN,COLUMN(基本資料填寫!CH39),0),"")</f>
        <v/>
      </c>
      <c r="Y39" s="47" t="str">
        <f>IFERROR(VLOOKUP($A$1&amp;"-"&amp;ROW(AL38),基本資料填寫!$A:$DN,COLUMN(基本資料填寫!CI39),0),"")</f>
        <v/>
      </c>
      <c r="Z39" s="47" t="str">
        <f>IFERROR(VLOOKUP($A$1&amp;"-"&amp;ROW(H38),基本資料填寫!$A:$DN,COLUMN(基本資料填寫!O39),0),"")</f>
        <v/>
      </c>
      <c r="AA39" s="47" t="str">
        <f>IFERROR(VLOOKUP($A$1&amp;"-"&amp;ROW(AM38),基本資料填寫!$A:$DN,COLUMN(基本資料填寫!CJ39),0),"")</f>
        <v/>
      </c>
      <c r="AB39" s="47" t="str">
        <f>IFERROR(VLOOKUP($A$1&amp;"-"&amp;ROW(AN38),基本資料填寫!$A:$DN,COLUMN(基本資料填寫!CK39),0),"")</f>
        <v/>
      </c>
      <c r="AC39" s="47" t="str">
        <f>IFERROR(VLOOKUP($A$1&amp;"-"&amp;ROW(AP38),基本資料填寫!$A:$DN,COLUMN(基本資料填寫!CN39),0),"")</f>
        <v/>
      </c>
      <c r="AD39" s="47" t="str">
        <f>IFERROR(VLOOKUP($A$1&amp;"-"&amp;ROW(AQ38),基本資料填寫!$A:$DN,COLUMN(基本資料填寫!CO39),0),"")</f>
        <v/>
      </c>
      <c r="AE39" s="47" t="str">
        <f>IFERROR(VLOOKUP($A$1&amp;"-"&amp;ROW(AR38),基本資料填寫!$A:$DN,COLUMN(基本資料填寫!CP39),0),"")</f>
        <v/>
      </c>
      <c r="AF39" s="47" t="str">
        <f>IFERROR(VLOOKUP($A$1&amp;"-"&amp;ROW(AS38),基本資料填寫!$A:$DN,COLUMN(基本資料填寫!CQ39),0),"")</f>
        <v/>
      </c>
      <c r="AG39" s="47" t="str">
        <f>IFERROR(VLOOKUP($A$1&amp;"-"&amp;ROW(AT38),基本資料填寫!$A:$DN,COLUMN(基本資料填寫!CR39),0),"")</f>
        <v/>
      </c>
      <c r="AH39" s="47" t="str">
        <f>IFERROR(VLOOKUP($A$1&amp;"-"&amp;ROW(AU38),基本資料填寫!$A:$DN,COLUMN(基本資料填寫!CS39),0),"")</f>
        <v/>
      </c>
      <c r="AI39" s="47" t="str">
        <f>IFERROR(VLOOKUP($A$1&amp;"-"&amp;ROW(P38),基本資料填寫!$A:$DN,COLUMN(基本資料填寫!X39),0),"")</f>
        <v/>
      </c>
      <c r="AJ39" s="47" t="str">
        <f>IFERROR(VLOOKUP($A$1&amp;"-"&amp;ROW(AV38),基本資料填寫!$A:$DN,COLUMN(基本資料填寫!CT39),0),"")</f>
        <v/>
      </c>
      <c r="AK39" s="47" t="str">
        <f>IFERROR(VLOOKUP($A$1&amp;"-"&amp;ROW(AC38),基本資料填寫!$A:$DN,COLUMN(基本資料填寫!AQ39),0),"")</f>
        <v/>
      </c>
      <c r="AL39" s="47" t="str">
        <f>IFERROR(VLOOKUP($A$1&amp;"-"&amp;ROW(AO38),基本資料填寫!$A:$DN,COLUMN(基本資料填寫!CM39),0),"")</f>
        <v/>
      </c>
      <c r="AM39" s="47" t="str">
        <f>IFERROR(VLOOKUP($A$1&amp;"-"&amp;ROW(AD38),基本資料填寫!$A:$DN,COLUMN(基本資料填寫!AR39),0),"")</f>
        <v/>
      </c>
      <c r="AN39" s="47" t="str">
        <f>IFERROR(VLOOKUP($A$1&amp;"-"&amp;ROW(K38),基本資料填寫!$A:$DN,COLUMN(基本資料填寫!AP39),0),"")</f>
        <v/>
      </c>
      <c r="AO39" s="47" t="str">
        <f>IFERROR(VLOOKUP($A$1&amp;"-"&amp;ROW(J38),基本資料填寫!$A:$DN,COLUMN(基本資料填寫!AO39),0),"")</f>
        <v/>
      </c>
      <c r="AP39" s="47" t="str">
        <f>IFERROR(VLOOKUP($A$1&amp;"-"&amp;ROW(AE38),基本資料填寫!$A:$DN,COLUMN(基本資料填寫!AS39),0),"")</f>
        <v/>
      </c>
      <c r="AQ39" s="47" t="str">
        <f>IFERROR(VLOOKUP($A$1&amp;"-"&amp;ROW(AF38),基本資料填寫!$A:$DN,COLUMN(基本資料填寫!AT39),0),"")</f>
        <v/>
      </c>
      <c r="AR39" s="47" t="str">
        <f>IFERROR(VLOOKUP($A$1&amp;"-"&amp;ROW(AG38),基本資料填寫!$A:$DN,COLUMN(基本資料填寫!AU39),0),"")</f>
        <v/>
      </c>
      <c r="AS39" s="47" t="str">
        <f>IFERROR(VLOOKUP($A$1&amp;"-"&amp;ROW(AH38),基本資料填寫!$A:$DN,COLUMN(基本資料填寫!AV39),0),"")</f>
        <v/>
      </c>
      <c r="AT39" s="47" t="str">
        <f>IFERROR(VLOOKUP($A$1&amp;"-"&amp;ROW(AI38),基本資料填寫!$A:$DN,COLUMN(基本資料填寫!AW39),0),"")</f>
        <v/>
      </c>
      <c r="AU39" s="47" t="str">
        <f>IFERROR(VLOOKUP($A$1&amp;"-"&amp;ROW(AJ38),基本資料填寫!$A:$DN,COLUMN(基本資料填寫!AX39),0),"")</f>
        <v/>
      </c>
      <c r="AV39" s="47" t="str">
        <f>IFERROR(VLOOKUP($A$1&amp;"-"&amp;ROW(AK38),基本資料填寫!$A:$DN,COLUMN(基本資料填寫!AY39),0),"")</f>
        <v/>
      </c>
      <c r="AW39" s="47" t="str">
        <f>IFERROR(VLOOKUP($A$1&amp;"-"&amp;ROW(AL38),基本資料填寫!$A:$DN,COLUMN(基本資料填寫!AZ39),0),"")</f>
        <v/>
      </c>
      <c r="AX39" s="47" t="str">
        <f>IFERROR(VLOOKUP($A$1&amp;"-"&amp;ROW(AM38),基本資料填寫!$A:$DN,COLUMN(基本資料填寫!BA39),0),"")</f>
        <v/>
      </c>
      <c r="AY39" s="47" t="str">
        <f>IFERROR(VLOOKUP($A$1&amp;"-"&amp;ROW(AN38),基本資料填寫!$A:$DN,COLUMN(基本資料填寫!BB39),0),"")</f>
        <v/>
      </c>
      <c r="AZ39" s="47" t="str">
        <f>IFERROR(VLOOKUP($A$1&amp;"-"&amp;ROW(AO38),基本資料填寫!$A:$DN,COLUMN(基本資料填寫!BC39),0),"")</f>
        <v/>
      </c>
      <c r="BA39" s="47" t="str">
        <f>IFERROR(VLOOKUP($A$1&amp;"-"&amp;ROW(AP38),基本資料填寫!$A:$DN,COLUMN(基本資料填寫!BD39),0),"")</f>
        <v/>
      </c>
      <c r="BB39" s="47" t="str">
        <f>IFERROR(VLOOKUP($A$1&amp;"-"&amp;ROW(AQ38),基本資料填寫!$A:$DN,COLUMN(基本資料填寫!BE39),0),"")</f>
        <v/>
      </c>
      <c r="BC39" s="47" t="str">
        <f>IFERROR(VLOOKUP($A$1&amp;"-"&amp;ROW(AR38),基本資料填寫!$A:$DN,COLUMN(基本資料填寫!BF39),0),"")</f>
        <v/>
      </c>
      <c r="BD39" s="47" t="str">
        <f>IFERROR(VLOOKUP($A$1&amp;"-"&amp;ROW(AS38),基本資料填寫!$A:$DN,COLUMN(基本資料填寫!BG39),0),"")</f>
        <v/>
      </c>
      <c r="BE39" s="47" t="str">
        <f>IFERROR(VLOOKUP($A$1&amp;"-"&amp;ROW(AT38),基本資料填寫!$A:$DN,COLUMN(基本資料填寫!BH39),0),"")</f>
        <v/>
      </c>
      <c r="BF39" s="47" t="str">
        <f>IFERROR(VLOOKUP($A$1&amp;"-"&amp;ROW(AU38),基本資料填寫!$A:$DN,COLUMN(基本資料填寫!BI39),0),"")</f>
        <v/>
      </c>
      <c r="BG39" s="47" t="str">
        <f>IFERROR(VLOOKUP($A$1&amp;"-"&amp;ROW(AV38),基本資料填寫!$A:$DN,COLUMN(基本資料填寫!BJ39),0),"")</f>
        <v/>
      </c>
      <c r="BH39" s="47" t="str">
        <f>IFERROR(VLOOKUP($A$1&amp;"-"&amp;ROW(AW38),基本資料填寫!$A:$DN,COLUMN(基本資料填寫!BK39),0),"")</f>
        <v/>
      </c>
      <c r="BI39" s="47" t="str">
        <f>IFERROR(VLOOKUP($A$1&amp;"-"&amp;ROW(AX38),基本資料填寫!$A:$DN,COLUMN(基本資料填寫!BL39),0),"")</f>
        <v/>
      </c>
      <c r="BJ39" s="47" t="str">
        <f>IFERROR(VLOOKUP($A$1&amp;"-"&amp;ROW(AY38),基本資料填寫!$A:$DN,COLUMN(基本資料填寫!BM39),0),"")</f>
        <v/>
      </c>
      <c r="BK39" s="47" t="str">
        <f>IFERROR(VLOOKUP($A$1&amp;"-"&amp;ROW(AZ38),基本資料填寫!$A:$DN,COLUMN(基本資料填寫!BN39),0),"")</f>
        <v/>
      </c>
      <c r="BL39" s="47" t="str">
        <f>IFERROR(VLOOKUP($A$1&amp;"-"&amp;ROW(BA38),基本資料填寫!$A:$DN,COLUMN(基本資料填寫!BO39),0),"")</f>
        <v/>
      </c>
      <c r="BM39" s="47" t="str">
        <f>IFERROR(VLOOKUP($A$1&amp;"-"&amp;ROW(BB38),基本資料填寫!$A:$DN,COLUMN(基本資料填寫!BP39),0),"")</f>
        <v/>
      </c>
      <c r="BN39" s="47" t="str">
        <f>IFERROR(VLOOKUP($A$1&amp;"-"&amp;ROW(BC38),基本資料填寫!$A:$DN,COLUMN(基本資料填寫!BQ39),0),"")</f>
        <v/>
      </c>
      <c r="BO39" s="47" t="str">
        <f>IFERROR(VLOOKUP($A$1&amp;"-"&amp;ROW(BD38),基本資料填寫!$A:$DN,COLUMN(基本資料填寫!BR39),0),"")</f>
        <v/>
      </c>
    </row>
    <row r="40" spans="2:67" x14ac:dyDescent="0.3">
      <c r="B40" s="47" t="str">
        <f>IFERROR(VLOOKUP($A$1&amp;"-"&amp;ROW(A39),基本資料填寫!$A:$DN,COLUMN(基本資料填寫!K40),0),"")</f>
        <v/>
      </c>
      <c r="C40" s="47" t="str">
        <f>IFERROR(VLOOKUP($A$1&amp;"-"&amp;ROW(B39),基本資料填寫!$A:$DN,COLUMN(基本資料填寫!L40),0),"")</f>
        <v/>
      </c>
      <c r="D40" s="47" t="str">
        <f>IF(E40="","",COUNTA($E$2:E40))</f>
        <v/>
      </c>
      <c r="E40" s="47" t="str">
        <f>IFERROR(VLOOKUP($A$1&amp;"-"&amp;ROW(E39),基本資料填寫!$A:$DN,COLUMN(基本資料填寫!S40),0),"")</f>
        <v/>
      </c>
      <c r="G40" s="47" t="str">
        <f>IFERROR(VLOOKUP($A$1&amp;"-"&amp;ROW(G39),基本資料填寫!$A:$DN,COLUMN(基本資料填寫!V40),0),"")</f>
        <v/>
      </c>
      <c r="H40" s="47" t="str">
        <f>IFERROR(VLOOKUP($A$1&amp;"-"&amp;ROW(BI39),基本資料填寫!$A:$DN,COLUMN(基本資料填寫!BW40),0),"")</f>
        <v/>
      </c>
      <c r="I40" s="47" t="str">
        <f>IFERROR(VLOOKUP($A$1&amp;"-"&amp;ROW(I39),基本資料填寫!$A:$DN,COLUMN(基本資料填寫!AN40),0),"")</f>
        <v/>
      </c>
      <c r="J40" s="47" t="str">
        <f>IFERROR(VLOOKUP($A$1&amp;"-"&amp;ROW(K39),基本資料填寫!$A:$DN,COLUMN(基本資料填寫!R40),0),"")</f>
        <v/>
      </c>
      <c r="K40" s="47" t="str">
        <f>IFERROR(VLOOKUP($A$1&amp;"-"&amp;ROW(AA39),基本資料填寫!$A:$DN,COLUMN(基本資料填寫!BX40),0),"")</f>
        <v/>
      </c>
      <c r="L40" s="47" t="str">
        <f>IFERROR(VLOOKUP($A$1&amp;"-"&amp;ROW(S39),基本資料填寫!$A:$DN,COLUMN(基本資料填寫!Z40),0),"")</f>
        <v/>
      </c>
      <c r="M40" s="47" t="str">
        <f>IFERROR(VLOOKUP($A$1&amp;"-"&amp;ROW(T39),基本資料填寫!$A:$DN,COLUMN(基本資料填寫!AA40),0),"")</f>
        <v/>
      </c>
      <c r="N40" s="47" t="str">
        <f>IFERROR(VLOOKUP($A$1&amp;"-"&amp;ROW(AB39),基本資料填寫!$A:$DN,COLUMN(基本資料填寫!BY40),0),"")</f>
        <v/>
      </c>
      <c r="O40" s="47" t="str">
        <f>IFERROR(VLOOKUP($A$1&amp;"-"&amp;ROW(AC39),基本資料填寫!$A:$DN,COLUMN(基本資料填寫!BZ40),0),"")</f>
        <v/>
      </c>
      <c r="P40" s="47" t="str">
        <f>IFERROR(VLOOKUP($A$1&amp;"-"&amp;ROW(AD39),基本資料填寫!$A:$DN,COLUMN(基本資料填寫!CA40),0),"")</f>
        <v/>
      </c>
      <c r="Q40" s="47" t="str">
        <f>IFERROR(VLOOKUP($A$1&amp;"-"&amp;ROW(J39),基本資料填寫!$A:$DN,COLUMN(基本資料填寫!AO40),0),"")</f>
        <v/>
      </c>
      <c r="R40" s="47" t="str">
        <f>IFERROR(VLOOKUP($A$1&amp;"-"&amp;ROW(AE39),基本資料填寫!$A:$DN,COLUMN(基本資料填寫!CB40),0),"")</f>
        <v/>
      </c>
      <c r="S40" s="47" t="str">
        <f>IFERROR(VLOOKUP($A$1&amp;"-"&amp;ROW(AF39),基本資料填寫!$A:$DN,COLUMN(基本資料填寫!CC40),0),"")</f>
        <v/>
      </c>
      <c r="T40" s="47" t="str">
        <f>IFERROR(VLOOKUP($A$1&amp;"-"&amp;ROW(AG39),基本資料填寫!$A:$DN,COLUMN(基本資料填寫!CD40),0),"")</f>
        <v/>
      </c>
      <c r="U40" s="47" t="str">
        <f>IFERROR(VLOOKUP($A$1&amp;"-"&amp;ROW(AH39),基本資料填寫!$A:$DN,COLUMN(基本資料填寫!CE40),0),"")</f>
        <v/>
      </c>
      <c r="V40" s="47" t="str">
        <f>IFERROR(VLOOKUP($A$1&amp;"-"&amp;ROW(AI39),基本資料填寫!$A:$DN,COLUMN(基本資料填寫!CF40),0),"")</f>
        <v/>
      </c>
      <c r="W40" s="47" t="str">
        <f>IFERROR(VLOOKUP($A$1&amp;"-"&amp;ROW(AJ39),基本資料填寫!$A:$DN,COLUMN(基本資料填寫!CG40),0),"")</f>
        <v/>
      </c>
      <c r="X40" s="47" t="str">
        <f>IFERROR(VLOOKUP($A$1&amp;"-"&amp;ROW(AK39),基本資料填寫!$A:$DN,COLUMN(基本資料填寫!CH40),0),"")</f>
        <v/>
      </c>
      <c r="Y40" s="47" t="str">
        <f>IFERROR(VLOOKUP($A$1&amp;"-"&amp;ROW(AL39),基本資料填寫!$A:$DN,COLUMN(基本資料填寫!CI40),0),"")</f>
        <v/>
      </c>
      <c r="Z40" s="47" t="str">
        <f>IFERROR(VLOOKUP($A$1&amp;"-"&amp;ROW(H39),基本資料填寫!$A:$DN,COLUMN(基本資料填寫!O40),0),"")</f>
        <v/>
      </c>
      <c r="AA40" s="47" t="str">
        <f>IFERROR(VLOOKUP($A$1&amp;"-"&amp;ROW(AM39),基本資料填寫!$A:$DN,COLUMN(基本資料填寫!CJ40),0),"")</f>
        <v/>
      </c>
      <c r="AB40" s="47" t="str">
        <f>IFERROR(VLOOKUP($A$1&amp;"-"&amp;ROW(AN39),基本資料填寫!$A:$DN,COLUMN(基本資料填寫!CK40),0),"")</f>
        <v/>
      </c>
      <c r="AC40" s="47" t="str">
        <f>IFERROR(VLOOKUP($A$1&amp;"-"&amp;ROW(AP39),基本資料填寫!$A:$DN,COLUMN(基本資料填寫!CN40),0),"")</f>
        <v/>
      </c>
      <c r="AD40" s="47" t="str">
        <f>IFERROR(VLOOKUP($A$1&amp;"-"&amp;ROW(AQ39),基本資料填寫!$A:$DN,COLUMN(基本資料填寫!CO40),0),"")</f>
        <v/>
      </c>
      <c r="AE40" s="47" t="str">
        <f>IFERROR(VLOOKUP($A$1&amp;"-"&amp;ROW(AR39),基本資料填寫!$A:$DN,COLUMN(基本資料填寫!CP40),0),"")</f>
        <v/>
      </c>
      <c r="AF40" s="47" t="str">
        <f>IFERROR(VLOOKUP($A$1&amp;"-"&amp;ROW(AS39),基本資料填寫!$A:$DN,COLUMN(基本資料填寫!CQ40),0),"")</f>
        <v/>
      </c>
      <c r="AG40" s="47" t="str">
        <f>IFERROR(VLOOKUP($A$1&amp;"-"&amp;ROW(AT39),基本資料填寫!$A:$DN,COLUMN(基本資料填寫!CR40),0),"")</f>
        <v/>
      </c>
      <c r="AH40" s="47" t="str">
        <f>IFERROR(VLOOKUP($A$1&amp;"-"&amp;ROW(AU39),基本資料填寫!$A:$DN,COLUMN(基本資料填寫!CS40),0),"")</f>
        <v/>
      </c>
      <c r="AI40" s="47" t="str">
        <f>IFERROR(VLOOKUP($A$1&amp;"-"&amp;ROW(P39),基本資料填寫!$A:$DN,COLUMN(基本資料填寫!X40),0),"")</f>
        <v/>
      </c>
      <c r="AJ40" s="47" t="str">
        <f>IFERROR(VLOOKUP($A$1&amp;"-"&amp;ROW(AV39),基本資料填寫!$A:$DN,COLUMN(基本資料填寫!CT40),0),"")</f>
        <v/>
      </c>
      <c r="AK40" s="47" t="str">
        <f>IFERROR(VLOOKUP($A$1&amp;"-"&amp;ROW(AC39),基本資料填寫!$A:$DN,COLUMN(基本資料填寫!AQ40),0),"")</f>
        <v/>
      </c>
      <c r="AL40" s="47" t="str">
        <f>IFERROR(VLOOKUP($A$1&amp;"-"&amp;ROW(AO39),基本資料填寫!$A:$DN,COLUMN(基本資料填寫!CM40),0),"")</f>
        <v/>
      </c>
      <c r="AM40" s="47" t="str">
        <f>IFERROR(VLOOKUP($A$1&amp;"-"&amp;ROW(AD39),基本資料填寫!$A:$DN,COLUMN(基本資料填寫!AR40),0),"")</f>
        <v/>
      </c>
      <c r="AN40" s="47" t="str">
        <f>IFERROR(VLOOKUP($A$1&amp;"-"&amp;ROW(K39),基本資料填寫!$A:$DN,COLUMN(基本資料填寫!AP40),0),"")</f>
        <v/>
      </c>
      <c r="AO40" s="47" t="str">
        <f>IFERROR(VLOOKUP($A$1&amp;"-"&amp;ROW(J39),基本資料填寫!$A:$DN,COLUMN(基本資料填寫!AO40),0),"")</f>
        <v/>
      </c>
      <c r="AP40" s="47" t="str">
        <f>IFERROR(VLOOKUP($A$1&amp;"-"&amp;ROW(AE39),基本資料填寫!$A:$DN,COLUMN(基本資料填寫!AS40),0),"")</f>
        <v/>
      </c>
      <c r="AQ40" s="47" t="str">
        <f>IFERROR(VLOOKUP($A$1&amp;"-"&amp;ROW(AF39),基本資料填寫!$A:$DN,COLUMN(基本資料填寫!AT40),0),"")</f>
        <v/>
      </c>
      <c r="AR40" s="47" t="str">
        <f>IFERROR(VLOOKUP($A$1&amp;"-"&amp;ROW(AG39),基本資料填寫!$A:$DN,COLUMN(基本資料填寫!AU40),0),"")</f>
        <v/>
      </c>
      <c r="AS40" s="47" t="str">
        <f>IFERROR(VLOOKUP($A$1&amp;"-"&amp;ROW(AH39),基本資料填寫!$A:$DN,COLUMN(基本資料填寫!AV40),0),"")</f>
        <v/>
      </c>
      <c r="AT40" s="47" t="str">
        <f>IFERROR(VLOOKUP($A$1&amp;"-"&amp;ROW(AI39),基本資料填寫!$A:$DN,COLUMN(基本資料填寫!AW40),0),"")</f>
        <v/>
      </c>
      <c r="AU40" s="47" t="str">
        <f>IFERROR(VLOOKUP($A$1&amp;"-"&amp;ROW(AJ39),基本資料填寫!$A:$DN,COLUMN(基本資料填寫!AX40),0),"")</f>
        <v/>
      </c>
      <c r="AV40" s="47" t="str">
        <f>IFERROR(VLOOKUP($A$1&amp;"-"&amp;ROW(AK39),基本資料填寫!$A:$DN,COLUMN(基本資料填寫!AY40),0),"")</f>
        <v/>
      </c>
      <c r="AW40" s="47" t="str">
        <f>IFERROR(VLOOKUP($A$1&amp;"-"&amp;ROW(AL39),基本資料填寫!$A:$DN,COLUMN(基本資料填寫!AZ40),0),"")</f>
        <v/>
      </c>
      <c r="AX40" s="47" t="str">
        <f>IFERROR(VLOOKUP($A$1&amp;"-"&amp;ROW(AM39),基本資料填寫!$A:$DN,COLUMN(基本資料填寫!BA40),0),"")</f>
        <v/>
      </c>
      <c r="AY40" s="47" t="str">
        <f>IFERROR(VLOOKUP($A$1&amp;"-"&amp;ROW(AN39),基本資料填寫!$A:$DN,COLUMN(基本資料填寫!BB40),0),"")</f>
        <v/>
      </c>
      <c r="AZ40" s="47" t="str">
        <f>IFERROR(VLOOKUP($A$1&amp;"-"&amp;ROW(AO39),基本資料填寫!$A:$DN,COLUMN(基本資料填寫!BC40),0),"")</f>
        <v/>
      </c>
      <c r="BA40" s="47" t="str">
        <f>IFERROR(VLOOKUP($A$1&amp;"-"&amp;ROW(AP39),基本資料填寫!$A:$DN,COLUMN(基本資料填寫!BD40),0),"")</f>
        <v/>
      </c>
      <c r="BB40" s="47" t="str">
        <f>IFERROR(VLOOKUP($A$1&amp;"-"&amp;ROW(AQ39),基本資料填寫!$A:$DN,COLUMN(基本資料填寫!BE40),0),"")</f>
        <v/>
      </c>
      <c r="BC40" s="47" t="str">
        <f>IFERROR(VLOOKUP($A$1&amp;"-"&amp;ROW(AR39),基本資料填寫!$A:$DN,COLUMN(基本資料填寫!BF40),0),"")</f>
        <v/>
      </c>
      <c r="BD40" s="47" t="str">
        <f>IFERROR(VLOOKUP($A$1&amp;"-"&amp;ROW(AS39),基本資料填寫!$A:$DN,COLUMN(基本資料填寫!BG40),0),"")</f>
        <v/>
      </c>
      <c r="BE40" s="47" t="str">
        <f>IFERROR(VLOOKUP($A$1&amp;"-"&amp;ROW(AT39),基本資料填寫!$A:$DN,COLUMN(基本資料填寫!BH40),0),"")</f>
        <v/>
      </c>
      <c r="BF40" s="47" t="str">
        <f>IFERROR(VLOOKUP($A$1&amp;"-"&amp;ROW(AU39),基本資料填寫!$A:$DN,COLUMN(基本資料填寫!BI40),0),"")</f>
        <v/>
      </c>
      <c r="BG40" s="47" t="str">
        <f>IFERROR(VLOOKUP($A$1&amp;"-"&amp;ROW(AV39),基本資料填寫!$A:$DN,COLUMN(基本資料填寫!BJ40),0),"")</f>
        <v/>
      </c>
      <c r="BH40" s="47" t="str">
        <f>IFERROR(VLOOKUP($A$1&amp;"-"&amp;ROW(AW39),基本資料填寫!$A:$DN,COLUMN(基本資料填寫!BK40),0),"")</f>
        <v/>
      </c>
      <c r="BI40" s="47" t="str">
        <f>IFERROR(VLOOKUP($A$1&amp;"-"&amp;ROW(AX39),基本資料填寫!$A:$DN,COLUMN(基本資料填寫!BL40),0),"")</f>
        <v/>
      </c>
      <c r="BJ40" s="47" t="str">
        <f>IFERROR(VLOOKUP($A$1&amp;"-"&amp;ROW(AY39),基本資料填寫!$A:$DN,COLUMN(基本資料填寫!BM40),0),"")</f>
        <v/>
      </c>
      <c r="BK40" s="47" t="str">
        <f>IFERROR(VLOOKUP($A$1&amp;"-"&amp;ROW(AZ39),基本資料填寫!$A:$DN,COLUMN(基本資料填寫!BN40),0),"")</f>
        <v/>
      </c>
      <c r="BL40" s="47" t="str">
        <f>IFERROR(VLOOKUP($A$1&amp;"-"&amp;ROW(BA39),基本資料填寫!$A:$DN,COLUMN(基本資料填寫!BO40),0),"")</f>
        <v/>
      </c>
      <c r="BM40" s="47" t="str">
        <f>IFERROR(VLOOKUP($A$1&amp;"-"&amp;ROW(BB39),基本資料填寫!$A:$DN,COLUMN(基本資料填寫!BP40),0),"")</f>
        <v/>
      </c>
      <c r="BN40" s="47" t="str">
        <f>IFERROR(VLOOKUP($A$1&amp;"-"&amp;ROW(BC39),基本資料填寫!$A:$DN,COLUMN(基本資料填寫!BQ40),0),"")</f>
        <v/>
      </c>
      <c r="BO40" s="47" t="str">
        <f>IFERROR(VLOOKUP($A$1&amp;"-"&amp;ROW(BD39),基本資料填寫!$A:$DN,COLUMN(基本資料填寫!BR40),0),"")</f>
        <v/>
      </c>
    </row>
    <row r="41" spans="2:67" x14ac:dyDescent="0.3">
      <c r="B41" s="47" t="str">
        <f>IFERROR(VLOOKUP($A$1&amp;"-"&amp;ROW(A40),基本資料填寫!$A:$DN,COLUMN(基本資料填寫!K41),0),"")</f>
        <v/>
      </c>
      <c r="C41" s="47" t="str">
        <f>IFERROR(VLOOKUP($A$1&amp;"-"&amp;ROW(B40),基本資料填寫!$A:$DN,COLUMN(基本資料填寫!L41),0),"")</f>
        <v/>
      </c>
      <c r="D41" s="47" t="str">
        <f>IF(E41="","",COUNTA($E$2:E41))</f>
        <v/>
      </c>
      <c r="E41" s="47" t="str">
        <f>IFERROR(VLOOKUP($A$1&amp;"-"&amp;ROW(E40),基本資料填寫!$A:$DN,COLUMN(基本資料填寫!S41),0),"")</f>
        <v/>
      </c>
      <c r="G41" s="47" t="str">
        <f>IFERROR(VLOOKUP($A$1&amp;"-"&amp;ROW(G40),基本資料填寫!$A:$DN,COLUMN(基本資料填寫!V41),0),"")</f>
        <v/>
      </c>
      <c r="H41" s="47" t="str">
        <f>IFERROR(VLOOKUP($A$1&amp;"-"&amp;ROW(BI40),基本資料填寫!$A:$DN,COLUMN(基本資料填寫!BW41),0),"")</f>
        <v/>
      </c>
      <c r="I41" s="47" t="str">
        <f>IFERROR(VLOOKUP($A$1&amp;"-"&amp;ROW(I40),基本資料填寫!$A:$DN,COLUMN(基本資料填寫!AN41),0),"")</f>
        <v/>
      </c>
      <c r="J41" s="47" t="str">
        <f>IFERROR(VLOOKUP($A$1&amp;"-"&amp;ROW(K40),基本資料填寫!$A:$DN,COLUMN(基本資料填寫!R41),0),"")</f>
        <v/>
      </c>
      <c r="K41" s="47" t="str">
        <f>IFERROR(VLOOKUP($A$1&amp;"-"&amp;ROW(AA40),基本資料填寫!$A:$DN,COLUMN(基本資料填寫!BX41),0),"")</f>
        <v/>
      </c>
      <c r="L41" s="47" t="str">
        <f>IFERROR(VLOOKUP($A$1&amp;"-"&amp;ROW(S40),基本資料填寫!$A:$DN,COLUMN(基本資料填寫!Z41),0),"")</f>
        <v/>
      </c>
      <c r="M41" s="47" t="str">
        <f>IFERROR(VLOOKUP($A$1&amp;"-"&amp;ROW(T40),基本資料填寫!$A:$DN,COLUMN(基本資料填寫!AA41),0),"")</f>
        <v/>
      </c>
      <c r="N41" s="47" t="str">
        <f>IFERROR(VLOOKUP($A$1&amp;"-"&amp;ROW(AB40),基本資料填寫!$A:$DN,COLUMN(基本資料填寫!BY41),0),"")</f>
        <v/>
      </c>
      <c r="O41" s="47" t="str">
        <f>IFERROR(VLOOKUP($A$1&amp;"-"&amp;ROW(AC40),基本資料填寫!$A:$DN,COLUMN(基本資料填寫!BZ41),0),"")</f>
        <v/>
      </c>
      <c r="P41" s="47" t="str">
        <f>IFERROR(VLOOKUP($A$1&amp;"-"&amp;ROW(AD40),基本資料填寫!$A:$DN,COLUMN(基本資料填寫!CA41),0),"")</f>
        <v/>
      </c>
      <c r="Q41" s="47" t="str">
        <f>IFERROR(VLOOKUP($A$1&amp;"-"&amp;ROW(J40),基本資料填寫!$A:$DN,COLUMN(基本資料填寫!AO41),0),"")</f>
        <v/>
      </c>
      <c r="R41" s="47" t="str">
        <f>IFERROR(VLOOKUP($A$1&amp;"-"&amp;ROW(AE40),基本資料填寫!$A:$DN,COLUMN(基本資料填寫!CB41),0),"")</f>
        <v/>
      </c>
      <c r="S41" s="47" t="str">
        <f>IFERROR(VLOOKUP($A$1&amp;"-"&amp;ROW(AF40),基本資料填寫!$A:$DN,COLUMN(基本資料填寫!CC41),0),"")</f>
        <v/>
      </c>
      <c r="T41" s="47" t="str">
        <f>IFERROR(VLOOKUP($A$1&amp;"-"&amp;ROW(AG40),基本資料填寫!$A:$DN,COLUMN(基本資料填寫!CD41),0),"")</f>
        <v/>
      </c>
      <c r="U41" s="47" t="str">
        <f>IFERROR(VLOOKUP($A$1&amp;"-"&amp;ROW(AH40),基本資料填寫!$A:$DN,COLUMN(基本資料填寫!CE41),0),"")</f>
        <v/>
      </c>
      <c r="V41" s="47" t="str">
        <f>IFERROR(VLOOKUP($A$1&amp;"-"&amp;ROW(AI40),基本資料填寫!$A:$DN,COLUMN(基本資料填寫!CF41),0),"")</f>
        <v/>
      </c>
      <c r="W41" s="47" t="str">
        <f>IFERROR(VLOOKUP($A$1&amp;"-"&amp;ROW(AJ40),基本資料填寫!$A:$DN,COLUMN(基本資料填寫!CG41),0),"")</f>
        <v/>
      </c>
      <c r="X41" s="47" t="str">
        <f>IFERROR(VLOOKUP($A$1&amp;"-"&amp;ROW(AK40),基本資料填寫!$A:$DN,COLUMN(基本資料填寫!CH41),0),"")</f>
        <v/>
      </c>
      <c r="Y41" s="47" t="str">
        <f>IFERROR(VLOOKUP($A$1&amp;"-"&amp;ROW(AL40),基本資料填寫!$A:$DN,COLUMN(基本資料填寫!CI41),0),"")</f>
        <v/>
      </c>
      <c r="Z41" s="47" t="str">
        <f>IFERROR(VLOOKUP($A$1&amp;"-"&amp;ROW(H40),基本資料填寫!$A:$DN,COLUMN(基本資料填寫!O41),0),"")</f>
        <v/>
      </c>
      <c r="AA41" s="47" t="str">
        <f>IFERROR(VLOOKUP($A$1&amp;"-"&amp;ROW(AM40),基本資料填寫!$A:$DN,COLUMN(基本資料填寫!CJ41),0),"")</f>
        <v/>
      </c>
      <c r="AB41" s="47" t="str">
        <f>IFERROR(VLOOKUP($A$1&amp;"-"&amp;ROW(AN40),基本資料填寫!$A:$DN,COLUMN(基本資料填寫!CK41),0),"")</f>
        <v/>
      </c>
      <c r="AC41" s="47" t="str">
        <f>IFERROR(VLOOKUP($A$1&amp;"-"&amp;ROW(AP40),基本資料填寫!$A:$DN,COLUMN(基本資料填寫!CN41),0),"")</f>
        <v/>
      </c>
      <c r="AD41" s="47" t="str">
        <f>IFERROR(VLOOKUP($A$1&amp;"-"&amp;ROW(AQ40),基本資料填寫!$A:$DN,COLUMN(基本資料填寫!CO41),0),"")</f>
        <v/>
      </c>
      <c r="AE41" s="47" t="str">
        <f>IFERROR(VLOOKUP($A$1&amp;"-"&amp;ROW(AR40),基本資料填寫!$A:$DN,COLUMN(基本資料填寫!CP41),0),"")</f>
        <v/>
      </c>
      <c r="AF41" s="47" t="str">
        <f>IFERROR(VLOOKUP($A$1&amp;"-"&amp;ROW(AS40),基本資料填寫!$A:$DN,COLUMN(基本資料填寫!CQ41),0),"")</f>
        <v/>
      </c>
      <c r="AG41" s="47" t="str">
        <f>IFERROR(VLOOKUP($A$1&amp;"-"&amp;ROW(AT40),基本資料填寫!$A:$DN,COLUMN(基本資料填寫!CR41),0),"")</f>
        <v/>
      </c>
      <c r="AH41" s="47" t="str">
        <f>IFERROR(VLOOKUP($A$1&amp;"-"&amp;ROW(AU40),基本資料填寫!$A:$DN,COLUMN(基本資料填寫!CS41),0),"")</f>
        <v/>
      </c>
      <c r="AI41" s="47" t="str">
        <f>IFERROR(VLOOKUP($A$1&amp;"-"&amp;ROW(P40),基本資料填寫!$A:$DN,COLUMN(基本資料填寫!X41),0),"")</f>
        <v/>
      </c>
      <c r="AJ41" s="47" t="str">
        <f>IFERROR(VLOOKUP($A$1&amp;"-"&amp;ROW(AV40),基本資料填寫!$A:$DN,COLUMN(基本資料填寫!CT41),0),"")</f>
        <v/>
      </c>
      <c r="AK41" s="47" t="str">
        <f>IFERROR(VLOOKUP($A$1&amp;"-"&amp;ROW(AC40),基本資料填寫!$A:$DN,COLUMN(基本資料填寫!AQ41),0),"")</f>
        <v/>
      </c>
      <c r="AL41" s="47" t="str">
        <f>IFERROR(VLOOKUP($A$1&amp;"-"&amp;ROW(AO40),基本資料填寫!$A:$DN,COLUMN(基本資料填寫!CM41),0),"")</f>
        <v/>
      </c>
      <c r="AM41" s="47" t="str">
        <f>IFERROR(VLOOKUP($A$1&amp;"-"&amp;ROW(AD40),基本資料填寫!$A:$DN,COLUMN(基本資料填寫!AR41),0),"")</f>
        <v/>
      </c>
      <c r="AN41" s="47" t="str">
        <f>IFERROR(VLOOKUP($A$1&amp;"-"&amp;ROW(K40),基本資料填寫!$A:$DN,COLUMN(基本資料填寫!AP41),0),"")</f>
        <v/>
      </c>
      <c r="AO41" s="47" t="str">
        <f>IFERROR(VLOOKUP($A$1&amp;"-"&amp;ROW(J40),基本資料填寫!$A:$DN,COLUMN(基本資料填寫!AO41),0),"")</f>
        <v/>
      </c>
      <c r="AP41" s="47" t="str">
        <f>IFERROR(VLOOKUP($A$1&amp;"-"&amp;ROW(AE40),基本資料填寫!$A:$DN,COLUMN(基本資料填寫!AS41),0),"")</f>
        <v/>
      </c>
      <c r="AQ41" s="47" t="str">
        <f>IFERROR(VLOOKUP($A$1&amp;"-"&amp;ROW(AF40),基本資料填寫!$A:$DN,COLUMN(基本資料填寫!AT41),0),"")</f>
        <v/>
      </c>
      <c r="AR41" s="47" t="str">
        <f>IFERROR(VLOOKUP($A$1&amp;"-"&amp;ROW(AG40),基本資料填寫!$A:$DN,COLUMN(基本資料填寫!AU41),0),"")</f>
        <v/>
      </c>
      <c r="AS41" s="47" t="str">
        <f>IFERROR(VLOOKUP($A$1&amp;"-"&amp;ROW(AH40),基本資料填寫!$A:$DN,COLUMN(基本資料填寫!AV41),0),"")</f>
        <v/>
      </c>
      <c r="AT41" s="47" t="str">
        <f>IFERROR(VLOOKUP($A$1&amp;"-"&amp;ROW(AI40),基本資料填寫!$A:$DN,COLUMN(基本資料填寫!AW41),0),"")</f>
        <v/>
      </c>
      <c r="AU41" s="47" t="str">
        <f>IFERROR(VLOOKUP($A$1&amp;"-"&amp;ROW(AJ40),基本資料填寫!$A:$DN,COLUMN(基本資料填寫!AX41),0),"")</f>
        <v/>
      </c>
      <c r="AV41" s="47" t="str">
        <f>IFERROR(VLOOKUP($A$1&amp;"-"&amp;ROW(AK40),基本資料填寫!$A:$DN,COLUMN(基本資料填寫!AY41),0),"")</f>
        <v/>
      </c>
      <c r="AW41" s="47" t="str">
        <f>IFERROR(VLOOKUP($A$1&amp;"-"&amp;ROW(AL40),基本資料填寫!$A:$DN,COLUMN(基本資料填寫!AZ41),0),"")</f>
        <v/>
      </c>
      <c r="AX41" s="47" t="str">
        <f>IFERROR(VLOOKUP($A$1&amp;"-"&amp;ROW(AM40),基本資料填寫!$A:$DN,COLUMN(基本資料填寫!BA41),0),"")</f>
        <v/>
      </c>
      <c r="AY41" s="47" t="str">
        <f>IFERROR(VLOOKUP($A$1&amp;"-"&amp;ROW(AN40),基本資料填寫!$A:$DN,COLUMN(基本資料填寫!BB41),0),"")</f>
        <v/>
      </c>
      <c r="AZ41" s="47" t="str">
        <f>IFERROR(VLOOKUP($A$1&amp;"-"&amp;ROW(AO40),基本資料填寫!$A:$DN,COLUMN(基本資料填寫!BC41),0),"")</f>
        <v/>
      </c>
      <c r="BA41" s="47" t="str">
        <f>IFERROR(VLOOKUP($A$1&amp;"-"&amp;ROW(AP40),基本資料填寫!$A:$DN,COLUMN(基本資料填寫!BD41),0),"")</f>
        <v/>
      </c>
      <c r="BB41" s="47" t="str">
        <f>IFERROR(VLOOKUP($A$1&amp;"-"&amp;ROW(AQ40),基本資料填寫!$A:$DN,COLUMN(基本資料填寫!BE41),0),"")</f>
        <v/>
      </c>
      <c r="BC41" s="47" t="str">
        <f>IFERROR(VLOOKUP($A$1&amp;"-"&amp;ROW(AR40),基本資料填寫!$A:$DN,COLUMN(基本資料填寫!BF41),0),"")</f>
        <v/>
      </c>
      <c r="BD41" s="47" t="str">
        <f>IFERROR(VLOOKUP($A$1&amp;"-"&amp;ROW(AS40),基本資料填寫!$A:$DN,COLUMN(基本資料填寫!BG41),0),"")</f>
        <v/>
      </c>
      <c r="BE41" s="47" t="str">
        <f>IFERROR(VLOOKUP($A$1&amp;"-"&amp;ROW(AT40),基本資料填寫!$A:$DN,COLUMN(基本資料填寫!BH41),0),"")</f>
        <v/>
      </c>
      <c r="BF41" s="47" t="str">
        <f>IFERROR(VLOOKUP($A$1&amp;"-"&amp;ROW(AU40),基本資料填寫!$A:$DN,COLUMN(基本資料填寫!BI41),0),"")</f>
        <v/>
      </c>
      <c r="BG41" s="47" t="str">
        <f>IFERROR(VLOOKUP($A$1&amp;"-"&amp;ROW(AV40),基本資料填寫!$A:$DN,COLUMN(基本資料填寫!BJ41),0),"")</f>
        <v/>
      </c>
      <c r="BH41" s="47" t="str">
        <f>IFERROR(VLOOKUP($A$1&amp;"-"&amp;ROW(AW40),基本資料填寫!$A:$DN,COLUMN(基本資料填寫!BK41),0),"")</f>
        <v/>
      </c>
      <c r="BI41" s="47" t="str">
        <f>IFERROR(VLOOKUP($A$1&amp;"-"&amp;ROW(AX40),基本資料填寫!$A:$DN,COLUMN(基本資料填寫!BL41),0),"")</f>
        <v/>
      </c>
      <c r="BJ41" s="47" t="str">
        <f>IFERROR(VLOOKUP($A$1&amp;"-"&amp;ROW(AY40),基本資料填寫!$A:$DN,COLUMN(基本資料填寫!BM41),0),"")</f>
        <v/>
      </c>
      <c r="BK41" s="47" t="str">
        <f>IFERROR(VLOOKUP($A$1&amp;"-"&amp;ROW(AZ40),基本資料填寫!$A:$DN,COLUMN(基本資料填寫!BN41),0),"")</f>
        <v/>
      </c>
      <c r="BL41" s="47" t="str">
        <f>IFERROR(VLOOKUP($A$1&amp;"-"&amp;ROW(BA40),基本資料填寫!$A:$DN,COLUMN(基本資料填寫!BO41),0),"")</f>
        <v/>
      </c>
      <c r="BM41" s="47" t="str">
        <f>IFERROR(VLOOKUP($A$1&amp;"-"&amp;ROW(BB40),基本資料填寫!$A:$DN,COLUMN(基本資料填寫!BP41),0),"")</f>
        <v/>
      </c>
      <c r="BN41" s="47" t="str">
        <f>IFERROR(VLOOKUP($A$1&amp;"-"&amp;ROW(BC40),基本資料填寫!$A:$DN,COLUMN(基本資料填寫!BQ41),0),"")</f>
        <v/>
      </c>
      <c r="BO41" s="47" t="str">
        <f>IFERROR(VLOOKUP($A$1&amp;"-"&amp;ROW(BD40),基本資料填寫!$A:$DN,COLUMN(基本資料填寫!BR41),0),"")</f>
        <v/>
      </c>
    </row>
    <row r="42" spans="2:67" x14ac:dyDescent="0.3">
      <c r="B42" s="47" t="str">
        <f>IFERROR(VLOOKUP($A$1&amp;"-"&amp;ROW(A41),基本資料填寫!$A:$DN,COLUMN(基本資料填寫!K42),0),"")</f>
        <v/>
      </c>
      <c r="C42" s="47" t="str">
        <f>IFERROR(VLOOKUP($A$1&amp;"-"&amp;ROW(B41),基本資料填寫!$A:$DN,COLUMN(基本資料填寫!L42),0),"")</f>
        <v/>
      </c>
      <c r="D42" s="47" t="str">
        <f>IF(E42="","",COUNTA($E$2:E42))</f>
        <v/>
      </c>
      <c r="E42" s="47" t="str">
        <f>IFERROR(VLOOKUP($A$1&amp;"-"&amp;ROW(E41),基本資料填寫!$A:$DN,COLUMN(基本資料填寫!S42),0),"")</f>
        <v/>
      </c>
      <c r="G42" s="47" t="str">
        <f>IFERROR(VLOOKUP($A$1&amp;"-"&amp;ROW(G41),基本資料填寫!$A:$DN,COLUMN(基本資料填寫!V42),0),"")</f>
        <v/>
      </c>
      <c r="H42" s="47" t="str">
        <f>IFERROR(VLOOKUP($A$1&amp;"-"&amp;ROW(BI41),基本資料填寫!$A:$DN,COLUMN(基本資料填寫!BW42),0),"")</f>
        <v/>
      </c>
      <c r="I42" s="47" t="str">
        <f>IFERROR(VLOOKUP($A$1&amp;"-"&amp;ROW(I41),基本資料填寫!$A:$DN,COLUMN(基本資料填寫!AN42),0),"")</f>
        <v/>
      </c>
      <c r="J42" s="47" t="str">
        <f>IFERROR(VLOOKUP($A$1&amp;"-"&amp;ROW(K41),基本資料填寫!$A:$DN,COLUMN(基本資料填寫!R42),0),"")</f>
        <v/>
      </c>
      <c r="K42" s="47" t="str">
        <f>IFERROR(VLOOKUP($A$1&amp;"-"&amp;ROW(AA41),基本資料填寫!$A:$DN,COLUMN(基本資料填寫!BX42),0),"")</f>
        <v/>
      </c>
      <c r="L42" s="47" t="str">
        <f>IFERROR(VLOOKUP($A$1&amp;"-"&amp;ROW(S41),基本資料填寫!$A:$DN,COLUMN(基本資料填寫!Z42),0),"")</f>
        <v/>
      </c>
      <c r="M42" s="47" t="str">
        <f>IFERROR(VLOOKUP($A$1&amp;"-"&amp;ROW(T41),基本資料填寫!$A:$DN,COLUMN(基本資料填寫!AA42),0),"")</f>
        <v/>
      </c>
      <c r="N42" s="47" t="str">
        <f>IFERROR(VLOOKUP($A$1&amp;"-"&amp;ROW(AB41),基本資料填寫!$A:$DN,COLUMN(基本資料填寫!BY42),0),"")</f>
        <v/>
      </c>
      <c r="O42" s="47" t="str">
        <f>IFERROR(VLOOKUP($A$1&amp;"-"&amp;ROW(AC41),基本資料填寫!$A:$DN,COLUMN(基本資料填寫!BZ42),0),"")</f>
        <v/>
      </c>
      <c r="P42" s="47" t="str">
        <f>IFERROR(VLOOKUP($A$1&amp;"-"&amp;ROW(AD41),基本資料填寫!$A:$DN,COLUMN(基本資料填寫!CA42),0),"")</f>
        <v/>
      </c>
      <c r="Q42" s="47" t="str">
        <f>IFERROR(VLOOKUP($A$1&amp;"-"&amp;ROW(J41),基本資料填寫!$A:$DN,COLUMN(基本資料填寫!AO42),0),"")</f>
        <v/>
      </c>
      <c r="R42" s="47" t="str">
        <f>IFERROR(VLOOKUP($A$1&amp;"-"&amp;ROW(AE41),基本資料填寫!$A:$DN,COLUMN(基本資料填寫!CB42),0),"")</f>
        <v/>
      </c>
      <c r="S42" s="47" t="str">
        <f>IFERROR(VLOOKUP($A$1&amp;"-"&amp;ROW(AF41),基本資料填寫!$A:$DN,COLUMN(基本資料填寫!CC42),0),"")</f>
        <v/>
      </c>
      <c r="T42" s="47" t="str">
        <f>IFERROR(VLOOKUP($A$1&amp;"-"&amp;ROW(AG41),基本資料填寫!$A:$DN,COLUMN(基本資料填寫!CD42),0),"")</f>
        <v/>
      </c>
      <c r="U42" s="47" t="str">
        <f>IFERROR(VLOOKUP($A$1&amp;"-"&amp;ROW(AH41),基本資料填寫!$A:$DN,COLUMN(基本資料填寫!CE42),0),"")</f>
        <v/>
      </c>
      <c r="V42" s="47" t="str">
        <f>IFERROR(VLOOKUP($A$1&amp;"-"&amp;ROW(AI41),基本資料填寫!$A:$DN,COLUMN(基本資料填寫!CF42),0),"")</f>
        <v/>
      </c>
      <c r="W42" s="47" t="str">
        <f>IFERROR(VLOOKUP($A$1&amp;"-"&amp;ROW(AJ41),基本資料填寫!$A:$DN,COLUMN(基本資料填寫!CG42),0),"")</f>
        <v/>
      </c>
      <c r="X42" s="47" t="str">
        <f>IFERROR(VLOOKUP($A$1&amp;"-"&amp;ROW(AK41),基本資料填寫!$A:$DN,COLUMN(基本資料填寫!CH42),0),"")</f>
        <v/>
      </c>
      <c r="Y42" s="47" t="str">
        <f>IFERROR(VLOOKUP($A$1&amp;"-"&amp;ROW(AL41),基本資料填寫!$A:$DN,COLUMN(基本資料填寫!CI42),0),"")</f>
        <v/>
      </c>
      <c r="Z42" s="47" t="str">
        <f>IFERROR(VLOOKUP($A$1&amp;"-"&amp;ROW(H41),基本資料填寫!$A:$DN,COLUMN(基本資料填寫!O42),0),"")</f>
        <v/>
      </c>
      <c r="AA42" s="47" t="str">
        <f>IFERROR(VLOOKUP($A$1&amp;"-"&amp;ROW(AM41),基本資料填寫!$A:$DN,COLUMN(基本資料填寫!CJ42),0),"")</f>
        <v/>
      </c>
      <c r="AB42" s="47" t="str">
        <f>IFERROR(VLOOKUP($A$1&amp;"-"&amp;ROW(AN41),基本資料填寫!$A:$DN,COLUMN(基本資料填寫!CK42),0),"")</f>
        <v/>
      </c>
      <c r="AC42" s="47" t="str">
        <f>IFERROR(VLOOKUP($A$1&amp;"-"&amp;ROW(AP41),基本資料填寫!$A:$DN,COLUMN(基本資料填寫!CN42),0),"")</f>
        <v/>
      </c>
      <c r="AD42" s="47" t="str">
        <f>IFERROR(VLOOKUP($A$1&amp;"-"&amp;ROW(AQ41),基本資料填寫!$A:$DN,COLUMN(基本資料填寫!CO42),0),"")</f>
        <v/>
      </c>
      <c r="AE42" s="47" t="str">
        <f>IFERROR(VLOOKUP($A$1&amp;"-"&amp;ROW(AR41),基本資料填寫!$A:$DN,COLUMN(基本資料填寫!CP42),0),"")</f>
        <v/>
      </c>
      <c r="AF42" s="47" t="str">
        <f>IFERROR(VLOOKUP($A$1&amp;"-"&amp;ROW(AS41),基本資料填寫!$A:$DN,COLUMN(基本資料填寫!CQ42),0),"")</f>
        <v/>
      </c>
      <c r="AG42" s="47" t="str">
        <f>IFERROR(VLOOKUP($A$1&amp;"-"&amp;ROW(AT41),基本資料填寫!$A:$DN,COLUMN(基本資料填寫!CR42),0),"")</f>
        <v/>
      </c>
      <c r="AH42" s="47" t="str">
        <f>IFERROR(VLOOKUP($A$1&amp;"-"&amp;ROW(AU41),基本資料填寫!$A:$DN,COLUMN(基本資料填寫!CS42),0),"")</f>
        <v/>
      </c>
      <c r="AI42" s="47" t="str">
        <f>IFERROR(VLOOKUP($A$1&amp;"-"&amp;ROW(P41),基本資料填寫!$A:$DN,COLUMN(基本資料填寫!X42),0),"")</f>
        <v/>
      </c>
      <c r="AJ42" s="47" t="str">
        <f>IFERROR(VLOOKUP($A$1&amp;"-"&amp;ROW(AV41),基本資料填寫!$A:$DN,COLUMN(基本資料填寫!CT42),0),"")</f>
        <v/>
      </c>
      <c r="AK42" s="47" t="str">
        <f>IFERROR(VLOOKUP($A$1&amp;"-"&amp;ROW(AC41),基本資料填寫!$A:$DN,COLUMN(基本資料填寫!AQ42),0),"")</f>
        <v/>
      </c>
      <c r="AL42" s="47" t="str">
        <f>IFERROR(VLOOKUP($A$1&amp;"-"&amp;ROW(AO41),基本資料填寫!$A:$DN,COLUMN(基本資料填寫!CM42),0),"")</f>
        <v/>
      </c>
      <c r="AM42" s="47" t="str">
        <f>IFERROR(VLOOKUP($A$1&amp;"-"&amp;ROW(AD41),基本資料填寫!$A:$DN,COLUMN(基本資料填寫!AR42),0),"")</f>
        <v/>
      </c>
      <c r="AN42" s="47" t="str">
        <f>IFERROR(VLOOKUP($A$1&amp;"-"&amp;ROW(K41),基本資料填寫!$A:$DN,COLUMN(基本資料填寫!AP42),0),"")</f>
        <v/>
      </c>
      <c r="AO42" s="47" t="str">
        <f>IFERROR(VLOOKUP($A$1&amp;"-"&amp;ROW(J41),基本資料填寫!$A:$DN,COLUMN(基本資料填寫!AO42),0),"")</f>
        <v/>
      </c>
      <c r="AP42" s="47" t="str">
        <f>IFERROR(VLOOKUP($A$1&amp;"-"&amp;ROW(AE41),基本資料填寫!$A:$DN,COLUMN(基本資料填寫!AS42),0),"")</f>
        <v/>
      </c>
      <c r="AQ42" s="47" t="str">
        <f>IFERROR(VLOOKUP($A$1&amp;"-"&amp;ROW(AF41),基本資料填寫!$A:$DN,COLUMN(基本資料填寫!AT42),0),"")</f>
        <v/>
      </c>
      <c r="AR42" s="47" t="str">
        <f>IFERROR(VLOOKUP($A$1&amp;"-"&amp;ROW(AG41),基本資料填寫!$A:$DN,COLUMN(基本資料填寫!AU42),0),"")</f>
        <v/>
      </c>
      <c r="AS42" s="47" t="str">
        <f>IFERROR(VLOOKUP($A$1&amp;"-"&amp;ROW(AH41),基本資料填寫!$A:$DN,COLUMN(基本資料填寫!AV42),0),"")</f>
        <v/>
      </c>
      <c r="AT42" s="47" t="str">
        <f>IFERROR(VLOOKUP($A$1&amp;"-"&amp;ROW(AI41),基本資料填寫!$A:$DN,COLUMN(基本資料填寫!AW42),0),"")</f>
        <v/>
      </c>
      <c r="AU42" s="47" t="str">
        <f>IFERROR(VLOOKUP($A$1&amp;"-"&amp;ROW(AJ41),基本資料填寫!$A:$DN,COLUMN(基本資料填寫!AX42),0),"")</f>
        <v/>
      </c>
      <c r="AV42" s="47" t="str">
        <f>IFERROR(VLOOKUP($A$1&amp;"-"&amp;ROW(AK41),基本資料填寫!$A:$DN,COLUMN(基本資料填寫!AY42),0),"")</f>
        <v/>
      </c>
      <c r="AW42" s="47" t="str">
        <f>IFERROR(VLOOKUP($A$1&amp;"-"&amp;ROW(AL41),基本資料填寫!$A:$DN,COLUMN(基本資料填寫!AZ42),0),"")</f>
        <v/>
      </c>
      <c r="AX42" s="47" t="str">
        <f>IFERROR(VLOOKUP($A$1&amp;"-"&amp;ROW(AM41),基本資料填寫!$A:$DN,COLUMN(基本資料填寫!BA42),0),"")</f>
        <v/>
      </c>
      <c r="AY42" s="47" t="str">
        <f>IFERROR(VLOOKUP($A$1&amp;"-"&amp;ROW(AN41),基本資料填寫!$A:$DN,COLUMN(基本資料填寫!BB42),0),"")</f>
        <v/>
      </c>
      <c r="AZ42" s="47" t="str">
        <f>IFERROR(VLOOKUP($A$1&amp;"-"&amp;ROW(AO41),基本資料填寫!$A:$DN,COLUMN(基本資料填寫!BC42),0),"")</f>
        <v/>
      </c>
      <c r="BA42" s="47" t="str">
        <f>IFERROR(VLOOKUP($A$1&amp;"-"&amp;ROW(AP41),基本資料填寫!$A:$DN,COLUMN(基本資料填寫!BD42),0),"")</f>
        <v/>
      </c>
      <c r="BB42" s="47" t="str">
        <f>IFERROR(VLOOKUP($A$1&amp;"-"&amp;ROW(AQ41),基本資料填寫!$A:$DN,COLUMN(基本資料填寫!BE42),0),"")</f>
        <v/>
      </c>
      <c r="BC42" s="47" t="str">
        <f>IFERROR(VLOOKUP($A$1&amp;"-"&amp;ROW(AR41),基本資料填寫!$A:$DN,COLUMN(基本資料填寫!BF42),0),"")</f>
        <v/>
      </c>
      <c r="BD42" s="47" t="str">
        <f>IFERROR(VLOOKUP($A$1&amp;"-"&amp;ROW(AS41),基本資料填寫!$A:$DN,COLUMN(基本資料填寫!BG42),0),"")</f>
        <v/>
      </c>
      <c r="BE42" s="47" t="str">
        <f>IFERROR(VLOOKUP($A$1&amp;"-"&amp;ROW(AT41),基本資料填寫!$A:$DN,COLUMN(基本資料填寫!BH42),0),"")</f>
        <v/>
      </c>
      <c r="BF42" s="47" t="str">
        <f>IFERROR(VLOOKUP($A$1&amp;"-"&amp;ROW(AU41),基本資料填寫!$A:$DN,COLUMN(基本資料填寫!BI42),0),"")</f>
        <v/>
      </c>
      <c r="BG42" s="47" t="str">
        <f>IFERROR(VLOOKUP($A$1&amp;"-"&amp;ROW(AV41),基本資料填寫!$A:$DN,COLUMN(基本資料填寫!BJ42),0),"")</f>
        <v/>
      </c>
      <c r="BH42" s="47" t="str">
        <f>IFERROR(VLOOKUP($A$1&amp;"-"&amp;ROW(AW41),基本資料填寫!$A:$DN,COLUMN(基本資料填寫!BK42),0),"")</f>
        <v/>
      </c>
      <c r="BI42" s="47" t="str">
        <f>IFERROR(VLOOKUP($A$1&amp;"-"&amp;ROW(AX41),基本資料填寫!$A:$DN,COLUMN(基本資料填寫!BL42),0),"")</f>
        <v/>
      </c>
      <c r="BJ42" s="47" t="str">
        <f>IFERROR(VLOOKUP($A$1&amp;"-"&amp;ROW(AY41),基本資料填寫!$A:$DN,COLUMN(基本資料填寫!BM42),0),"")</f>
        <v/>
      </c>
      <c r="BK42" s="47" t="str">
        <f>IFERROR(VLOOKUP($A$1&amp;"-"&amp;ROW(AZ41),基本資料填寫!$A:$DN,COLUMN(基本資料填寫!BN42),0),"")</f>
        <v/>
      </c>
      <c r="BL42" s="47" t="str">
        <f>IFERROR(VLOOKUP($A$1&amp;"-"&amp;ROW(BA41),基本資料填寫!$A:$DN,COLUMN(基本資料填寫!BO42),0),"")</f>
        <v/>
      </c>
      <c r="BM42" s="47" t="str">
        <f>IFERROR(VLOOKUP($A$1&amp;"-"&amp;ROW(BB41),基本資料填寫!$A:$DN,COLUMN(基本資料填寫!BP42),0),"")</f>
        <v/>
      </c>
      <c r="BN42" s="47" t="str">
        <f>IFERROR(VLOOKUP($A$1&amp;"-"&amp;ROW(BC41),基本資料填寫!$A:$DN,COLUMN(基本資料填寫!BQ42),0),"")</f>
        <v/>
      </c>
      <c r="BO42" s="47" t="str">
        <f>IFERROR(VLOOKUP($A$1&amp;"-"&amp;ROW(BD41),基本資料填寫!$A:$DN,COLUMN(基本資料填寫!BR42),0),"")</f>
        <v/>
      </c>
    </row>
    <row r="43" spans="2:67" x14ac:dyDescent="0.3">
      <c r="B43" s="47" t="str">
        <f>IFERROR(VLOOKUP($A$1&amp;"-"&amp;ROW(A42),基本資料填寫!$A:$DN,COLUMN(基本資料填寫!K43),0),"")</f>
        <v/>
      </c>
      <c r="C43" s="47" t="str">
        <f>IFERROR(VLOOKUP($A$1&amp;"-"&amp;ROW(B42),基本資料填寫!$A:$DN,COLUMN(基本資料填寫!L43),0),"")</f>
        <v/>
      </c>
      <c r="D43" s="47" t="str">
        <f>IF(E43="","",COUNTA($E$2:E43))</f>
        <v/>
      </c>
      <c r="E43" s="47" t="str">
        <f>IFERROR(VLOOKUP($A$1&amp;"-"&amp;ROW(E42),基本資料填寫!$A:$DN,COLUMN(基本資料填寫!S43),0),"")</f>
        <v/>
      </c>
      <c r="G43" s="47" t="str">
        <f>IFERROR(VLOOKUP($A$1&amp;"-"&amp;ROW(G42),基本資料填寫!$A:$DN,COLUMN(基本資料填寫!V43),0),"")</f>
        <v/>
      </c>
      <c r="H43" s="47" t="str">
        <f>IFERROR(VLOOKUP($A$1&amp;"-"&amp;ROW(BI42),基本資料填寫!$A:$DN,COLUMN(基本資料填寫!BW43),0),"")</f>
        <v/>
      </c>
      <c r="I43" s="47" t="str">
        <f>IFERROR(VLOOKUP($A$1&amp;"-"&amp;ROW(I42),基本資料填寫!$A:$DN,COLUMN(基本資料填寫!AN43),0),"")</f>
        <v/>
      </c>
      <c r="J43" s="47" t="str">
        <f>IFERROR(VLOOKUP($A$1&amp;"-"&amp;ROW(K42),基本資料填寫!$A:$DN,COLUMN(基本資料填寫!R43),0),"")</f>
        <v/>
      </c>
      <c r="K43" s="47" t="str">
        <f>IFERROR(VLOOKUP($A$1&amp;"-"&amp;ROW(AA42),基本資料填寫!$A:$DN,COLUMN(基本資料填寫!BX43),0),"")</f>
        <v/>
      </c>
      <c r="L43" s="47" t="str">
        <f>IFERROR(VLOOKUP($A$1&amp;"-"&amp;ROW(S42),基本資料填寫!$A:$DN,COLUMN(基本資料填寫!Z43),0),"")</f>
        <v/>
      </c>
      <c r="M43" s="47" t="str">
        <f>IFERROR(VLOOKUP($A$1&amp;"-"&amp;ROW(T42),基本資料填寫!$A:$DN,COLUMN(基本資料填寫!AA43),0),"")</f>
        <v/>
      </c>
      <c r="N43" s="47" t="str">
        <f>IFERROR(VLOOKUP($A$1&amp;"-"&amp;ROW(AB42),基本資料填寫!$A:$DN,COLUMN(基本資料填寫!BY43),0),"")</f>
        <v/>
      </c>
      <c r="O43" s="47" t="str">
        <f>IFERROR(VLOOKUP($A$1&amp;"-"&amp;ROW(AC42),基本資料填寫!$A:$DN,COLUMN(基本資料填寫!BZ43),0),"")</f>
        <v/>
      </c>
      <c r="P43" s="47" t="str">
        <f>IFERROR(VLOOKUP($A$1&amp;"-"&amp;ROW(AD42),基本資料填寫!$A:$DN,COLUMN(基本資料填寫!CA43),0),"")</f>
        <v/>
      </c>
      <c r="Q43" s="47" t="str">
        <f>IFERROR(VLOOKUP($A$1&amp;"-"&amp;ROW(J42),基本資料填寫!$A:$DN,COLUMN(基本資料填寫!AO43),0),"")</f>
        <v/>
      </c>
      <c r="R43" s="47" t="str">
        <f>IFERROR(VLOOKUP($A$1&amp;"-"&amp;ROW(AE42),基本資料填寫!$A:$DN,COLUMN(基本資料填寫!CB43),0),"")</f>
        <v/>
      </c>
      <c r="S43" s="47" t="str">
        <f>IFERROR(VLOOKUP($A$1&amp;"-"&amp;ROW(AF42),基本資料填寫!$A:$DN,COLUMN(基本資料填寫!CC43),0),"")</f>
        <v/>
      </c>
      <c r="T43" s="47" t="str">
        <f>IFERROR(VLOOKUP($A$1&amp;"-"&amp;ROW(AG42),基本資料填寫!$A:$DN,COLUMN(基本資料填寫!CD43),0),"")</f>
        <v/>
      </c>
      <c r="U43" s="47" t="str">
        <f>IFERROR(VLOOKUP($A$1&amp;"-"&amp;ROW(AH42),基本資料填寫!$A:$DN,COLUMN(基本資料填寫!CE43),0),"")</f>
        <v/>
      </c>
      <c r="V43" s="47" t="str">
        <f>IFERROR(VLOOKUP($A$1&amp;"-"&amp;ROW(AI42),基本資料填寫!$A:$DN,COLUMN(基本資料填寫!CF43),0),"")</f>
        <v/>
      </c>
      <c r="W43" s="47" t="str">
        <f>IFERROR(VLOOKUP($A$1&amp;"-"&amp;ROW(AJ42),基本資料填寫!$A:$DN,COLUMN(基本資料填寫!CG43),0),"")</f>
        <v/>
      </c>
      <c r="X43" s="47" t="str">
        <f>IFERROR(VLOOKUP($A$1&amp;"-"&amp;ROW(AK42),基本資料填寫!$A:$DN,COLUMN(基本資料填寫!CH43),0),"")</f>
        <v/>
      </c>
      <c r="Y43" s="47" t="str">
        <f>IFERROR(VLOOKUP($A$1&amp;"-"&amp;ROW(AL42),基本資料填寫!$A:$DN,COLUMN(基本資料填寫!CI43),0),"")</f>
        <v/>
      </c>
      <c r="Z43" s="47" t="str">
        <f>IFERROR(VLOOKUP($A$1&amp;"-"&amp;ROW(H42),基本資料填寫!$A:$DN,COLUMN(基本資料填寫!O43),0),"")</f>
        <v/>
      </c>
      <c r="AA43" s="47" t="str">
        <f>IFERROR(VLOOKUP($A$1&amp;"-"&amp;ROW(AM42),基本資料填寫!$A:$DN,COLUMN(基本資料填寫!CJ43),0),"")</f>
        <v/>
      </c>
      <c r="AB43" s="47" t="str">
        <f>IFERROR(VLOOKUP($A$1&amp;"-"&amp;ROW(AN42),基本資料填寫!$A:$DN,COLUMN(基本資料填寫!CK43),0),"")</f>
        <v/>
      </c>
      <c r="AC43" s="47" t="str">
        <f>IFERROR(VLOOKUP($A$1&amp;"-"&amp;ROW(AP42),基本資料填寫!$A:$DN,COLUMN(基本資料填寫!CN43),0),"")</f>
        <v/>
      </c>
      <c r="AD43" s="47" t="str">
        <f>IFERROR(VLOOKUP($A$1&amp;"-"&amp;ROW(AQ42),基本資料填寫!$A:$DN,COLUMN(基本資料填寫!CO43),0),"")</f>
        <v/>
      </c>
      <c r="AE43" s="47" t="str">
        <f>IFERROR(VLOOKUP($A$1&amp;"-"&amp;ROW(AR42),基本資料填寫!$A:$DN,COLUMN(基本資料填寫!CP43),0),"")</f>
        <v/>
      </c>
      <c r="AF43" s="47" t="str">
        <f>IFERROR(VLOOKUP($A$1&amp;"-"&amp;ROW(AS42),基本資料填寫!$A:$DN,COLUMN(基本資料填寫!CQ43),0),"")</f>
        <v/>
      </c>
      <c r="AG43" s="47" t="str">
        <f>IFERROR(VLOOKUP($A$1&amp;"-"&amp;ROW(AT42),基本資料填寫!$A:$DN,COLUMN(基本資料填寫!CR43),0),"")</f>
        <v/>
      </c>
      <c r="AH43" s="47" t="str">
        <f>IFERROR(VLOOKUP($A$1&amp;"-"&amp;ROW(AU42),基本資料填寫!$A:$DN,COLUMN(基本資料填寫!CS43),0),"")</f>
        <v/>
      </c>
      <c r="AI43" s="47" t="str">
        <f>IFERROR(VLOOKUP($A$1&amp;"-"&amp;ROW(P42),基本資料填寫!$A:$DN,COLUMN(基本資料填寫!X43),0),"")</f>
        <v/>
      </c>
      <c r="AJ43" s="47" t="str">
        <f>IFERROR(VLOOKUP($A$1&amp;"-"&amp;ROW(AV42),基本資料填寫!$A:$DN,COLUMN(基本資料填寫!CT43),0),"")</f>
        <v/>
      </c>
      <c r="AK43" s="47" t="str">
        <f>IFERROR(VLOOKUP($A$1&amp;"-"&amp;ROW(AC42),基本資料填寫!$A:$DN,COLUMN(基本資料填寫!AQ43),0),"")</f>
        <v/>
      </c>
      <c r="AL43" s="47" t="str">
        <f>IFERROR(VLOOKUP($A$1&amp;"-"&amp;ROW(AO42),基本資料填寫!$A:$DN,COLUMN(基本資料填寫!CM43),0),"")</f>
        <v/>
      </c>
      <c r="AM43" s="47" t="str">
        <f>IFERROR(VLOOKUP($A$1&amp;"-"&amp;ROW(AD42),基本資料填寫!$A:$DN,COLUMN(基本資料填寫!AR43),0),"")</f>
        <v/>
      </c>
      <c r="AN43" s="47" t="str">
        <f>IFERROR(VLOOKUP($A$1&amp;"-"&amp;ROW(K42),基本資料填寫!$A:$DN,COLUMN(基本資料填寫!AP43),0),"")</f>
        <v/>
      </c>
      <c r="AO43" s="47" t="str">
        <f>IFERROR(VLOOKUP($A$1&amp;"-"&amp;ROW(J42),基本資料填寫!$A:$DN,COLUMN(基本資料填寫!AO43),0),"")</f>
        <v/>
      </c>
      <c r="AP43" s="47" t="str">
        <f>IFERROR(VLOOKUP($A$1&amp;"-"&amp;ROW(AE42),基本資料填寫!$A:$DN,COLUMN(基本資料填寫!AS43),0),"")</f>
        <v/>
      </c>
      <c r="AQ43" s="47" t="str">
        <f>IFERROR(VLOOKUP($A$1&amp;"-"&amp;ROW(AF42),基本資料填寫!$A:$DN,COLUMN(基本資料填寫!AT43),0),"")</f>
        <v/>
      </c>
      <c r="AR43" s="47" t="str">
        <f>IFERROR(VLOOKUP($A$1&amp;"-"&amp;ROW(AG42),基本資料填寫!$A:$DN,COLUMN(基本資料填寫!AU43),0),"")</f>
        <v/>
      </c>
      <c r="AS43" s="47" t="str">
        <f>IFERROR(VLOOKUP($A$1&amp;"-"&amp;ROW(AH42),基本資料填寫!$A:$DN,COLUMN(基本資料填寫!AV43),0),"")</f>
        <v/>
      </c>
      <c r="AT43" s="47" t="str">
        <f>IFERROR(VLOOKUP($A$1&amp;"-"&amp;ROW(AI42),基本資料填寫!$A:$DN,COLUMN(基本資料填寫!AW43),0),"")</f>
        <v/>
      </c>
      <c r="AU43" s="47" t="str">
        <f>IFERROR(VLOOKUP($A$1&amp;"-"&amp;ROW(AJ42),基本資料填寫!$A:$DN,COLUMN(基本資料填寫!AX43),0),"")</f>
        <v/>
      </c>
      <c r="AV43" s="47" t="str">
        <f>IFERROR(VLOOKUP($A$1&amp;"-"&amp;ROW(AK42),基本資料填寫!$A:$DN,COLUMN(基本資料填寫!AY43),0),"")</f>
        <v/>
      </c>
      <c r="AW43" s="47" t="str">
        <f>IFERROR(VLOOKUP($A$1&amp;"-"&amp;ROW(AL42),基本資料填寫!$A:$DN,COLUMN(基本資料填寫!AZ43),0),"")</f>
        <v/>
      </c>
      <c r="AX43" s="47" t="str">
        <f>IFERROR(VLOOKUP($A$1&amp;"-"&amp;ROW(AM42),基本資料填寫!$A:$DN,COLUMN(基本資料填寫!BA43),0),"")</f>
        <v/>
      </c>
      <c r="AY43" s="47" t="str">
        <f>IFERROR(VLOOKUP($A$1&amp;"-"&amp;ROW(AN42),基本資料填寫!$A:$DN,COLUMN(基本資料填寫!BB43),0),"")</f>
        <v/>
      </c>
      <c r="AZ43" s="47" t="str">
        <f>IFERROR(VLOOKUP($A$1&amp;"-"&amp;ROW(AO42),基本資料填寫!$A:$DN,COLUMN(基本資料填寫!BC43),0),"")</f>
        <v/>
      </c>
      <c r="BA43" s="47" t="str">
        <f>IFERROR(VLOOKUP($A$1&amp;"-"&amp;ROW(AP42),基本資料填寫!$A:$DN,COLUMN(基本資料填寫!BD43),0),"")</f>
        <v/>
      </c>
      <c r="BB43" s="47" t="str">
        <f>IFERROR(VLOOKUP($A$1&amp;"-"&amp;ROW(AQ42),基本資料填寫!$A:$DN,COLUMN(基本資料填寫!BE43),0),"")</f>
        <v/>
      </c>
      <c r="BC43" s="47" t="str">
        <f>IFERROR(VLOOKUP($A$1&amp;"-"&amp;ROW(AR42),基本資料填寫!$A:$DN,COLUMN(基本資料填寫!BF43),0),"")</f>
        <v/>
      </c>
      <c r="BD43" s="47" t="str">
        <f>IFERROR(VLOOKUP($A$1&amp;"-"&amp;ROW(AS42),基本資料填寫!$A:$DN,COLUMN(基本資料填寫!BG43),0),"")</f>
        <v/>
      </c>
      <c r="BE43" s="47" t="str">
        <f>IFERROR(VLOOKUP($A$1&amp;"-"&amp;ROW(AT42),基本資料填寫!$A:$DN,COLUMN(基本資料填寫!BH43),0),"")</f>
        <v/>
      </c>
      <c r="BF43" s="47" t="str">
        <f>IFERROR(VLOOKUP($A$1&amp;"-"&amp;ROW(AU42),基本資料填寫!$A:$DN,COLUMN(基本資料填寫!BI43),0),"")</f>
        <v/>
      </c>
      <c r="BG43" s="47" t="str">
        <f>IFERROR(VLOOKUP($A$1&amp;"-"&amp;ROW(AV42),基本資料填寫!$A:$DN,COLUMN(基本資料填寫!BJ43),0),"")</f>
        <v/>
      </c>
      <c r="BH43" s="47" t="str">
        <f>IFERROR(VLOOKUP($A$1&amp;"-"&amp;ROW(AW42),基本資料填寫!$A:$DN,COLUMN(基本資料填寫!BK43),0),"")</f>
        <v/>
      </c>
      <c r="BI43" s="47" t="str">
        <f>IFERROR(VLOOKUP($A$1&amp;"-"&amp;ROW(AX42),基本資料填寫!$A:$DN,COLUMN(基本資料填寫!BL43),0),"")</f>
        <v/>
      </c>
      <c r="BJ43" s="47" t="str">
        <f>IFERROR(VLOOKUP($A$1&amp;"-"&amp;ROW(AY42),基本資料填寫!$A:$DN,COLUMN(基本資料填寫!BM43),0),"")</f>
        <v/>
      </c>
      <c r="BK43" s="47" t="str">
        <f>IFERROR(VLOOKUP($A$1&amp;"-"&amp;ROW(AZ42),基本資料填寫!$A:$DN,COLUMN(基本資料填寫!BN43),0),"")</f>
        <v/>
      </c>
      <c r="BL43" s="47" t="str">
        <f>IFERROR(VLOOKUP($A$1&amp;"-"&amp;ROW(BA42),基本資料填寫!$A:$DN,COLUMN(基本資料填寫!BO43),0),"")</f>
        <v/>
      </c>
      <c r="BM43" s="47" t="str">
        <f>IFERROR(VLOOKUP($A$1&amp;"-"&amp;ROW(BB42),基本資料填寫!$A:$DN,COLUMN(基本資料填寫!BP43),0),"")</f>
        <v/>
      </c>
      <c r="BN43" s="47" t="str">
        <f>IFERROR(VLOOKUP($A$1&amp;"-"&amp;ROW(BC42),基本資料填寫!$A:$DN,COLUMN(基本資料填寫!BQ43),0),"")</f>
        <v/>
      </c>
      <c r="BO43" s="47" t="str">
        <f>IFERROR(VLOOKUP($A$1&amp;"-"&amp;ROW(BD42),基本資料填寫!$A:$DN,COLUMN(基本資料填寫!BR43),0),"")</f>
        <v/>
      </c>
    </row>
    <row r="44" spans="2:67" x14ac:dyDescent="0.3">
      <c r="B44" s="47" t="str">
        <f>IFERROR(VLOOKUP($A$1&amp;"-"&amp;ROW(A43),基本資料填寫!$A:$DN,COLUMN(基本資料填寫!K44),0),"")</f>
        <v/>
      </c>
      <c r="C44" s="47" t="str">
        <f>IFERROR(VLOOKUP($A$1&amp;"-"&amp;ROW(B43),基本資料填寫!$A:$DN,COLUMN(基本資料填寫!L44),0),"")</f>
        <v/>
      </c>
      <c r="D44" s="47" t="str">
        <f>IF(E44="","",COUNTA($E$2:E44))</f>
        <v/>
      </c>
      <c r="E44" s="47" t="str">
        <f>IFERROR(VLOOKUP($A$1&amp;"-"&amp;ROW(E43),基本資料填寫!$A:$DN,COLUMN(基本資料填寫!S44),0),"")</f>
        <v/>
      </c>
      <c r="G44" s="47" t="str">
        <f>IFERROR(VLOOKUP($A$1&amp;"-"&amp;ROW(G43),基本資料填寫!$A:$DN,COLUMN(基本資料填寫!V44),0),"")</f>
        <v/>
      </c>
      <c r="H44" s="47" t="str">
        <f>IFERROR(VLOOKUP($A$1&amp;"-"&amp;ROW(BI43),基本資料填寫!$A:$DN,COLUMN(基本資料填寫!BW44),0),"")</f>
        <v/>
      </c>
      <c r="I44" s="47" t="str">
        <f>IFERROR(VLOOKUP($A$1&amp;"-"&amp;ROW(I43),基本資料填寫!$A:$DN,COLUMN(基本資料填寫!AN44),0),"")</f>
        <v/>
      </c>
      <c r="J44" s="47" t="str">
        <f>IFERROR(VLOOKUP($A$1&amp;"-"&amp;ROW(K43),基本資料填寫!$A:$DN,COLUMN(基本資料填寫!R44),0),"")</f>
        <v/>
      </c>
      <c r="K44" s="47" t="str">
        <f>IFERROR(VLOOKUP($A$1&amp;"-"&amp;ROW(AA43),基本資料填寫!$A:$DN,COLUMN(基本資料填寫!BX44),0),"")</f>
        <v/>
      </c>
      <c r="L44" s="47" t="str">
        <f>IFERROR(VLOOKUP($A$1&amp;"-"&amp;ROW(S43),基本資料填寫!$A:$DN,COLUMN(基本資料填寫!Z44),0),"")</f>
        <v/>
      </c>
      <c r="M44" s="47" t="str">
        <f>IFERROR(VLOOKUP($A$1&amp;"-"&amp;ROW(T43),基本資料填寫!$A:$DN,COLUMN(基本資料填寫!AA44),0),"")</f>
        <v/>
      </c>
      <c r="N44" s="47" t="str">
        <f>IFERROR(VLOOKUP($A$1&amp;"-"&amp;ROW(AB43),基本資料填寫!$A:$DN,COLUMN(基本資料填寫!BY44),0),"")</f>
        <v/>
      </c>
      <c r="O44" s="47" t="str">
        <f>IFERROR(VLOOKUP($A$1&amp;"-"&amp;ROW(AC43),基本資料填寫!$A:$DN,COLUMN(基本資料填寫!BZ44),0),"")</f>
        <v/>
      </c>
      <c r="P44" s="47" t="str">
        <f>IFERROR(VLOOKUP($A$1&amp;"-"&amp;ROW(AD43),基本資料填寫!$A:$DN,COLUMN(基本資料填寫!CA44),0),"")</f>
        <v/>
      </c>
      <c r="Q44" s="47" t="str">
        <f>IFERROR(VLOOKUP($A$1&amp;"-"&amp;ROW(J43),基本資料填寫!$A:$DN,COLUMN(基本資料填寫!AO44),0),"")</f>
        <v/>
      </c>
      <c r="R44" s="47" t="str">
        <f>IFERROR(VLOOKUP($A$1&amp;"-"&amp;ROW(AE43),基本資料填寫!$A:$DN,COLUMN(基本資料填寫!CB44),0),"")</f>
        <v/>
      </c>
      <c r="S44" s="47" t="str">
        <f>IFERROR(VLOOKUP($A$1&amp;"-"&amp;ROW(AF43),基本資料填寫!$A:$DN,COLUMN(基本資料填寫!CC44),0),"")</f>
        <v/>
      </c>
      <c r="T44" s="47" t="str">
        <f>IFERROR(VLOOKUP($A$1&amp;"-"&amp;ROW(AG43),基本資料填寫!$A:$DN,COLUMN(基本資料填寫!CD44),0),"")</f>
        <v/>
      </c>
      <c r="U44" s="47" t="str">
        <f>IFERROR(VLOOKUP($A$1&amp;"-"&amp;ROW(AH43),基本資料填寫!$A:$DN,COLUMN(基本資料填寫!CE44),0),"")</f>
        <v/>
      </c>
      <c r="V44" s="47" t="str">
        <f>IFERROR(VLOOKUP($A$1&amp;"-"&amp;ROW(AI43),基本資料填寫!$A:$DN,COLUMN(基本資料填寫!CF44),0),"")</f>
        <v/>
      </c>
      <c r="W44" s="47" t="str">
        <f>IFERROR(VLOOKUP($A$1&amp;"-"&amp;ROW(AJ43),基本資料填寫!$A:$DN,COLUMN(基本資料填寫!CG44),0),"")</f>
        <v/>
      </c>
      <c r="X44" s="47" t="str">
        <f>IFERROR(VLOOKUP($A$1&amp;"-"&amp;ROW(AK43),基本資料填寫!$A:$DN,COLUMN(基本資料填寫!CH44),0),"")</f>
        <v/>
      </c>
      <c r="Y44" s="47" t="str">
        <f>IFERROR(VLOOKUP($A$1&amp;"-"&amp;ROW(AL43),基本資料填寫!$A:$DN,COLUMN(基本資料填寫!CI44),0),"")</f>
        <v/>
      </c>
      <c r="Z44" s="47" t="str">
        <f>IFERROR(VLOOKUP($A$1&amp;"-"&amp;ROW(H43),基本資料填寫!$A:$DN,COLUMN(基本資料填寫!O44),0),"")</f>
        <v/>
      </c>
      <c r="AA44" s="47" t="str">
        <f>IFERROR(VLOOKUP($A$1&amp;"-"&amp;ROW(AM43),基本資料填寫!$A:$DN,COLUMN(基本資料填寫!CJ44),0),"")</f>
        <v/>
      </c>
      <c r="AB44" s="47" t="str">
        <f>IFERROR(VLOOKUP($A$1&amp;"-"&amp;ROW(AN43),基本資料填寫!$A:$DN,COLUMN(基本資料填寫!CK44),0),"")</f>
        <v/>
      </c>
      <c r="AC44" s="47" t="str">
        <f>IFERROR(VLOOKUP($A$1&amp;"-"&amp;ROW(AP43),基本資料填寫!$A:$DN,COLUMN(基本資料填寫!CN44),0),"")</f>
        <v/>
      </c>
      <c r="AD44" s="47" t="str">
        <f>IFERROR(VLOOKUP($A$1&amp;"-"&amp;ROW(AQ43),基本資料填寫!$A:$DN,COLUMN(基本資料填寫!CO44),0),"")</f>
        <v/>
      </c>
      <c r="AE44" s="47" t="str">
        <f>IFERROR(VLOOKUP($A$1&amp;"-"&amp;ROW(AR43),基本資料填寫!$A:$DN,COLUMN(基本資料填寫!CP44),0),"")</f>
        <v/>
      </c>
      <c r="AF44" s="47" t="str">
        <f>IFERROR(VLOOKUP($A$1&amp;"-"&amp;ROW(AS43),基本資料填寫!$A:$DN,COLUMN(基本資料填寫!CQ44),0),"")</f>
        <v/>
      </c>
      <c r="AG44" s="47" t="str">
        <f>IFERROR(VLOOKUP($A$1&amp;"-"&amp;ROW(AT43),基本資料填寫!$A:$DN,COLUMN(基本資料填寫!CR44),0),"")</f>
        <v/>
      </c>
      <c r="AH44" s="47" t="str">
        <f>IFERROR(VLOOKUP($A$1&amp;"-"&amp;ROW(AU43),基本資料填寫!$A:$DN,COLUMN(基本資料填寫!CS44),0),"")</f>
        <v/>
      </c>
      <c r="AI44" s="47" t="str">
        <f>IFERROR(VLOOKUP($A$1&amp;"-"&amp;ROW(P43),基本資料填寫!$A:$DN,COLUMN(基本資料填寫!X44),0),"")</f>
        <v/>
      </c>
      <c r="AJ44" s="47" t="str">
        <f>IFERROR(VLOOKUP($A$1&amp;"-"&amp;ROW(AV43),基本資料填寫!$A:$DN,COLUMN(基本資料填寫!CT44),0),"")</f>
        <v/>
      </c>
      <c r="AK44" s="47" t="str">
        <f>IFERROR(VLOOKUP($A$1&amp;"-"&amp;ROW(AC43),基本資料填寫!$A:$DN,COLUMN(基本資料填寫!AQ44),0),"")</f>
        <v/>
      </c>
      <c r="AL44" s="47" t="str">
        <f>IFERROR(VLOOKUP($A$1&amp;"-"&amp;ROW(AO43),基本資料填寫!$A:$DN,COLUMN(基本資料填寫!CM44),0),"")</f>
        <v/>
      </c>
      <c r="AM44" s="47" t="str">
        <f>IFERROR(VLOOKUP($A$1&amp;"-"&amp;ROW(AD43),基本資料填寫!$A:$DN,COLUMN(基本資料填寫!AR44),0),"")</f>
        <v/>
      </c>
      <c r="AN44" s="47" t="str">
        <f>IFERROR(VLOOKUP($A$1&amp;"-"&amp;ROW(K43),基本資料填寫!$A:$DN,COLUMN(基本資料填寫!AP44),0),"")</f>
        <v/>
      </c>
      <c r="AO44" s="47" t="str">
        <f>IFERROR(VLOOKUP($A$1&amp;"-"&amp;ROW(J43),基本資料填寫!$A:$DN,COLUMN(基本資料填寫!AO44),0),"")</f>
        <v/>
      </c>
      <c r="AP44" s="47" t="str">
        <f>IFERROR(VLOOKUP($A$1&amp;"-"&amp;ROW(AE43),基本資料填寫!$A:$DN,COLUMN(基本資料填寫!AS44),0),"")</f>
        <v/>
      </c>
      <c r="AQ44" s="47" t="str">
        <f>IFERROR(VLOOKUP($A$1&amp;"-"&amp;ROW(AF43),基本資料填寫!$A:$DN,COLUMN(基本資料填寫!AT44),0),"")</f>
        <v/>
      </c>
      <c r="AR44" s="47" t="str">
        <f>IFERROR(VLOOKUP($A$1&amp;"-"&amp;ROW(AG43),基本資料填寫!$A:$DN,COLUMN(基本資料填寫!AU44),0),"")</f>
        <v/>
      </c>
      <c r="AS44" s="47" t="str">
        <f>IFERROR(VLOOKUP($A$1&amp;"-"&amp;ROW(AH43),基本資料填寫!$A:$DN,COLUMN(基本資料填寫!AV44),0),"")</f>
        <v/>
      </c>
      <c r="AT44" s="47" t="str">
        <f>IFERROR(VLOOKUP($A$1&amp;"-"&amp;ROW(AI43),基本資料填寫!$A:$DN,COLUMN(基本資料填寫!AW44),0),"")</f>
        <v/>
      </c>
      <c r="AU44" s="47" t="str">
        <f>IFERROR(VLOOKUP($A$1&amp;"-"&amp;ROW(AJ43),基本資料填寫!$A:$DN,COLUMN(基本資料填寫!AX44),0),"")</f>
        <v/>
      </c>
      <c r="AV44" s="47" t="str">
        <f>IFERROR(VLOOKUP($A$1&amp;"-"&amp;ROW(AK43),基本資料填寫!$A:$DN,COLUMN(基本資料填寫!AY44),0),"")</f>
        <v/>
      </c>
      <c r="AW44" s="47" t="str">
        <f>IFERROR(VLOOKUP($A$1&amp;"-"&amp;ROW(AL43),基本資料填寫!$A:$DN,COLUMN(基本資料填寫!AZ44),0),"")</f>
        <v/>
      </c>
      <c r="AX44" s="47" t="str">
        <f>IFERROR(VLOOKUP($A$1&amp;"-"&amp;ROW(AM43),基本資料填寫!$A:$DN,COLUMN(基本資料填寫!BA44),0),"")</f>
        <v/>
      </c>
      <c r="AY44" s="47" t="str">
        <f>IFERROR(VLOOKUP($A$1&amp;"-"&amp;ROW(AN43),基本資料填寫!$A:$DN,COLUMN(基本資料填寫!BB44),0),"")</f>
        <v/>
      </c>
      <c r="AZ44" s="47" t="str">
        <f>IFERROR(VLOOKUP($A$1&amp;"-"&amp;ROW(AO43),基本資料填寫!$A:$DN,COLUMN(基本資料填寫!BC44),0),"")</f>
        <v/>
      </c>
      <c r="BA44" s="47" t="str">
        <f>IFERROR(VLOOKUP($A$1&amp;"-"&amp;ROW(AP43),基本資料填寫!$A:$DN,COLUMN(基本資料填寫!BD44),0),"")</f>
        <v/>
      </c>
      <c r="BB44" s="47" t="str">
        <f>IFERROR(VLOOKUP($A$1&amp;"-"&amp;ROW(AQ43),基本資料填寫!$A:$DN,COLUMN(基本資料填寫!BE44),0),"")</f>
        <v/>
      </c>
      <c r="BC44" s="47" t="str">
        <f>IFERROR(VLOOKUP($A$1&amp;"-"&amp;ROW(AR43),基本資料填寫!$A:$DN,COLUMN(基本資料填寫!BF44),0),"")</f>
        <v/>
      </c>
      <c r="BD44" s="47" t="str">
        <f>IFERROR(VLOOKUP($A$1&amp;"-"&amp;ROW(AS43),基本資料填寫!$A:$DN,COLUMN(基本資料填寫!BG44),0),"")</f>
        <v/>
      </c>
      <c r="BE44" s="47" t="str">
        <f>IFERROR(VLOOKUP($A$1&amp;"-"&amp;ROW(AT43),基本資料填寫!$A:$DN,COLUMN(基本資料填寫!BH44),0),"")</f>
        <v/>
      </c>
      <c r="BF44" s="47" t="str">
        <f>IFERROR(VLOOKUP($A$1&amp;"-"&amp;ROW(AU43),基本資料填寫!$A:$DN,COLUMN(基本資料填寫!BI44),0),"")</f>
        <v/>
      </c>
      <c r="BG44" s="47" t="str">
        <f>IFERROR(VLOOKUP($A$1&amp;"-"&amp;ROW(AV43),基本資料填寫!$A:$DN,COLUMN(基本資料填寫!BJ44),0),"")</f>
        <v/>
      </c>
      <c r="BH44" s="47" t="str">
        <f>IFERROR(VLOOKUP($A$1&amp;"-"&amp;ROW(AW43),基本資料填寫!$A:$DN,COLUMN(基本資料填寫!BK44),0),"")</f>
        <v/>
      </c>
      <c r="BI44" s="47" t="str">
        <f>IFERROR(VLOOKUP($A$1&amp;"-"&amp;ROW(AX43),基本資料填寫!$A:$DN,COLUMN(基本資料填寫!BL44),0),"")</f>
        <v/>
      </c>
      <c r="BJ44" s="47" t="str">
        <f>IFERROR(VLOOKUP($A$1&amp;"-"&amp;ROW(AY43),基本資料填寫!$A:$DN,COLUMN(基本資料填寫!BM44),0),"")</f>
        <v/>
      </c>
      <c r="BK44" s="47" t="str">
        <f>IFERROR(VLOOKUP($A$1&amp;"-"&amp;ROW(AZ43),基本資料填寫!$A:$DN,COLUMN(基本資料填寫!BN44),0),"")</f>
        <v/>
      </c>
      <c r="BL44" s="47" t="str">
        <f>IFERROR(VLOOKUP($A$1&amp;"-"&amp;ROW(BA43),基本資料填寫!$A:$DN,COLUMN(基本資料填寫!BO44),0),"")</f>
        <v/>
      </c>
      <c r="BM44" s="47" t="str">
        <f>IFERROR(VLOOKUP($A$1&amp;"-"&amp;ROW(BB43),基本資料填寫!$A:$DN,COLUMN(基本資料填寫!BP44),0),"")</f>
        <v/>
      </c>
      <c r="BN44" s="47" t="str">
        <f>IFERROR(VLOOKUP($A$1&amp;"-"&amp;ROW(BC43),基本資料填寫!$A:$DN,COLUMN(基本資料填寫!BQ44),0),"")</f>
        <v/>
      </c>
      <c r="BO44" s="47" t="str">
        <f>IFERROR(VLOOKUP($A$1&amp;"-"&amp;ROW(BD43),基本資料填寫!$A:$DN,COLUMN(基本資料填寫!BR44),0),"")</f>
        <v/>
      </c>
    </row>
    <row r="45" spans="2:67" x14ac:dyDescent="0.3">
      <c r="B45" s="47" t="str">
        <f>IFERROR(VLOOKUP($A$1&amp;"-"&amp;ROW(A44),基本資料填寫!$A:$DN,COLUMN(基本資料填寫!K45),0),"")</f>
        <v/>
      </c>
      <c r="C45" s="47" t="str">
        <f>IFERROR(VLOOKUP($A$1&amp;"-"&amp;ROW(B44),基本資料填寫!$A:$DN,COLUMN(基本資料填寫!L45),0),"")</f>
        <v/>
      </c>
      <c r="D45" s="47" t="str">
        <f>IF(E45="","",COUNTA($E$2:E45))</f>
        <v/>
      </c>
      <c r="E45" s="47" t="str">
        <f>IFERROR(VLOOKUP($A$1&amp;"-"&amp;ROW(E44),基本資料填寫!$A:$DN,COLUMN(基本資料填寫!S45),0),"")</f>
        <v/>
      </c>
      <c r="G45" s="47" t="str">
        <f>IFERROR(VLOOKUP($A$1&amp;"-"&amp;ROW(G44),基本資料填寫!$A:$DN,COLUMN(基本資料填寫!V45),0),"")</f>
        <v/>
      </c>
      <c r="H45" s="47" t="str">
        <f>IFERROR(VLOOKUP($A$1&amp;"-"&amp;ROW(BI44),基本資料填寫!$A:$DN,COLUMN(基本資料填寫!BW45),0),"")</f>
        <v/>
      </c>
      <c r="I45" s="47" t="str">
        <f>IFERROR(VLOOKUP($A$1&amp;"-"&amp;ROW(I44),基本資料填寫!$A:$DN,COLUMN(基本資料填寫!AN45),0),"")</f>
        <v/>
      </c>
      <c r="J45" s="47" t="str">
        <f>IFERROR(VLOOKUP($A$1&amp;"-"&amp;ROW(K44),基本資料填寫!$A:$DN,COLUMN(基本資料填寫!R45),0),"")</f>
        <v/>
      </c>
      <c r="K45" s="47" t="str">
        <f>IFERROR(VLOOKUP($A$1&amp;"-"&amp;ROW(AA44),基本資料填寫!$A:$DN,COLUMN(基本資料填寫!BX45),0),"")</f>
        <v/>
      </c>
      <c r="L45" s="47" t="str">
        <f>IFERROR(VLOOKUP($A$1&amp;"-"&amp;ROW(S44),基本資料填寫!$A:$DN,COLUMN(基本資料填寫!Z45),0),"")</f>
        <v/>
      </c>
      <c r="M45" s="47" t="str">
        <f>IFERROR(VLOOKUP($A$1&amp;"-"&amp;ROW(T44),基本資料填寫!$A:$DN,COLUMN(基本資料填寫!AA45),0),"")</f>
        <v/>
      </c>
      <c r="N45" s="47" t="str">
        <f>IFERROR(VLOOKUP($A$1&amp;"-"&amp;ROW(AB44),基本資料填寫!$A:$DN,COLUMN(基本資料填寫!BY45),0),"")</f>
        <v/>
      </c>
      <c r="O45" s="47" t="str">
        <f>IFERROR(VLOOKUP($A$1&amp;"-"&amp;ROW(AC44),基本資料填寫!$A:$DN,COLUMN(基本資料填寫!BZ45),0),"")</f>
        <v/>
      </c>
      <c r="P45" s="47" t="str">
        <f>IFERROR(VLOOKUP($A$1&amp;"-"&amp;ROW(AD44),基本資料填寫!$A:$DN,COLUMN(基本資料填寫!CA45),0),"")</f>
        <v/>
      </c>
      <c r="Q45" s="47" t="str">
        <f>IFERROR(VLOOKUP($A$1&amp;"-"&amp;ROW(J44),基本資料填寫!$A:$DN,COLUMN(基本資料填寫!AO45),0),"")</f>
        <v/>
      </c>
      <c r="R45" s="47" t="str">
        <f>IFERROR(VLOOKUP($A$1&amp;"-"&amp;ROW(AE44),基本資料填寫!$A:$DN,COLUMN(基本資料填寫!CB45),0),"")</f>
        <v/>
      </c>
      <c r="S45" s="47" t="str">
        <f>IFERROR(VLOOKUP($A$1&amp;"-"&amp;ROW(AF44),基本資料填寫!$A:$DN,COLUMN(基本資料填寫!CC45),0),"")</f>
        <v/>
      </c>
      <c r="T45" s="47" t="str">
        <f>IFERROR(VLOOKUP($A$1&amp;"-"&amp;ROW(AG44),基本資料填寫!$A:$DN,COLUMN(基本資料填寫!CD45),0),"")</f>
        <v/>
      </c>
      <c r="U45" s="47" t="str">
        <f>IFERROR(VLOOKUP($A$1&amp;"-"&amp;ROW(AH44),基本資料填寫!$A:$DN,COLUMN(基本資料填寫!CE45),0),"")</f>
        <v/>
      </c>
      <c r="V45" s="47" t="str">
        <f>IFERROR(VLOOKUP($A$1&amp;"-"&amp;ROW(AI44),基本資料填寫!$A:$DN,COLUMN(基本資料填寫!CF45),0),"")</f>
        <v/>
      </c>
      <c r="W45" s="47" t="str">
        <f>IFERROR(VLOOKUP($A$1&amp;"-"&amp;ROW(AJ44),基本資料填寫!$A:$DN,COLUMN(基本資料填寫!CG45),0),"")</f>
        <v/>
      </c>
      <c r="X45" s="47" t="str">
        <f>IFERROR(VLOOKUP($A$1&amp;"-"&amp;ROW(AK44),基本資料填寫!$A:$DN,COLUMN(基本資料填寫!CH45),0),"")</f>
        <v/>
      </c>
      <c r="Y45" s="47" t="str">
        <f>IFERROR(VLOOKUP($A$1&amp;"-"&amp;ROW(AL44),基本資料填寫!$A:$DN,COLUMN(基本資料填寫!CI45),0),"")</f>
        <v/>
      </c>
      <c r="Z45" s="47" t="str">
        <f>IFERROR(VLOOKUP($A$1&amp;"-"&amp;ROW(H44),基本資料填寫!$A:$DN,COLUMN(基本資料填寫!O45),0),"")</f>
        <v/>
      </c>
      <c r="AA45" s="47" t="str">
        <f>IFERROR(VLOOKUP($A$1&amp;"-"&amp;ROW(AM44),基本資料填寫!$A:$DN,COLUMN(基本資料填寫!CJ45),0),"")</f>
        <v/>
      </c>
      <c r="AB45" s="47" t="str">
        <f>IFERROR(VLOOKUP($A$1&amp;"-"&amp;ROW(AN44),基本資料填寫!$A:$DN,COLUMN(基本資料填寫!CK45),0),"")</f>
        <v/>
      </c>
      <c r="AC45" s="47" t="str">
        <f>IFERROR(VLOOKUP($A$1&amp;"-"&amp;ROW(AP44),基本資料填寫!$A:$DN,COLUMN(基本資料填寫!CN45),0),"")</f>
        <v/>
      </c>
      <c r="AD45" s="47" t="str">
        <f>IFERROR(VLOOKUP($A$1&amp;"-"&amp;ROW(AQ44),基本資料填寫!$A:$DN,COLUMN(基本資料填寫!CO45),0),"")</f>
        <v/>
      </c>
      <c r="AE45" s="47" t="str">
        <f>IFERROR(VLOOKUP($A$1&amp;"-"&amp;ROW(AR44),基本資料填寫!$A:$DN,COLUMN(基本資料填寫!CP45),0),"")</f>
        <v/>
      </c>
      <c r="AF45" s="47" t="str">
        <f>IFERROR(VLOOKUP($A$1&amp;"-"&amp;ROW(AS44),基本資料填寫!$A:$DN,COLUMN(基本資料填寫!CQ45),0),"")</f>
        <v/>
      </c>
      <c r="AG45" s="47" t="str">
        <f>IFERROR(VLOOKUP($A$1&amp;"-"&amp;ROW(AT44),基本資料填寫!$A:$DN,COLUMN(基本資料填寫!CR45),0),"")</f>
        <v/>
      </c>
      <c r="AH45" s="47" t="str">
        <f>IFERROR(VLOOKUP($A$1&amp;"-"&amp;ROW(AU44),基本資料填寫!$A:$DN,COLUMN(基本資料填寫!CS45),0),"")</f>
        <v/>
      </c>
      <c r="AI45" s="47" t="str">
        <f>IFERROR(VLOOKUP($A$1&amp;"-"&amp;ROW(P44),基本資料填寫!$A:$DN,COLUMN(基本資料填寫!X45),0),"")</f>
        <v/>
      </c>
      <c r="AJ45" s="47" t="str">
        <f>IFERROR(VLOOKUP($A$1&amp;"-"&amp;ROW(AV44),基本資料填寫!$A:$DN,COLUMN(基本資料填寫!CT45),0),"")</f>
        <v/>
      </c>
      <c r="AK45" s="47" t="str">
        <f>IFERROR(VLOOKUP($A$1&amp;"-"&amp;ROW(AC44),基本資料填寫!$A:$DN,COLUMN(基本資料填寫!AQ45),0),"")</f>
        <v/>
      </c>
      <c r="AL45" s="47" t="str">
        <f>IFERROR(VLOOKUP($A$1&amp;"-"&amp;ROW(AO44),基本資料填寫!$A:$DN,COLUMN(基本資料填寫!CM45),0),"")</f>
        <v/>
      </c>
      <c r="AM45" s="47" t="str">
        <f>IFERROR(VLOOKUP($A$1&amp;"-"&amp;ROW(AD44),基本資料填寫!$A:$DN,COLUMN(基本資料填寫!AR45),0),"")</f>
        <v/>
      </c>
      <c r="AN45" s="47" t="str">
        <f>IFERROR(VLOOKUP($A$1&amp;"-"&amp;ROW(K44),基本資料填寫!$A:$DN,COLUMN(基本資料填寫!AP45),0),"")</f>
        <v/>
      </c>
      <c r="AO45" s="47" t="str">
        <f>IFERROR(VLOOKUP($A$1&amp;"-"&amp;ROW(J44),基本資料填寫!$A:$DN,COLUMN(基本資料填寫!AO45),0),"")</f>
        <v/>
      </c>
      <c r="AP45" s="47" t="str">
        <f>IFERROR(VLOOKUP($A$1&amp;"-"&amp;ROW(AE44),基本資料填寫!$A:$DN,COLUMN(基本資料填寫!AS45),0),"")</f>
        <v/>
      </c>
      <c r="AQ45" s="47" t="str">
        <f>IFERROR(VLOOKUP($A$1&amp;"-"&amp;ROW(AF44),基本資料填寫!$A:$DN,COLUMN(基本資料填寫!AT45),0),"")</f>
        <v/>
      </c>
      <c r="AR45" s="47" t="str">
        <f>IFERROR(VLOOKUP($A$1&amp;"-"&amp;ROW(AG44),基本資料填寫!$A:$DN,COLUMN(基本資料填寫!AU45),0),"")</f>
        <v/>
      </c>
      <c r="AS45" s="47" t="str">
        <f>IFERROR(VLOOKUP($A$1&amp;"-"&amp;ROW(AH44),基本資料填寫!$A:$DN,COLUMN(基本資料填寫!AV45),0),"")</f>
        <v/>
      </c>
      <c r="AT45" s="47" t="str">
        <f>IFERROR(VLOOKUP($A$1&amp;"-"&amp;ROW(AI44),基本資料填寫!$A:$DN,COLUMN(基本資料填寫!AW45),0),"")</f>
        <v/>
      </c>
      <c r="AU45" s="47" t="str">
        <f>IFERROR(VLOOKUP($A$1&amp;"-"&amp;ROW(AJ44),基本資料填寫!$A:$DN,COLUMN(基本資料填寫!AX45),0),"")</f>
        <v/>
      </c>
      <c r="AV45" s="47" t="str">
        <f>IFERROR(VLOOKUP($A$1&amp;"-"&amp;ROW(AK44),基本資料填寫!$A:$DN,COLUMN(基本資料填寫!AY45),0),"")</f>
        <v/>
      </c>
      <c r="AW45" s="47" t="str">
        <f>IFERROR(VLOOKUP($A$1&amp;"-"&amp;ROW(AL44),基本資料填寫!$A:$DN,COLUMN(基本資料填寫!AZ45),0),"")</f>
        <v/>
      </c>
      <c r="AX45" s="47" t="str">
        <f>IFERROR(VLOOKUP($A$1&amp;"-"&amp;ROW(AM44),基本資料填寫!$A:$DN,COLUMN(基本資料填寫!BA45),0),"")</f>
        <v/>
      </c>
      <c r="AY45" s="47" t="str">
        <f>IFERROR(VLOOKUP($A$1&amp;"-"&amp;ROW(AN44),基本資料填寫!$A:$DN,COLUMN(基本資料填寫!BB45),0),"")</f>
        <v/>
      </c>
      <c r="AZ45" s="47" t="str">
        <f>IFERROR(VLOOKUP($A$1&amp;"-"&amp;ROW(AO44),基本資料填寫!$A:$DN,COLUMN(基本資料填寫!BC45),0),"")</f>
        <v/>
      </c>
      <c r="BA45" s="47" t="str">
        <f>IFERROR(VLOOKUP($A$1&amp;"-"&amp;ROW(AP44),基本資料填寫!$A:$DN,COLUMN(基本資料填寫!BD45),0),"")</f>
        <v/>
      </c>
      <c r="BB45" s="47" t="str">
        <f>IFERROR(VLOOKUP($A$1&amp;"-"&amp;ROW(AQ44),基本資料填寫!$A:$DN,COLUMN(基本資料填寫!BE45),0),"")</f>
        <v/>
      </c>
      <c r="BC45" s="47" t="str">
        <f>IFERROR(VLOOKUP($A$1&amp;"-"&amp;ROW(AR44),基本資料填寫!$A:$DN,COLUMN(基本資料填寫!BF45),0),"")</f>
        <v/>
      </c>
      <c r="BD45" s="47" t="str">
        <f>IFERROR(VLOOKUP($A$1&amp;"-"&amp;ROW(AS44),基本資料填寫!$A:$DN,COLUMN(基本資料填寫!BG45),0),"")</f>
        <v/>
      </c>
      <c r="BE45" s="47" t="str">
        <f>IFERROR(VLOOKUP($A$1&amp;"-"&amp;ROW(AT44),基本資料填寫!$A:$DN,COLUMN(基本資料填寫!BH45),0),"")</f>
        <v/>
      </c>
      <c r="BF45" s="47" t="str">
        <f>IFERROR(VLOOKUP($A$1&amp;"-"&amp;ROW(AU44),基本資料填寫!$A:$DN,COLUMN(基本資料填寫!BI45),0),"")</f>
        <v/>
      </c>
      <c r="BG45" s="47" t="str">
        <f>IFERROR(VLOOKUP($A$1&amp;"-"&amp;ROW(AV44),基本資料填寫!$A:$DN,COLUMN(基本資料填寫!BJ45),0),"")</f>
        <v/>
      </c>
      <c r="BH45" s="47" t="str">
        <f>IFERROR(VLOOKUP($A$1&amp;"-"&amp;ROW(AW44),基本資料填寫!$A:$DN,COLUMN(基本資料填寫!BK45),0),"")</f>
        <v/>
      </c>
      <c r="BI45" s="47" t="str">
        <f>IFERROR(VLOOKUP($A$1&amp;"-"&amp;ROW(AX44),基本資料填寫!$A:$DN,COLUMN(基本資料填寫!BL45),0),"")</f>
        <v/>
      </c>
      <c r="BJ45" s="47" t="str">
        <f>IFERROR(VLOOKUP($A$1&amp;"-"&amp;ROW(AY44),基本資料填寫!$A:$DN,COLUMN(基本資料填寫!BM45),0),"")</f>
        <v/>
      </c>
      <c r="BK45" s="47" t="str">
        <f>IFERROR(VLOOKUP($A$1&amp;"-"&amp;ROW(AZ44),基本資料填寫!$A:$DN,COLUMN(基本資料填寫!BN45),0),"")</f>
        <v/>
      </c>
      <c r="BL45" s="47" t="str">
        <f>IFERROR(VLOOKUP($A$1&amp;"-"&amp;ROW(BA44),基本資料填寫!$A:$DN,COLUMN(基本資料填寫!BO45),0),"")</f>
        <v/>
      </c>
      <c r="BM45" s="47" t="str">
        <f>IFERROR(VLOOKUP($A$1&amp;"-"&amp;ROW(BB44),基本資料填寫!$A:$DN,COLUMN(基本資料填寫!BP45),0),"")</f>
        <v/>
      </c>
      <c r="BN45" s="47" t="str">
        <f>IFERROR(VLOOKUP($A$1&amp;"-"&amp;ROW(BC44),基本資料填寫!$A:$DN,COLUMN(基本資料填寫!BQ45),0),"")</f>
        <v/>
      </c>
      <c r="BO45" s="47" t="str">
        <f>IFERROR(VLOOKUP($A$1&amp;"-"&amp;ROW(BD44),基本資料填寫!$A:$DN,COLUMN(基本資料填寫!BR45),0),"")</f>
        <v/>
      </c>
    </row>
    <row r="46" spans="2:67" x14ac:dyDescent="0.3">
      <c r="B46" s="47" t="str">
        <f>IFERROR(VLOOKUP($A$1&amp;"-"&amp;ROW(A45),基本資料填寫!$A:$DN,COLUMN(基本資料填寫!K46),0),"")</f>
        <v/>
      </c>
      <c r="C46" s="47" t="str">
        <f>IFERROR(VLOOKUP($A$1&amp;"-"&amp;ROW(B45),基本資料填寫!$A:$DN,COLUMN(基本資料填寫!L46),0),"")</f>
        <v/>
      </c>
      <c r="D46" s="47" t="str">
        <f>IF(E46="","",COUNTA($E$2:E46))</f>
        <v/>
      </c>
      <c r="E46" s="47" t="str">
        <f>IFERROR(VLOOKUP($A$1&amp;"-"&amp;ROW(E45),基本資料填寫!$A:$DN,COLUMN(基本資料填寫!S46),0),"")</f>
        <v/>
      </c>
      <c r="G46" s="47" t="str">
        <f>IFERROR(VLOOKUP($A$1&amp;"-"&amp;ROW(G45),基本資料填寫!$A:$DN,COLUMN(基本資料填寫!V46),0),"")</f>
        <v/>
      </c>
      <c r="H46" s="47" t="str">
        <f>IFERROR(VLOOKUP($A$1&amp;"-"&amp;ROW(BI45),基本資料填寫!$A:$DN,COLUMN(基本資料填寫!BW46),0),"")</f>
        <v/>
      </c>
      <c r="I46" s="47" t="str">
        <f>IFERROR(VLOOKUP($A$1&amp;"-"&amp;ROW(I45),基本資料填寫!$A:$DN,COLUMN(基本資料填寫!AN46),0),"")</f>
        <v/>
      </c>
      <c r="J46" s="47" t="str">
        <f>IFERROR(VLOOKUP($A$1&amp;"-"&amp;ROW(K45),基本資料填寫!$A:$DN,COLUMN(基本資料填寫!R46),0),"")</f>
        <v/>
      </c>
      <c r="K46" s="47" t="str">
        <f>IFERROR(VLOOKUP($A$1&amp;"-"&amp;ROW(AA45),基本資料填寫!$A:$DN,COLUMN(基本資料填寫!BX46),0),"")</f>
        <v/>
      </c>
      <c r="L46" s="47" t="str">
        <f>IFERROR(VLOOKUP($A$1&amp;"-"&amp;ROW(S45),基本資料填寫!$A:$DN,COLUMN(基本資料填寫!Z46),0),"")</f>
        <v/>
      </c>
      <c r="M46" s="47" t="str">
        <f>IFERROR(VLOOKUP($A$1&amp;"-"&amp;ROW(T45),基本資料填寫!$A:$DN,COLUMN(基本資料填寫!AA46),0),"")</f>
        <v/>
      </c>
      <c r="N46" s="47" t="str">
        <f>IFERROR(VLOOKUP($A$1&amp;"-"&amp;ROW(AB45),基本資料填寫!$A:$DN,COLUMN(基本資料填寫!BY46),0),"")</f>
        <v/>
      </c>
      <c r="O46" s="47" t="str">
        <f>IFERROR(VLOOKUP($A$1&amp;"-"&amp;ROW(AC45),基本資料填寫!$A:$DN,COLUMN(基本資料填寫!BZ46),0),"")</f>
        <v/>
      </c>
      <c r="P46" s="47" t="str">
        <f>IFERROR(VLOOKUP($A$1&amp;"-"&amp;ROW(AD45),基本資料填寫!$A:$DN,COLUMN(基本資料填寫!CA46),0),"")</f>
        <v/>
      </c>
      <c r="Q46" s="47" t="str">
        <f>IFERROR(VLOOKUP($A$1&amp;"-"&amp;ROW(J45),基本資料填寫!$A:$DN,COLUMN(基本資料填寫!AO46),0),"")</f>
        <v/>
      </c>
      <c r="R46" s="47" t="str">
        <f>IFERROR(VLOOKUP($A$1&amp;"-"&amp;ROW(AE45),基本資料填寫!$A:$DN,COLUMN(基本資料填寫!CB46),0),"")</f>
        <v/>
      </c>
      <c r="S46" s="47" t="str">
        <f>IFERROR(VLOOKUP($A$1&amp;"-"&amp;ROW(AF45),基本資料填寫!$A:$DN,COLUMN(基本資料填寫!CC46),0),"")</f>
        <v/>
      </c>
      <c r="T46" s="47" t="str">
        <f>IFERROR(VLOOKUP($A$1&amp;"-"&amp;ROW(AG45),基本資料填寫!$A:$DN,COLUMN(基本資料填寫!CD46),0),"")</f>
        <v/>
      </c>
      <c r="U46" s="47" t="str">
        <f>IFERROR(VLOOKUP($A$1&amp;"-"&amp;ROW(AH45),基本資料填寫!$A:$DN,COLUMN(基本資料填寫!CE46),0),"")</f>
        <v/>
      </c>
      <c r="V46" s="47" t="str">
        <f>IFERROR(VLOOKUP($A$1&amp;"-"&amp;ROW(AI45),基本資料填寫!$A:$DN,COLUMN(基本資料填寫!CF46),0),"")</f>
        <v/>
      </c>
      <c r="W46" s="47" t="str">
        <f>IFERROR(VLOOKUP($A$1&amp;"-"&amp;ROW(AJ45),基本資料填寫!$A:$DN,COLUMN(基本資料填寫!CG46),0),"")</f>
        <v/>
      </c>
      <c r="X46" s="47" t="str">
        <f>IFERROR(VLOOKUP($A$1&amp;"-"&amp;ROW(AK45),基本資料填寫!$A:$DN,COLUMN(基本資料填寫!CH46),0),"")</f>
        <v/>
      </c>
      <c r="Y46" s="47" t="str">
        <f>IFERROR(VLOOKUP($A$1&amp;"-"&amp;ROW(AL45),基本資料填寫!$A:$DN,COLUMN(基本資料填寫!CI46),0),"")</f>
        <v/>
      </c>
      <c r="Z46" s="47" t="str">
        <f>IFERROR(VLOOKUP($A$1&amp;"-"&amp;ROW(H45),基本資料填寫!$A:$DN,COLUMN(基本資料填寫!O46),0),"")</f>
        <v/>
      </c>
      <c r="AA46" s="47" t="str">
        <f>IFERROR(VLOOKUP($A$1&amp;"-"&amp;ROW(AM45),基本資料填寫!$A:$DN,COLUMN(基本資料填寫!CJ46),0),"")</f>
        <v/>
      </c>
      <c r="AB46" s="47" t="str">
        <f>IFERROR(VLOOKUP($A$1&amp;"-"&amp;ROW(AN45),基本資料填寫!$A:$DN,COLUMN(基本資料填寫!CK46),0),"")</f>
        <v/>
      </c>
      <c r="AC46" s="47" t="str">
        <f>IFERROR(VLOOKUP($A$1&amp;"-"&amp;ROW(AP45),基本資料填寫!$A:$DN,COLUMN(基本資料填寫!CN46),0),"")</f>
        <v/>
      </c>
      <c r="AD46" s="47" t="str">
        <f>IFERROR(VLOOKUP($A$1&amp;"-"&amp;ROW(AQ45),基本資料填寫!$A:$DN,COLUMN(基本資料填寫!CO46),0),"")</f>
        <v/>
      </c>
      <c r="AE46" s="47" t="str">
        <f>IFERROR(VLOOKUP($A$1&amp;"-"&amp;ROW(AR45),基本資料填寫!$A:$DN,COLUMN(基本資料填寫!CP46),0),"")</f>
        <v/>
      </c>
      <c r="AF46" s="47" t="str">
        <f>IFERROR(VLOOKUP($A$1&amp;"-"&amp;ROW(AS45),基本資料填寫!$A:$DN,COLUMN(基本資料填寫!CQ46),0),"")</f>
        <v/>
      </c>
      <c r="AG46" s="47" t="str">
        <f>IFERROR(VLOOKUP($A$1&amp;"-"&amp;ROW(AT45),基本資料填寫!$A:$DN,COLUMN(基本資料填寫!CR46),0),"")</f>
        <v/>
      </c>
      <c r="AH46" s="47" t="str">
        <f>IFERROR(VLOOKUP($A$1&amp;"-"&amp;ROW(AU45),基本資料填寫!$A:$DN,COLUMN(基本資料填寫!CS46),0),"")</f>
        <v/>
      </c>
      <c r="AI46" s="47" t="str">
        <f>IFERROR(VLOOKUP($A$1&amp;"-"&amp;ROW(P45),基本資料填寫!$A:$DN,COLUMN(基本資料填寫!X46),0),"")</f>
        <v/>
      </c>
      <c r="AJ46" s="47" t="str">
        <f>IFERROR(VLOOKUP($A$1&amp;"-"&amp;ROW(AV45),基本資料填寫!$A:$DN,COLUMN(基本資料填寫!CT46),0),"")</f>
        <v/>
      </c>
      <c r="AK46" s="47" t="str">
        <f>IFERROR(VLOOKUP($A$1&amp;"-"&amp;ROW(AC45),基本資料填寫!$A:$DN,COLUMN(基本資料填寫!AQ46),0),"")</f>
        <v/>
      </c>
      <c r="AL46" s="47" t="str">
        <f>IFERROR(VLOOKUP($A$1&amp;"-"&amp;ROW(AO45),基本資料填寫!$A:$DN,COLUMN(基本資料填寫!CM46),0),"")</f>
        <v/>
      </c>
      <c r="AM46" s="47" t="str">
        <f>IFERROR(VLOOKUP($A$1&amp;"-"&amp;ROW(AD45),基本資料填寫!$A:$DN,COLUMN(基本資料填寫!AR46),0),"")</f>
        <v/>
      </c>
      <c r="AN46" s="47" t="str">
        <f>IFERROR(VLOOKUP($A$1&amp;"-"&amp;ROW(K45),基本資料填寫!$A:$DN,COLUMN(基本資料填寫!AP46),0),"")</f>
        <v/>
      </c>
      <c r="AO46" s="47" t="str">
        <f>IFERROR(VLOOKUP($A$1&amp;"-"&amp;ROW(J45),基本資料填寫!$A:$DN,COLUMN(基本資料填寫!AO46),0),"")</f>
        <v/>
      </c>
      <c r="AP46" s="47" t="str">
        <f>IFERROR(VLOOKUP($A$1&amp;"-"&amp;ROW(AE45),基本資料填寫!$A:$DN,COLUMN(基本資料填寫!AS46),0),"")</f>
        <v/>
      </c>
      <c r="AQ46" s="47" t="str">
        <f>IFERROR(VLOOKUP($A$1&amp;"-"&amp;ROW(AF45),基本資料填寫!$A:$DN,COLUMN(基本資料填寫!AT46),0),"")</f>
        <v/>
      </c>
      <c r="AR46" s="47" t="str">
        <f>IFERROR(VLOOKUP($A$1&amp;"-"&amp;ROW(AG45),基本資料填寫!$A:$DN,COLUMN(基本資料填寫!AU46),0),"")</f>
        <v/>
      </c>
      <c r="AS46" s="47" t="str">
        <f>IFERROR(VLOOKUP($A$1&amp;"-"&amp;ROW(AH45),基本資料填寫!$A:$DN,COLUMN(基本資料填寫!AV46),0),"")</f>
        <v/>
      </c>
      <c r="AT46" s="47" t="str">
        <f>IFERROR(VLOOKUP($A$1&amp;"-"&amp;ROW(AI45),基本資料填寫!$A:$DN,COLUMN(基本資料填寫!AW46),0),"")</f>
        <v/>
      </c>
      <c r="AU46" s="47" t="str">
        <f>IFERROR(VLOOKUP($A$1&amp;"-"&amp;ROW(AJ45),基本資料填寫!$A:$DN,COLUMN(基本資料填寫!AX46),0),"")</f>
        <v/>
      </c>
      <c r="AV46" s="47" t="str">
        <f>IFERROR(VLOOKUP($A$1&amp;"-"&amp;ROW(AK45),基本資料填寫!$A:$DN,COLUMN(基本資料填寫!AY46),0),"")</f>
        <v/>
      </c>
      <c r="AW46" s="47" t="str">
        <f>IFERROR(VLOOKUP($A$1&amp;"-"&amp;ROW(AL45),基本資料填寫!$A:$DN,COLUMN(基本資料填寫!AZ46),0),"")</f>
        <v/>
      </c>
      <c r="AX46" s="47" t="str">
        <f>IFERROR(VLOOKUP($A$1&amp;"-"&amp;ROW(AM45),基本資料填寫!$A:$DN,COLUMN(基本資料填寫!BA46),0),"")</f>
        <v/>
      </c>
      <c r="AY46" s="47" t="str">
        <f>IFERROR(VLOOKUP($A$1&amp;"-"&amp;ROW(AN45),基本資料填寫!$A:$DN,COLUMN(基本資料填寫!BB46),0),"")</f>
        <v/>
      </c>
      <c r="AZ46" s="47" t="str">
        <f>IFERROR(VLOOKUP($A$1&amp;"-"&amp;ROW(AO45),基本資料填寫!$A:$DN,COLUMN(基本資料填寫!BC46),0),"")</f>
        <v/>
      </c>
      <c r="BA46" s="47" t="str">
        <f>IFERROR(VLOOKUP($A$1&amp;"-"&amp;ROW(AP45),基本資料填寫!$A:$DN,COLUMN(基本資料填寫!BD46),0),"")</f>
        <v/>
      </c>
      <c r="BB46" s="47" t="str">
        <f>IFERROR(VLOOKUP($A$1&amp;"-"&amp;ROW(AQ45),基本資料填寫!$A:$DN,COLUMN(基本資料填寫!BE46),0),"")</f>
        <v/>
      </c>
      <c r="BC46" s="47" t="str">
        <f>IFERROR(VLOOKUP($A$1&amp;"-"&amp;ROW(AR45),基本資料填寫!$A:$DN,COLUMN(基本資料填寫!BF46),0),"")</f>
        <v/>
      </c>
      <c r="BD46" s="47" t="str">
        <f>IFERROR(VLOOKUP($A$1&amp;"-"&amp;ROW(AS45),基本資料填寫!$A:$DN,COLUMN(基本資料填寫!BG46),0),"")</f>
        <v/>
      </c>
      <c r="BE46" s="47" t="str">
        <f>IFERROR(VLOOKUP($A$1&amp;"-"&amp;ROW(AT45),基本資料填寫!$A:$DN,COLUMN(基本資料填寫!BH46),0),"")</f>
        <v/>
      </c>
      <c r="BF46" s="47" t="str">
        <f>IFERROR(VLOOKUP($A$1&amp;"-"&amp;ROW(AU45),基本資料填寫!$A:$DN,COLUMN(基本資料填寫!BI46),0),"")</f>
        <v/>
      </c>
      <c r="BG46" s="47" t="str">
        <f>IFERROR(VLOOKUP($A$1&amp;"-"&amp;ROW(AV45),基本資料填寫!$A:$DN,COLUMN(基本資料填寫!BJ46),0),"")</f>
        <v/>
      </c>
      <c r="BH46" s="47" t="str">
        <f>IFERROR(VLOOKUP($A$1&amp;"-"&amp;ROW(AW45),基本資料填寫!$A:$DN,COLUMN(基本資料填寫!BK46),0),"")</f>
        <v/>
      </c>
      <c r="BI46" s="47" t="str">
        <f>IFERROR(VLOOKUP($A$1&amp;"-"&amp;ROW(AX45),基本資料填寫!$A:$DN,COLUMN(基本資料填寫!BL46),0),"")</f>
        <v/>
      </c>
      <c r="BJ46" s="47" t="str">
        <f>IFERROR(VLOOKUP($A$1&amp;"-"&amp;ROW(AY45),基本資料填寫!$A:$DN,COLUMN(基本資料填寫!BM46),0),"")</f>
        <v/>
      </c>
      <c r="BK46" s="47" t="str">
        <f>IFERROR(VLOOKUP($A$1&amp;"-"&amp;ROW(AZ45),基本資料填寫!$A:$DN,COLUMN(基本資料填寫!BN46),0),"")</f>
        <v/>
      </c>
      <c r="BL46" s="47" t="str">
        <f>IFERROR(VLOOKUP($A$1&amp;"-"&amp;ROW(BA45),基本資料填寫!$A:$DN,COLUMN(基本資料填寫!BO46),0),"")</f>
        <v/>
      </c>
      <c r="BM46" s="47" t="str">
        <f>IFERROR(VLOOKUP($A$1&amp;"-"&amp;ROW(BB45),基本資料填寫!$A:$DN,COLUMN(基本資料填寫!BP46),0),"")</f>
        <v/>
      </c>
      <c r="BN46" s="47" t="str">
        <f>IFERROR(VLOOKUP($A$1&amp;"-"&amp;ROW(BC45),基本資料填寫!$A:$DN,COLUMN(基本資料填寫!BQ46),0),"")</f>
        <v/>
      </c>
      <c r="BO46" s="47" t="str">
        <f>IFERROR(VLOOKUP($A$1&amp;"-"&amp;ROW(BD45),基本資料填寫!$A:$DN,COLUMN(基本資料填寫!BR46),0),"")</f>
        <v/>
      </c>
    </row>
    <row r="47" spans="2:67" x14ac:dyDescent="0.3">
      <c r="B47" s="47" t="str">
        <f>IFERROR(VLOOKUP($A$1&amp;"-"&amp;ROW(A46),基本資料填寫!$A:$DN,COLUMN(基本資料填寫!K47),0),"")</f>
        <v/>
      </c>
      <c r="C47" s="47" t="str">
        <f>IFERROR(VLOOKUP($A$1&amp;"-"&amp;ROW(B46),基本資料填寫!$A:$DN,COLUMN(基本資料填寫!L47),0),"")</f>
        <v/>
      </c>
      <c r="D47" s="47" t="str">
        <f>IF(E47="","",COUNTA($E$2:E47))</f>
        <v/>
      </c>
      <c r="E47" s="47" t="str">
        <f>IFERROR(VLOOKUP($A$1&amp;"-"&amp;ROW(E46),基本資料填寫!$A:$DN,COLUMN(基本資料填寫!S47),0),"")</f>
        <v/>
      </c>
      <c r="G47" s="47" t="str">
        <f>IFERROR(VLOOKUP($A$1&amp;"-"&amp;ROW(G46),基本資料填寫!$A:$DN,COLUMN(基本資料填寫!V47),0),"")</f>
        <v/>
      </c>
      <c r="H47" s="47" t="str">
        <f>IFERROR(VLOOKUP($A$1&amp;"-"&amp;ROW(BI46),基本資料填寫!$A:$DN,COLUMN(基本資料填寫!BW47),0),"")</f>
        <v/>
      </c>
      <c r="I47" s="47" t="str">
        <f>IFERROR(VLOOKUP($A$1&amp;"-"&amp;ROW(I46),基本資料填寫!$A:$DN,COLUMN(基本資料填寫!AN47),0),"")</f>
        <v/>
      </c>
      <c r="J47" s="47" t="str">
        <f>IFERROR(VLOOKUP($A$1&amp;"-"&amp;ROW(K46),基本資料填寫!$A:$DN,COLUMN(基本資料填寫!R47),0),"")</f>
        <v/>
      </c>
      <c r="K47" s="47" t="str">
        <f>IFERROR(VLOOKUP($A$1&amp;"-"&amp;ROW(AA46),基本資料填寫!$A:$DN,COLUMN(基本資料填寫!BX47),0),"")</f>
        <v/>
      </c>
      <c r="L47" s="47" t="str">
        <f>IFERROR(VLOOKUP($A$1&amp;"-"&amp;ROW(S46),基本資料填寫!$A:$DN,COLUMN(基本資料填寫!Z47),0),"")</f>
        <v/>
      </c>
      <c r="M47" s="47" t="str">
        <f>IFERROR(VLOOKUP($A$1&amp;"-"&amp;ROW(T46),基本資料填寫!$A:$DN,COLUMN(基本資料填寫!AA47),0),"")</f>
        <v/>
      </c>
      <c r="N47" s="47" t="str">
        <f>IFERROR(VLOOKUP($A$1&amp;"-"&amp;ROW(AB46),基本資料填寫!$A:$DN,COLUMN(基本資料填寫!BY47),0),"")</f>
        <v/>
      </c>
      <c r="O47" s="47" t="str">
        <f>IFERROR(VLOOKUP($A$1&amp;"-"&amp;ROW(AC46),基本資料填寫!$A:$DN,COLUMN(基本資料填寫!BZ47),0),"")</f>
        <v/>
      </c>
      <c r="P47" s="47" t="str">
        <f>IFERROR(VLOOKUP($A$1&amp;"-"&amp;ROW(AD46),基本資料填寫!$A:$DN,COLUMN(基本資料填寫!CA47),0),"")</f>
        <v/>
      </c>
      <c r="Q47" s="47" t="str">
        <f>IFERROR(VLOOKUP($A$1&amp;"-"&amp;ROW(J46),基本資料填寫!$A:$DN,COLUMN(基本資料填寫!AO47),0),"")</f>
        <v/>
      </c>
      <c r="R47" s="47" t="str">
        <f>IFERROR(VLOOKUP($A$1&amp;"-"&amp;ROW(AE46),基本資料填寫!$A:$DN,COLUMN(基本資料填寫!CB47),0),"")</f>
        <v/>
      </c>
      <c r="S47" s="47" t="str">
        <f>IFERROR(VLOOKUP($A$1&amp;"-"&amp;ROW(AF46),基本資料填寫!$A:$DN,COLUMN(基本資料填寫!CC47),0),"")</f>
        <v/>
      </c>
      <c r="T47" s="47" t="str">
        <f>IFERROR(VLOOKUP($A$1&amp;"-"&amp;ROW(AG46),基本資料填寫!$A:$DN,COLUMN(基本資料填寫!CD47),0),"")</f>
        <v/>
      </c>
      <c r="U47" s="47" t="str">
        <f>IFERROR(VLOOKUP($A$1&amp;"-"&amp;ROW(AH46),基本資料填寫!$A:$DN,COLUMN(基本資料填寫!CE47),0),"")</f>
        <v/>
      </c>
      <c r="V47" s="47" t="str">
        <f>IFERROR(VLOOKUP($A$1&amp;"-"&amp;ROW(AI46),基本資料填寫!$A:$DN,COLUMN(基本資料填寫!CF47),0),"")</f>
        <v/>
      </c>
      <c r="W47" s="47" t="str">
        <f>IFERROR(VLOOKUP($A$1&amp;"-"&amp;ROW(AJ46),基本資料填寫!$A:$DN,COLUMN(基本資料填寫!CG47),0),"")</f>
        <v/>
      </c>
      <c r="X47" s="47" t="str">
        <f>IFERROR(VLOOKUP($A$1&amp;"-"&amp;ROW(AK46),基本資料填寫!$A:$DN,COLUMN(基本資料填寫!CH47),0),"")</f>
        <v/>
      </c>
      <c r="Y47" s="47" t="str">
        <f>IFERROR(VLOOKUP($A$1&amp;"-"&amp;ROW(AL46),基本資料填寫!$A:$DN,COLUMN(基本資料填寫!CI47),0),"")</f>
        <v/>
      </c>
      <c r="Z47" s="47" t="str">
        <f>IFERROR(VLOOKUP($A$1&amp;"-"&amp;ROW(H46),基本資料填寫!$A:$DN,COLUMN(基本資料填寫!O47),0),"")</f>
        <v/>
      </c>
      <c r="AA47" s="47" t="str">
        <f>IFERROR(VLOOKUP($A$1&amp;"-"&amp;ROW(AM46),基本資料填寫!$A:$DN,COLUMN(基本資料填寫!CJ47),0),"")</f>
        <v/>
      </c>
      <c r="AB47" s="47" t="str">
        <f>IFERROR(VLOOKUP($A$1&amp;"-"&amp;ROW(AN46),基本資料填寫!$A:$DN,COLUMN(基本資料填寫!CK47),0),"")</f>
        <v/>
      </c>
      <c r="AC47" s="47" t="str">
        <f>IFERROR(VLOOKUP($A$1&amp;"-"&amp;ROW(AP46),基本資料填寫!$A:$DN,COLUMN(基本資料填寫!CN47),0),"")</f>
        <v/>
      </c>
      <c r="AD47" s="47" t="str">
        <f>IFERROR(VLOOKUP($A$1&amp;"-"&amp;ROW(AQ46),基本資料填寫!$A:$DN,COLUMN(基本資料填寫!CO47),0),"")</f>
        <v/>
      </c>
      <c r="AE47" s="47" t="str">
        <f>IFERROR(VLOOKUP($A$1&amp;"-"&amp;ROW(AR46),基本資料填寫!$A:$DN,COLUMN(基本資料填寫!CP47),0),"")</f>
        <v/>
      </c>
      <c r="AF47" s="47" t="str">
        <f>IFERROR(VLOOKUP($A$1&amp;"-"&amp;ROW(AS46),基本資料填寫!$A:$DN,COLUMN(基本資料填寫!CQ47),0),"")</f>
        <v/>
      </c>
      <c r="AG47" s="47" t="str">
        <f>IFERROR(VLOOKUP($A$1&amp;"-"&amp;ROW(AT46),基本資料填寫!$A:$DN,COLUMN(基本資料填寫!CR47),0),"")</f>
        <v/>
      </c>
      <c r="AH47" s="47" t="str">
        <f>IFERROR(VLOOKUP($A$1&amp;"-"&amp;ROW(AU46),基本資料填寫!$A:$DN,COLUMN(基本資料填寫!CS47),0),"")</f>
        <v/>
      </c>
      <c r="AI47" s="47" t="str">
        <f>IFERROR(VLOOKUP($A$1&amp;"-"&amp;ROW(P46),基本資料填寫!$A:$DN,COLUMN(基本資料填寫!X47),0),"")</f>
        <v/>
      </c>
      <c r="AJ47" s="47" t="str">
        <f>IFERROR(VLOOKUP($A$1&amp;"-"&amp;ROW(AV46),基本資料填寫!$A:$DN,COLUMN(基本資料填寫!CT47),0),"")</f>
        <v/>
      </c>
      <c r="AK47" s="47" t="str">
        <f>IFERROR(VLOOKUP($A$1&amp;"-"&amp;ROW(AC46),基本資料填寫!$A:$DN,COLUMN(基本資料填寫!AQ47),0),"")</f>
        <v/>
      </c>
      <c r="AL47" s="47" t="str">
        <f>IFERROR(VLOOKUP($A$1&amp;"-"&amp;ROW(AO46),基本資料填寫!$A:$DN,COLUMN(基本資料填寫!CM47),0),"")</f>
        <v/>
      </c>
      <c r="AM47" s="47" t="str">
        <f>IFERROR(VLOOKUP($A$1&amp;"-"&amp;ROW(AD46),基本資料填寫!$A:$DN,COLUMN(基本資料填寫!AR47),0),"")</f>
        <v/>
      </c>
      <c r="AN47" s="47" t="str">
        <f>IFERROR(VLOOKUP($A$1&amp;"-"&amp;ROW(K46),基本資料填寫!$A:$DN,COLUMN(基本資料填寫!AP47),0),"")</f>
        <v/>
      </c>
      <c r="AO47" s="47" t="str">
        <f>IFERROR(VLOOKUP($A$1&amp;"-"&amp;ROW(J46),基本資料填寫!$A:$DN,COLUMN(基本資料填寫!AO47),0),"")</f>
        <v/>
      </c>
      <c r="AP47" s="47" t="str">
        <f>IFERROR(VLOOKUP($A$1&amp;"-"&amp;ROW(AE46),基本資料填寫!$A:$DN,COLUMN(基本資料填寫!AS47),0),"")</f>
        <v/>
      </c>
      <c r="AQ47" s="47" t="str">
        <f>IFERROR(VLOOKUP($A$1&amp;"-"&amp;ROW(AF46),基本資料填寫!$A:$DN,COLUMN(基本資料填寫!AT47),0),"")</f>
        <v/>
      </c>
      <c r="AR47" s="47" t="str">
        <f>IFERROR(VLOOKUP($A$1&amp;"-"&amp;ROW(AG46),基本資料填寫!$A:$DN,COLUMN(基本資料填寫!AU47),0),"")</f>
        <v/>
      </c>
      <c r="AS47" s="47" t="str">
        <f>IFERROR(VLOOKUP($A$1&amp;"-"&amp;ROW(AH46),基本資料填寫!$A:$DN,COLUMN(基本資料填寫!AV47),0),"")</f>
        <v/>
      </c>
      <c r="AT47" s="47" t="str">
        <f>IFERROR(VLOOKUP($A$1&amp;"-"&amp;ROW(AI46),基本資料填寫!$A:$DN,COLUMN(基本資料填寫!AW47),0),"")</f>
        <v/>
      </c>
      <c r="AU47" s="47" t="str">
        <f>IFERROR(VLOOKUP($A$1&amp;"-"&amp;ROW(AJ46),基本資料填寫!$A:$DN,COLUMN(基本資料填寫!AX47),0),"")</f>
        <v/>
      </c>
      <c r="AV47" s="47" t="str">
        <f>IFERROR(VLOOKUP($A$1&amp;"-"&amp;ROW(AK46),基本資料填寫!$A:$DN,COLUMN(基本資料填寫!AY47),0),"")</f>
        <v/>
      </c>
      <c r="AW47" s="47" t="str">
        <f>IFERROR(VLOOKUP($A$1&amp;"-"&amp;ROW(AL46),基本資料填寫!$A:$DN,COLUMN(基本資料填寫!AZ47),0),"")</f>
        <v/>
      </c>
      <c r="AX47" s="47" t="str">
        <f>IFERROR(VLOOKUP($A$1&amp;"-"&amp;ROW(AM46),基本資料填寫!$A:$DN,COLUMN(基本資料填寫!BA47),0),"")</f>
        <v/>
      </c>
      <c r="AY47" s="47" t="str">
        <f>IFERROR(VLOOKUP($A$1&amp;"-"&amp;ROW(AN46),基本資料填寫!$A:$DN,COLUMN(基本資料填寫!BB47),0),"")</f>
        <v/>
      </c>
      <c r="AZ47" s="47" t="str">
        <f>IFERROR(VLOOKUP($A$1&amp;"-"&amp;ROW(AO46),基本資料填寫!$A:$DN,COLUMN(基本資料填寫!BC47),0),"")</f>
        <v/>
      </c>
      <c r="BA47" s="47" t="str">
        <f>IFERROR(VLOOKUP($A$1&amp;"-"&amp;ROW(AP46),基本資料填寫!$A:$DN,COLUMN(基本資料填寫!BD47),0),"")</f>
        <v/>
      </c>
      <c r="BB47" s="47" t="str">
        <f>IFERROR(VLOOKUP($A$1&amp;"-"&amp;ROW(AQ46),基本資料填寫!$A:$DN,COLUMN(基本資料填寫!BE47),0),"")</f>
        <v/>
      </c>
      <c r="BC47" s="47" t="str">
        <f>IFERROR(VLOOKUP($A$1&amp;"-"&amp;ROW(AR46),基本資料填寫!$A:$DN,COLUMN(基本資料填寫!BF47),0),"")</f>
        <v/>
      </c>
      <c r="BD47" s="47" t="str">
        <f>IFERROR(VLOOKUP($A$1&amp;"-"&amp;ROW(AS46),基本資料填寫!$A:$DN,COLUMN(基本資料填寫!BG47),0),"")</f>
        <v/>
      </c>
      <c r="BE47" s="47" t="str">
        <f>IFERROR(VLOOKUP($A$1&amp;"-"&amp;ROW(AT46),基本資料填寫!$A:$DN,COLUMN(基本資料填寫!BH47),0),"")</f>
        <v/>
      </c>
      <c r="BF47" s="47" t="str">
        <f>IFERROR(VLOOKUP($A$1&amp;"-"&amp;ROW(AU46),基本資料填寫!$A:$DN,COLUMN(基本資料填寫!BI47),0),"")</f>
        <v/>
      </c>
      <c r="BG47" s="47" t="str">
        <f>IFERROR(VLOOKUP($A$1&amp;"-"&amp;ROW(AV46),基本資料填寫!$A:$DN,COLUMN(基本資料填寫!BJ47),0),"")</f>
        <v/>
      </c>
      <c r="BH47" s="47" t="str">
        <f>IFERROR(VLOOKUP($A$1&amp;"-"&amp;ROW(AW46),基本資料填寫!$A:$DN,COLUMN(基本資料填寫!BK47),0),"")</f>
        <v/>
      </c>
      <c r="BI47" s="47" t="str">
        <f>IFERROR(VLOOKUP($A$1&amp;"-"&amp;ROW(AX46),基本資料填寫!$A:$DN,COLUMN(基本資料填寫!BL47),0),"")</f>
        <v/>
      </c>
      <c r="BJ47" s="47" t="str">
        <f>IFERROR(VLOOKUP($A$1&amp;"-"&amp;ROW(AY46),基本資料填寫!$A:$DN,COLUMN(基本資料填寫!BM47),0),"")</f>
        <v/>
      </c>
      <c r="BK47" s="47" t="str">
        <f>IFERROR(VLOOKUP($A$1&amp;"-"&amp;ROW(AZ46),基本資料填寫!$A:$DN,COLUMN(基本資料填寫!BN47),0),"")</f>
        <v/>
      </c>
      <c r="BL47" s="47" t="str">
        <f>IFERROR(VLOOKUP($A$1&amp;"-"&amp;ROW(BA46),基本資料填寫!$A:$DN,COLUMN(基本資料填寫!BO47),0),"")</f>
        <v/>
      </c>
      <c r="BM47" s="47" t="str">
        <f>IFERROR(VLOOKUP($A$1&amp;"-"&amp;ROW(BB46),基本資料填寫!$A:$DN,COLUMN(基本資料填寫!BP47),0),"")</f>
        <v/>
      </c>
      <c r="BN47" s="47" t="str">
        <f>IFERROR(VLOOKUP($A$1&amp;"-"&amp;ROW(BC46),基本資料填寫!$A:$DN,COLUMN(基本資料填寫!BQ47),0),"")</f>
        <v/>
      </c>
      <c r="BO47" s="47" t="str">
        <f>IFERROR(VLOOKUP($A$1&amp;"-"&amp;ROW(BD46),基本資料填寫!$A:$DN,COLUMN(基本資料填寫!BR47),0),"")</f>
        <v/>
      </c>
    </row>
    <row r="48" spans="2:67" x14ac:dyDescent="0.3">
      <c r="B48" s="47" t="str">
        <f>IFERROR(VLOOKUP($A$1&amp;"-"&amp;ROW(A47),基本資料填寫!$A:$DN,COLUMN(基本資料填寫!K48),0),"")</f>
        <v/>
      </c>
      <c r="C48" s="47" t="str">
        <f>IFERROR(VLOOKUP($A$1&amp;"-"&amp;ROW(B47),基本資料填寫!$A:$DN,COLUMN(基本資料填寫!L48),0),"")</f>
        <v/>
      </c>
      <c r="D48" s="47" t="str">
        <f>IF(E48="","",COUNTA($E$2:E48))</f>
        <v/>
      </c>
      <c r="E48" s="47" t="str">
        <f>IFERROR(VLOOKUP($A$1&amp;"-"&amp;ROW(E47),基本資料填寫!$A:$DN,COLUMN(基本資料填寫!S48),0),"")</f>
        <v/>
      </c>
      <c r="G48" s="47" t="str">
        <f>IFERROR(VLOOKUP($A$1&amp;"-"&amp;ROW(G47),基本資料填寫!$A:$DN,COLUMN(基本資料填寫!V48),0),"")</f>
        <v/>
      </c>
      <c r="H48" s="47" t="str">
        <f>IFERROR(VLOOKUP($A$1&amp;"-"&amp;ROW(BI47),基本資料填寫!$A:$DN,COLUMN(基本資料填寫!BW48),0),"")</f>
        <v/>
      </c>
      <c r="I48" s="47" t="str">
        <f>IFERROR(VLOOKUP($A$1&amp;"-"&amp;ROW(I47),基本資料填寫!$A:$DN,COLUMN(基本資料填寫!AN48),0),"")</f>
        <v/>
      </c>
      <c r="J48" s="47" t="str">
        <f>IFERROR(VLOOKUP($A$1&amp;"-"&amp;ROW(K47),基本資料填寫!$A:$DN,COLUMN(基本資料填寫!R48),0),"")</f>
        <v/>
      </c>
      <c r="K48" s="47" t="str">
        <f>IFERROR(VLOOKUP($A$1&amp;"-"&amp;ROW(AA47),基本資料填寫!$A:$DN,COLUMN(基本資料填寫!BX48),0),"")</f>
        <v/>
      </c>
      <c r="L48" s="47" t="str">
        <f>IFERROR(VLOOKUP($A$1&amp;"-"&amp;ROW(S47),基本資料填寫!$A:$DN,COLUMN(基本資料填寫!Z48),0),"")</f>
        <v/>
      </c>
      <c r="M48" s="47" t="str">
        <f>IFERROR(VLOOKUP($A$1&amp;"-"&amp;ROW(T47),基本資料填寫!$A:$DN,COLUMN(基本資料填寫!AA48),0),"")</f>
        <v/>
      </c>
      <c r="N48" s="47" t="str">
        <f>IFERROR(VLOOKUP($A$1&amp;"-"&amp;ROW(AB47),基本資料填寫!$A:$DN,COLUMN(基本資料填寫!BY48),0),"")</f>
        <v/>
      </c>
      <c r="O48" s="47" t="str">
        <f>IFERROR(VLOOKUP($A$1&amp;"-"&amp;ROW(AC47),基本資料填寫!$A:$DN,COLUMN(基本資料填寫!BZ48),0),"")</f>
        <v/>
      </c>
      <c r="P48" s="47" t="str">
        <f>IFERROR(VLOOKUP($A$1&amp;"-"&amp;ROW(AD47),基本資料填寫!$A:$DN,COLUMN(基本資料填寫!CA48),0),"")</f>
        <v/>
      </c>
      <c r="Q48" s="47" t="str">
        <f>IFERROR(VLOOKUP($A$1&amp;"-"&amp;ROW(J47),基本資料填寫!$A:$DN,COLUMN(基本資料填寫!AO48),0),"")</f>
        <v/>
      </c>
      <c r="R48" s="47" t="str">
        <f>IFERROR(VLOOKUP($A$1&amp;"-"&amp;ROW(AE47),基本資料填寫!$A:$DN,COLUMN(基本資料填寫!CB48),0),"")</f>
        <v/>
      </c>
      <c r="S48" s="47" t="str">
        <f>IFERROR(VLOOKUP($A$1&amp;"-"&amp;ROW(AF47),基本資料填寫!$A:$DN,COLUMN(基本資料填寫!CC48),0),"")</f>
        <v/>
      </c>
      <c r="T48" s="47" t="str">
        <f>IFERROR(VLOOKUP($A$1&amp;"-"&amp;ROW(AG47),基本資料填寫!$A:$DN,COLUMN(基本資料填寫!CD48),0),"")</f>
        <v/>
      </c>
      <c r="U48" s="47" t="str">
        <f>IFERROR(VLOOKUP($A$1&amp;"-"&amp;ROW(AH47),基本資料填寫!$A:$DN,COLUMN(基本資料填寫!CE48),0),"")</f>
        <v/>
      </c>
      <c r="V48" s="47" t="str">
        <f>IFERROR(VLOOKUP($A$1&amp;"-"&amp;ROW(AI47),基本資料填寫!$A:$DN,COLUMN(基本資料填寫!CF48),0),"")</f>
        <v/>
      </c>
      <c r="W48" s="47" t="str">
        <f>IFERROR(VLOOKUP($A$1&amp;"-"&amp;ROW(AJ47),基本資料填寫!$A:$DN,COLUMN(基本資料填寫!CG48),0),"")</f>
        <v/>
      </c>
      <c r="X48" s="47" t="str">
        <f>IFERROR(VLOOKUP($A$1&amp;"-"&amp;ROW(AK47),基本資料填寫!$A:$DN,COLUMN(基本資料填寫!CH48),0),"")</f>
        <v/>
      </c>
      <c r="Y48" s="47" t="str">
        <f>IFERROR(VLOOKUP($A$1&amp;"-"&amp;ROW(AL47),基本資料填寫!$A:$DN,COLUMN(基本資料填寫!CI48),0),"")</f>
        <v/>
      </c>
      <c r="Z48" s="47" t="str">
        <f>IFERROR(VLOOKUP($A$1&amp;"-"&amp;ROW(H47),基本資料填寫!$A:$DN,COLUMN(基本資料填寫!O48),0),"")</f>
        <v/>
      </c>
      <c r="AA48" s="47" t="str">
        <f>IFERROR(VLOOKUP($A$1&amp;"-"&amp;ROW(AM47),基本資料填寫!$A:$DN,COLUMN(基本資料填寫!CJ48),0),"")</f>
        <v/>
      </c>
      <c r="AB48" s="47" t="str">
        <f>IFERROR(VLOOKUP($A$1&amp;"-"&amp;ROW(AN47),基本資料填寫!$A:$DN,COLUMN(基本資料填寫!CK48),0),"")</f>
        <v/>
      </c>
      <c r="AC48" s="47" t="str">
        <f>IFERROR(VLOOKUP($A$1&amp;"-"&amp;ROW(AP47),基本資料填寫!$A:$DN,COLUMN(基本資料填寫!CN48),0),"")</f>
        <v/>
      </c>
      <c r="AD48" s="47" t="str">
        <f>IFERROR(VLOOKUP($A$1&amp;"-"&amp;ROW(AQ47),基本資料填寫!$A:$DN,COLUMN(基本資料填寫!CO48),0),"")</f>
        <v/>
      </c>
      <c r="AE48" s="47" t="str">
        <f>IFERROR(VLOOKUP($A$1&amp;"-"&amp;ROW(AR47),基本資料填寫!$A:$DN,COLUMN(基本資料填寫!CP48),0),"")</f>
        <v/>
      </c>
      <c r="AF48" s="47" t="str">
        <f>IFERROR(VLOOKUP($A$1&amp;"-"&amp;ROW(AS47),基本資料填寫!$A:$DN,COLUMN(基本資料填寫!CQ48),0),"")</f>
        <v/>
      </c>
      <c r="AG48" s="47" t="str">
        <f>IFERROR(VLOOKUP($A$1&amp;"-"&amp;ROW(AT47),基本資料填寫!$A:$DN,COLUMN(基本資料填寫!CR48),0),"")</f>
        <v/>
      </c>
      <c r="AH48" s="47" t="str">
        <f>IFERROR(VLOOKUP($A$1&amp;"-"&amp;ROW(AU47),基本資料填寫!$A:$DN,COLUMN(基本資料填寫!CS48),0),"")</f>
        <v/>
      </c>
      <c r="AI48" s="47" t="str">
        <f>IFERROR(VLOOKUP($A$1&amp;"-"&amp;ROW(P47),基本資料填寫!$A:$DN,COLUMN(基本資料填寫!X48),0),"")</f>
        <v/>
      </c>
      <c r="AJ48" s="47" t="str">
        <f>IFERROR(VLOOKUP($A$1&amp;"-"&amp;ROW(AV47),基本資料填寫!$A:$DN,COLUMN(基本資料填寫!CT48),0),"")</f>
        <v/>
      </c>
      <c r="AK48" s="47" t="str">
        <f>IFERROR(VLOOKUP($A$1&amp;"-"&amp;ROW(AC47),基本資料填寫!$A:$DN,COLUMN(基本資料填寫!AQ48),0),"")</f>
        <v/>
      </c>
      <c r="AL48" s="47" t="str">
        <f>IFERROR(VLOOKUP($A$1&amp;"-"&amp;ROW(AO47),基本資料填寫!$A:$DN,COLUMN(基本資料填寫!CM48),0),"")</f>
        <v/>
      </c>
      <c r="AM48" s="47" t="str">
        <f>IFERROR(VLOOKUP($A$1&amp;"-"&amp;ROW(AD47),基本資料填寫!$A:$DN,COLUMN(基本資料填寫!AR48),0),"")</f>
        <v/>
      </c>
      <c r="AN48" s="47" t="str">
        <f>IFERROR(VLOOKUP($A$1&amp;"-"&amp;ROW(K47),基本資料填寫!$A:$DN,COLUMN(基本資料填寫!AP48),0),"")</f>
        <v/>
      </c>
      <c r="AO48" s="47" t="str">
        <f>IFERROR(VLOOKUP($A$1&amp;"-"&amp;ROW(J47),基本資料填寫!$A:$DN,COLUMN(基本資料填寫!AO48),0),"")</f>
        <v/>
      </c>
      <c r="AP48" s="47" t="str">
        <f>IFERROR(VLOOKUP($A$1&amp;"-"&amp;ROW(AE47),基本資料填寫!$A:$DN,COLUMN(基本資料填寫!AS48),0),"")</f>
        <v/>
      </c>
      <c r="AQ48" s="47" t="str">
        <f>IFERROR(VLOOKUP($A$1&amp;"-"&amp;ROW(AF47),基本資料填寫!$A:$DN,COLUMN(基本資料填寫!AT48),0),"")</f>
        <v/>
      </c>
      <c r="AR48" s="47" t="str">
        <f>IFERROR(VLOOKUP($A$1&amp;"-"&amp;ROW(AG47),基本資料填寫!$A:$DN,COLUMN(基本資料填寫!AU48),0),"")</f>
        <v/>
      </c>
      <c r="AS48" s="47" t="str">
        <f>IFERROR(VLOOKUP($A$1&amp;"-"&amp;ROW(AH47),基本資料填寫!$A:$DN,COLUMN(基本資料填寫!AV48),0),"")</f>
        <v/>
      </c>
      <c r="AT48" s="47" t="str">
        <f>IFERROR(VLOOKUP($A$1&amp;"-"&amp;ROW(AI47),基本資料填寫!$A:$DN,COLUMN(基本資料填寫!AW48),0),"")</f>
        <v/>
      </c>
      <c r="AU48" s="47" t="str">
        <f>IFERROR(VLOOKUP($A$1&amp;"-"&amp;ROW(AJ47),基本資料填寫!$A:$DN,COLUMN(基本資料填寫!AX48),0),"")</f>
        <v/>
      </c>
      <c r="AV48" s="47" t="str">
        <f>IFERROR(VLOOKUP($A$1&amp;"-"&amp;ROW(AK47),基本資料填寫!$A:$DN,COLUMN(基本資料填寫!AY48),0),"")</f>
        <v/>
      </c>
      <c r="AW48" s="47" t="str">
        <f>IFERROR(VLOOKUP($A$1&amp;"-"&amp;ROW(AL47),基本資料填寫!$A:$DN,COLUMN(基本資料填寫!AZ48),0),"")</f>
        <v/>
      </c>
      <c r="AX48" s="47" t="str">
        <f>IFERROR(VLOOKUP($A$1&amp;"-"&amp;ROW(AM47),基本資料填寫!$A:$DN,COLUMN(基本資料填寫!BA48),0),"")</f>
        <v/>
      </c>
      <c r="AY48" s="47" t="str">
        <f>IFERROR(VLOOKUP($A$1&amp;"-"&amp;ROW(AN47),基本資料填寫!$A:$DN,COLUMN(基本資料填寫!BB48),0),"")</f>
        <v/>
      </c>
      <c r="AZ48" s="47" t="str">
        <f>IFERROR(VLOOKUP($A$1&amp;"-"&amp;ROW(AO47),基本資料填寫!$A:$DN,COLUMN(基本資料填寫!BC48),0),"")</f>
        <v/>
      </c>
      <c r="BA48" s="47" t="str">
        <f>IFERROR(VLOOKUP($A$1&amp;"-"&amp;ROW(AP47),基本資料填寫!$A:$DN,COLUMN(基本資料填寫!BD48),0),"")</f>
        <v/>
      </c>
      <c r="BB48" s="47" t="str">
        <f>IFERROR(VLOOKUP($A$1&amp;"-"&amp;ROW(AQ47),基本資料填寫!$A:$DN,COLUMN(基本資料填寫!BE48),0),"")</f>
        <v/>
      </c>
      <c r="BC48" s="47" t="str">
        <f>IFERROR(VLOOKUP($A$1&amp;"-"&amp;ROW(AR47),基本資料填寫!$A:$DN,COLUMN(基本資料填寫!BF48),0),"")</f>
        <v/>
      </c>
      <c r="BD48" s="47" t="str">
        <f>IFERROR(VLOOKUP($A$1&amp;"-"&amp;ROW(AS47),基本資料填寫!$A:$DN,COLUMN(基本資料填寫!BG48),0),"")</f>
        <v/>
      </c>
      <c r="BE48" s="47" t="str">
        <f>IFERROR(VLOOKUP($A$1&amp;"-"&amp;ROW(AT47),基本資料填寫!$A:$DN,COLUMN(基本資料填寫!BH48),0),"")</f>
        <v/>
      </c>
      <c r="BF48" s="47" t="str">
        <f>IFERROR(VLOOKUP($A$1&amp;"-"&amp;ROW(AU47),基本資料填寫!$A:$DN,COLUMN(基本資料填寫!BI48),0),"")</f>
        <v/>
      </c>
      <c r="BG48" s="47" t="str">
        <f>IFERROR(VLOOKUP($A$1&amp;"-"&amp;ROW(AV47),基本資料填寫!$A:$DN,COLUMN(基本資料填寫!BJ48),0),"")</f>
        <v/>
      </c>
      <c r="BH48" s="47" t="str">
        <f>IFERROR(VLOOKUP($A$1&amp;"-"&amp;ROW(AW47),基本資料填寫!$A:$DN,COLUMN(基本資料填寫!BK48),0),"")</f>
        <v/>
      </c>
      <c r="BI48" s="47" t="str">
        <f>IFERROR(VLOOKUP($A$1&amp;"-"&amp;ROW(AX47),基本資料填寫!$A:$DN,COLUMN(基本資料填寫!BL48),0),"")</f>
        <v/>
      </c>
      <c r="BJ48" s="47" t="str">
        <f>IFERROR(VLOOKUP($A$1&amp;"-"&amp;ROW(AY47),基本資料填寫!$A:$DN,COLUMN(基本資料填寫!BM48),0),"")</f>
        <v/>
      </c>
      <c r="BK48" s="47" t="str">
        <f>IFERROR(VLOOKUP($A$1&amp;"-"&amp;ROW(AZ47),基本資料填寫!$A:$DN,COLUMN(基本資料填寫!BN48),0),"")</f>
        <v/>
      </c>
      <c r="BL48" s="47" t="str">
        <f>IFERROR(VLOOKUP($A$1&amp;"-"&amp;ROW(BA47),基本資料填寫!$A:$DN,COLUMN(基本資料填寫!BO48),0),"")</f>
        <v/>
      </c>
      <c r="BM48" s="47" t="str">
        <f>IFERROR(VLOOKUP($A$1&amp;"-"&amp;ROW(BB47),基本資料填寫!$A:$DN,COLUMN(基本資料填寫!BP48),0),"")</f>
        <v/>
      </c>
      <c r="BN48" s="47" t="str">
        <f>IFERROR(VLOOKUP($A$1&amp;"-"&amp;ROW(BC47),基本資料填寫!$A:$DN,COLUMN(基本資料填寫!BQ48),0),"")</f>
        <v/>
      </c>
      <c r="BO48" s="47" t="str">
        <f>IFERROR(VLOOKUP($A$1&amp;"-"&amp;ROW(BD47),基本資料填寫!$A:$DN,COLUMN(基本資料填寫!BR48),0),"")</f>
        <v/>
      </c>
    </row>
    <row r="49" spans="2:67" x14ac:dyDescent="0.3">
      <c r="B49" s="47" t="str">
        <f>IFERROR(VLOOKUP($A$1&amp;"-"&amp;ROW(A48),基本資料填寫!$A:$DN,COLUMN(基本資料填寫!K49),0),"")</f>
        <v/>
      </c>
      <c r="C49" s="47" t="str">
        <f>IFERROR(VLOOKUP($A$1&amp;"-"&amp;ROW(B48),基本資料填寫!$A:$DN,COLUMN(基本資料填寫!L49),0),"")</f>
        <v/>
      </c>
      <c r="D49" s="47" t="str">
        <f>IF(E49="","",COUNTA($E$2:E49))</f>
        <v/>
      </c>
      <c r="E49" s="47" t="str">
        <f>IFERROR(VLOOKUP($A$1&amp;"-"&amp;ROW(E48),基本資料填寫!$A:$DN,COLUMN(基本資料填寫!S49),0),"")</f>
        <v/>
      </c>
      <c r="G49" s="47" t="str">
        <f>IFERROR(VLOOKUP($A$1&amp;"-"&amp;ROW(G48),基本資料填寫!$A:$DN,COLUMN(基本資料填寫!V49),0),"")</f>
        <v/>
      </c>
      <c r="H49" s="47" t="str">
        <f>IFERROR(VLOOKUP($A$1&amp;"-"&amp;ROW(BI48),基本資料填寫!$A:$DN,COLUMN(基本資料填寫!BW49),0),"")</f>
        <v/>
      </c>
      <c r="I49" s="47" t="str">
        <f>IFERROR(VLOOKUP($A$1&amp;"-"&amp;ROW(I48),基本資料填寫!$A:$DN,COLUMN(基本資料填寫!AN49),0),"")</f>
        <v/>
      </c>
      <c r="J49" s="47" t="str">
        <f>IFERROR(VLOOKUP($A$1&amp;"-"&amp;ROW(K48),基本資料填寫!$A:$DN,COLUMN(基本資料填寫!R49),0),"")</f>
        <v/>
      </c>
      <c r="K49" s="47" t="str">
        <f>IFERROR(VLOOKUP($A$1&amp;"-"&amp;ROW(AA48),基本資料填寫!$A:$DN,COLUMN(基本資料填寫!BX49),0),"")</f>
        <v/>
      </c>
      <c r="L49" s="47" t="str">
        <f>IFERROR(VLOOKUP($A$1&amp;"-"&amp;ROW(S48),基本資料填寫!$A:$DN,COLUMN(基本資料填寫!Z49),0),"")</f>
        <v/>
      </c>
      <c r="M49" s="47" t="str">
        <f>IFERROR(VLOOKUP($A$1&amp;"-"&amp;ROW(T48),基本資料填寫!$A:$DN,COLUMN(基本資料填寫!AA49),0),"")</f>
        <v/>
      </c>
      <c r="N49" s="47" t="str">
        <f>IFERROR(VLOOKUP($A$1&amp;"-"&amp;ROW(AB48),基本資料填寫!$A:$DN,COLUMN(基本資料填寫!BY49),0),"")</f>
        <v/>
      </c>
      <c r="O49" s="47" t="str">
        <f>IFERROR(VLOOKUP($A$1&amp;"-"&amp;ROW(AC48),基本資料填寫!$A:$DN,COLUMN(基本資料填寫!BZ49),0),"")</f>
        <v/>
      </c>
      <c r="P49" s="47" t="str">
        <f>IFERROR(VLOOKUP($A$1&amp;"-"&amp;ROW(AD48),基本資料填寫!$A:$DN,COLUMN(基本資料填寫!CA49),0),"")</f>
        <v/>
      </c>
      <c r="Q49" s="47" t="str">
        <f>IFERROR(VLOOKUP($A$1&amp;"-"&amp;ROW(J48),基本資料填寫!$A:$DN,COLUMN(基本資料填寫!AO49),0),"")</f>
        <v/>
      </c>
      <c r="R49" s="47" t="str">
        <f>IFERROR(VLOOKUP($A$1&amp;"-"&amp;ROW(AE48),基本資料填寫!$A:$DN,COLUMN(基本資料填寫!CB49),0),"")</f>
        <v/>
      </c>
      <c r="S49" s="47" t="str">
        <f>IFERROR(VLOOKUP($A$1&amp;"-"&amp;ROW(AF48),基本資料填寫!$A:$DN,COLUMN(基本資料填寫!CC49),0),"")</f>
        <v/>
      </c>
      <c r="T49" s="47" t="str">
        <f>IFERROR(VLOOKUP($A$1&amp;"-"&amp;ROW(AG48),基本資料填寫!$A:$DN,COLUMN(基本資料填寫!CD49),0),"")</f>
        <v/>
      </c>
      <c r="U49" s="47" t="str">
        <f>IFERROR(VLOOKUP($A$1&amp;"-"&amp;ROW(AH48),基本資料填寫!$A:$DN,COLUMN(基本資料填寫!CE49),0),"")</f>
        <v/>
      </c>
      <c r="V49" s="47" t="str">
        <f>IFERROR(VLOOKUP($A$1&amp;"-"&amp;ROW(AI48),基本資料填寫!$A:$DN,COLUMN(基本資料填寫!CF49),0),"")</f>
        <v/>
      </c>
      <c r="W49" s="47" t="str">
        <f>IFERROR(VLOOKUP($A$1&amp;"-"&amp;ROW(AJ48),基本資料填寫!$A:$DN,COLUMN(基本資料填寫!CG49),0),"")</f>
        <v/>
      </c>
      <c r="X49" s="47" t="str">
        <f>IFERROR(VLOOKUP($A$1&amp;"-"&amp;ROW(AK48),基本資料填寫!$A:$DN,COLUMN(基本資料填寫!CH49),0),"")</f>
        <v/>
      </c>
      <c r="Y49" s="47" t="str">
        <f>IFERROR(VLOOKUP($A$1&amp;"-"&amp;ROW(AL48),基本資料填寫!$A:$DN,COLUMN(基本資料填寫!CI49),0),"")</f>
        <v/>
      </c>
      <c r="Z49" s="47" t="str">
        <f>IFERROR(VLOOKUP($A$1&amp;"-"&amp;ROW(H48),基本資料填寫!$A:$DN,COLUMN(基本資料填寫!O49),0),"")</f>
        <v/>
      </c>
      <c r="AA49" s="47" t="str">
        <f>IFERROR(VLOOKUP($A$1&amp;"-"&amp;ROW(AM48),基本資料填寫!$A:$DN,COLUMN(基本資料填寫!CJ49),0),"")</f>
        <v/>
      </c>
      <c r="AB49" s="47" t="str">
        <f>IFERROR(VLOOKUP($A$1&amp;"-"&amp;ROW(AN48),基本資料填寫!$A:$DN,COLUMN(基本資料填寫!CK49),0),"")</f>
        <v/>
      </c>
      <c r="AC49" s="47" t="str">
        <f>IFERROR(VLOOKUP($A$1&amp;"-"&amp;ROW(AP48),基本資料填寫!$A:$DN,COLUMN(基本資料填寫!CN49),0),"")</f>
        <v/>
      </c>
      <c r="AD49" s="47" t="str">
        <f>IFERROR(VLOOKUP($A$1&amp;"-"&amp;ROW(AQ48),基本資料填寫!$A:$DN,COLUMN(基本資料填寫!CO49),0),"")</f>
        <v/>
      </c>
      <c r="AE49" s="47" t="str">
        <f>IFERROR(VLOOKUP($A$1&amp;"-"&amp;ROW(AR48),基本資料填寫!$A:$DN,COLUMN(基本資料填寫!CP49),0),"")</f>
        <v/>
      </c>
      <c r="AF49" s="47" t="str">
        <f>IFERROR(VLOOKUP($A$1&amp;"-"&amp;ROW(AS48),基本資料填寫!$A:$DN,COLUMN(基本資料填寫!CQ49),0),"")</f>
        <v/>
      </c>
      <c r="AG49" s="47" t="str">
        <f>IFERROR(VLOOKUP($A$1&amp;"-"&amp;ROW(AT48),基本資料填寫!$A:$DN,COLUMN(基本資料填寫!CR49),0),"")</f>
        <v/>
      </c>
      <c r="AH49" s="47" t="str">
        <f>IFERROR(VLOOKUP($A$1&amp;"-"&amp;ROW(AU48),基本資料填寫!$A:$DN,COLUMN(基本資料填寫!CS49),0),"")</f>
        <v/>
      </c>
      <c r="AI49" s="47" t="str">
        <f>IFERROR(VLOOKUP($A$1&amp;"-"&amp;ROW(P48),基本資料填寫!$A:$DN,COLUMN(基本資料填寫!X49),0),"")</f>
        <v/>
      </c>
      <c r="AJ49" s="47" t="str">
        <f>IFERROR(VLOOKUP($A$1&amp;"-"&amp;ROW(AV48),基本資料填寫!$A:$DN,COLUMN(基本資料填寫!CT49),0),"")</f>
        <v/>
      </c>
      <c r="AK49" s="47" t="str">
        <f>IFERROR(VLOOKUP($A$1&amp;"-"&amp;ROW(AC48),基本資料填寫!$A:$DN,COLUMN(基本資料填寫!AQ49),0),"")</f>
        <v/>
      </c>
      <c r="AL49" s="47" t="str">
        <f>IFERROR(VLOOKUP($A$1&amp;"-"&amp;ROW(AO48),基本資料填寫!$A:$DN,COLUMN(基本資料填寫!CM49),0),"")</f>
        <v/>
      </c>
      <c r="AM49" s="47" t="str">
        <f>IFERROR(VLOOKUP($A$1&amp;"-"&amp;ROW(AD48),基本資料填寫!$A:$DN,COLUMN(基本資料填寫!AR49),0),"")</f>
        <v/>
      </c>
      <c r="AN49" s="47" t="str">
        <f>IFERROR(VLOOKUP($A$1&amp;"-"&amp;ROW(K48),基本資料填寫!$A:$DN,COLUMN(基本資料填寫!AP49),0),"")</f>
        <v/>
      </c>
      <c r="AO49" s="47" t="str">
        <f>IFERROR(VLOOKUP($A$1&amp;"-"&amp;ROW(J48),基本資料填寫!$A:$DN,COLUMN(基本資料填寫!AO49),0),"")</f>
        <v/>
      </c>
      <c r="AP49" s="47" t="str">
        <f>IFERROR(VLOOKUP($A$1&amp;"-"&amp;ROW(AE48),基本資料填寫!$A:$DN,COLUMN(基本資料填寫!AS49),0),"")</f>
        <v/>
      </c>
      <c r="AQ49" s="47" t="str">
        <f>IFERROR(VLOOKUP($A$1&amp;"-"&amp;ROW(AF48),基本資料填寫!$A:$DN,COLUMN(基本資料填寫!AT49),0),"")</f>
        <v/>
      </c>
      <c r="AR49" s="47" t="str">
        <f>IFERROR(VLOOKUP($A$1&amp;"-"&amp;ROW(AG48),基本資料填寫!$A:$DN,COLUMN(基本資料填寫!AU49),0),"")</f>
        <v/>
      </c>
      <c r="AS49" s="47" t="str">
        <f>IFERROR(VLOOKUP($A$1&amp;"-"&amp;ROW(AH48),基本資料填寫!$A:$DN,COLUMN(基本資料填寫!AV49),0),"")</f>
        <v/>
      </c>
      <c r="AT49" s="47" t="str">
        <f>IFERROR(VLOOKUP($A$1&amp;"-"&amp;ROW(AI48),基本資料填寫!$A:$DN,COLUMN(基本資料填寫!AW49),0),"")</f>
        <v/>
      </c>
      <c r="AU49" s="47" t="str">
        <f>IFERROR(VLOOKUP($A$1&amp;"-"&amp;ROW(AJ48),基本資料填寫!$A:$DN,COLUMN(基本資料填寫!AX49),0),"")</f>
        <v/>
      </c>
      <c r="AV49" s="47" t="str">
        <f>IFERROR(VLOOKUP($A$1&amp;"-"&amp;ROW(AK48),基本資料填寫!$A:$DN,COLUMN(基本資料填寫!AY49),0),"")</f>
        <v/>
      </c>
      <c r="AW49" s="47" t="str">
        <f>IFERROR(VLOOKUP($A$1&amp;"-"&amp;ROW(AL48),基本資料填寫!$A:$DN,COLUMN(基本資料填寫!AZ49),0),"")</f>
        <v/>
      </c>
      <c r="AX49" s="47" t="str">
        <f>IFERROR(VLOOKUP($A$1&amp;"-"&amp;ROW(AM48),基本資料填寫!$A:$DN,COLUMN(基本資料填寫!BA49),0),"")</f>
        <v/>
      </c>
      <c r="AY49" s="47" t="str">
        <f>IFERROR(VLOOKUP($A$1&amp;"-"&amp;ROW(AN48),基本資料填寫!$A:$DN,COLUMN(基本資料填寫!BB49),0),"")</f>
        <v/>
      </c>
      <c r="AZ49" s="47" t="str">
        <f>IFERROR(VLOOKUP($A$1&amp;"-"&amp;ROW(AO48),基本資料填寫!$A:$DN,COLUMN(基本資料填寫!BC49),0),"")</f>
        <v/>
      </c>
      <c r="BA49" s="47" t="str">
        <f>IFERROR(VLOOKUP($A$1&amp;"-"&amp;ROW(AP48),基本資料填寫!$A:$DN,COLUMN(基本資料填寫!BD49),0),"")</f>
        <v/>
      </c>
      <c r="BB49" s="47" t="str">
        <f>IFERROR(VLOOKUP($A$1&amp;"-"&amp;ROW(AQ48),基本資料填寫!$A:$DN,COLUMN(基本資料填寫!BE49),0),"")</f>
        <v/>
      </c>
      <c r="BC49" s="47" t="str">
        <f>IFERROR(VLOOKUP($A$1&amp;"-"&amp;ROW(AR48),基本資料填寫!$A:$DN,COLUMN(基本資料填寫!BF49),0),"")</f>
        <v/>
      </c>
      <c r="BD49" s="47" t="str">
        <f>IFERROR(VLOOKUP($A$1&amp;"-"&amp;ROW(AS48),基本資料填寫!$A:$DN,COLUMN(基本資料填寫!BG49),0),"")</f>
        <v/>
      </c>
      <c r="BE49" s="47" t="str">
        <f>IFERROR(VLOOKUP($A$1&amp;"-"&amp;ROW(AT48),基本資料填寫!$A:$DN,COLUMN(基本資料填寫!BH49),0),"")</f>
        <v/>
      </c>
      <c r="BF49" s="47" t="str">
        <f>IFERROR(VLOOKUP($A$1&amp;"-"&amp;ROW(AU48),基本資料填寫!$A:$DN,COLUMN(基本資料填寫!BI49),0),"")</f>
        <v/>
      </c>
      <c r="BG49" s="47" t="str">
        <f>IFERROR(VLOOKUP($A$1&amp;"-"&amp;ROW(AV48),基本資料填寫!$A:$DN,COLUMN(基本資料填寫!BJ49),0),"")</f>
        <v/>
      </c>
      <c r="BH49" s="47" t="str">
        <f>IFERROR(VLOOKUP($A$1&amp;"-"&amp;ROW(AW48),基本資料填寫!$A:$DN,COLUMN(基本資料填寫!BK49),0),"")</f>
        <v/>
      </c>
      <c r="BI49" s="47" t="str">
        <f>IFERROR(VLOOKUP($A$1&amp;"-"&amp;ROW(AX48),基本資料填寫!$A:$DN,COLUMN(基本資料填寫!BL49),0),"")</f>
        <v/>
      </c>
      <c r="BJ49" s="47" t="str">
        <f>IFERROR(VLOOKUP($A$1&amp;"-"&amp;ROW(AY48),基本資料填寫!$A:$DN,COLUMN(基本資料填寫!BM49),0),"")</f>
        <v/>
      </c>
      <c r="BK49" s="47" t="str">
        <f>IFERROR(VLOOKUP($A$1&amp;"-"&amp;ROW(AZ48),基本資料填寫!$A:$DN,COLUMN(基本資料填寫!BN49),0),"")</f>
        <v/>
      </c>
      <c r="BL49" s="47" t="str">
        <f>IFERROR(VLOOKUP($A$1&amp;"-"&amp;ROW(BA48),基本資料填寫!$A:$DN,COLUMN(基本資料填寫!BO49),0),"")</f>
        <v/>
      </c>
      <c r="BM49" s="47" t="str">
        <f>IFERROR(VLOOKUP($A$1&amp;"-"&amp;ROW(BB48),基本資料填寫!$A:$DN,COLUMN(基本資料填寫!BP49),0),"")</f>
        <v/>
      </c>
      <c r="BN49" s="47" t="str">
        <f>IFERROR(VLOOKUP($A$1&amp;"-"&amp;ROW(BC48),基本資料填寫!$A:$DN,COLUMN(基本資料填寫!BQ49),0),"")</f>
        <v/>
      </c>
      <c r="BO49" s="47" t="str">
        <f>IFERROR(VLOOKUP($A$1&amp;"-"&amp;ROW(BD48),基本資料填寫!$A:$DN,COLUMN(基本資料填寫!BR49),0),"")</f>
        <v/>
      </c>
    </row>
    <row r="50" spans="2:67" x14ac:dyDescent="0.3">
      <c r="B50" s="47" t="str">
        <f>IFERROR(VLOOKUP($A$1&amp;"-"&amp;ROW(A49),基本資料填寫!$A:$DN,COLUMN(基本資料填寫!K50),0),"")</f>
        <v/>
      </c>
      <c r="C50" s="47" t="str">
        <f>IFERROR(VLOOKUP($A$1&amp;"-"&amp;ROW(B49),基本資料填寫!$A:$DN,COLUMN(基本資料填寫!L50),0),"")</f>
        <v/>
      </c>
      <c r="D50" s="47" t="str">
        <f>IF(E50="","",COUNTA($E$2:E50))</f>
        <v/>
      </c>
      <c r="E50" s="47" t="str">
        <f>IFERROR(VLOOKUP($A$1&amp;"-"&amp;ROW(E49),基本資料填寫!$A:$DN,COLUMN(基本資料填寫!S50),0),"")</f>
        <v/>
      </c>
      <c r="G50" s="47" t="str">
        <f>IFERROR(VLOOKUP($A$1&amp;"-"&amp;ROW(G49),基本資料填寫!$A:$DN,COLUMN(基本資料填寫!V50),0),"")</f>
        <v/>
      </c>
      <c r="H50" s="47" t="str">
        <f>IFERROR(VLOOKUP($A$1&amp;"-"&amp;ROW(BI49),基本資料填寫!$A:$DN,COLUMN(基本資料填寫!BW50),0),"")</f>
        <v/>
      </c>
      <c r="I50" s="47" t="str">
        <f>IFERROR(VLOOKUP($A$1&amp;"-"&amp;ROW(I49),基本資料填寫!$A:$DN,COLUMN(基本資料填寫!AN50),0),"")</f>
        <v/>
      </c>
      <c r="J50" s="47" t="str">
        <f>IFERROR(VLOOKUP($A$1&amp;"-"&amp;ROW(K49),基本資料填寫!$A:$DN,COLUMN(基本資料填寫!R50),0),"")</f>
        <v/>
      </c>
      <c r="K50" s="47" t="str">
        <f>IFERROR(VLOOKUP($A$1&amp;"-"&amp;ROW(AA49),基本資料填寫!$A:$DN,COLUMN(基本資料填寫!BX50),0),"")</f>
        <v/>
      </c>
      <c r="L50" s="47" t="str">
        <f>IFERROR(VLOOKUP($A$1&amp;"-"&amp;ROW(S49),基本資料填寫!$A:$DN,COLUMN(基本資料填寫!Z50),0),"")</f>
        <v/>
      </c>
      <c r="M50" s="47" t="str">
        <f>IFERROR(VLOOKUP($A$1&amp;"-"&amp;ROW(T49),基本資料填寫!$A:$DN,COLUMN(基本資料填寫!AA50),0),"")</f>
        <v/>
      </c>
      <c r="N50" s="47" t="str">
        <f>IFERROR(VLOOKUP($A$1&amp;"-"&amp;ROW(AB49),基本資料填寫!$A:$DN,COLUMN(基本資料填寫!BY50),0),"")</f>
        <v/>
      </c>
      <c r="O50" s="47" t="str">
        <f>IFERROR(VLOOKUP($A$1&amp;"-"&amp;ROW(AC49),基本資料填寫!$A:$DN,COLUMN(基本資料填寫!BZ50),0),"")</f>
        <v/>
      </c>
      <c r="P50" s="47" t="str">
        <f>IFERROR(VLOOKUP($A$1&amp;"-"&amp;ROW(AD49),基本資料填寫!$A:$DN,COLUMN(基本資料填寫!CA50),0),"")</f>
        <v/>
      </c>
      <c r="Q50" s="47" t="str">
        <f>IFERROR(VLOOKUP($A$1&amp;"-"&amp;ROW(J49),基本資料填寫!$A:$DN,COLUMN(基本資料填寫!AO50),0),"")</f>
        <v/>
      </c>
      <c r="R50" s="47" t="str">
        <f>IFERROR(VLOOKUP($A$1&amp;"-"&amp;ROW(AE49),基本資料填寫!$A:$DN,COLUMN(基本資料填寫!CB50),0),"")</f>
        <v/>
      </c>
      <c r="S50" s="47" t="str">
        <f>IFERROR(VLOOKUP($A$1&amp;"-"&amp;ROW(AF49),基本資料填寫!$A:$DN,COLUMN(基本資料填寫!CC50),0),"")</f>
        <v/>
      </c>
      <c r="T50" s="47" t="str">
        <f>IFERROR(VLOOKUP($A$1&amp;"-"&amp;ROW(AG49),基本資料填寫!$A:$DN,COLUMN(基本資料填寫!CD50),0),"")</f>
        <v/>
      </c>
      <c r="U50" s="47" t="str">
        <f>IFERROR(VLOOKUP($A$1&amp;"-"&amp;ROW(AH49),基本資料填寫!$A:$DN,COLUMN(基本資料填寫!CE50),0),"")</f>
        <v/>
      </c>
      <c r="V50" s="47" t="str">
        <f>IFERROR(VLOOKUP($A$1&amp;"-"&amp;ROW(AI49),基本資料填寫!$A:$DN,COLUMN(基本資料填寫!CF50),0),"")</f>
        <v/>
      </c>
      <c r="W50" s="47" t="str">
        <f>IFERROR(VLOOKUP($A$1&amp;"-"&amp;ROW(AJ49),基本資料填寫!$A:$DN,COLUMN(基本資料填寫!CG50),0),"")</f>
        <v/>
      </c>
      <c r="X50" s="47" t="str">
        <f>IFERROR(VLOOKUP($A$1&amp;"-"&amp;ROW(AK49),基本資料填寫!$A:$DN,COLUMN(基本資料填寫!CH50),0),"")</f>
        <v/>
      </c>
      <c r="Y50" s="47" t="str">
        <f>IFERROR(VLOOKUP($A$1&amp;"-"&amp;ROW(AL49),基本資料填寫!$A:$DN,COLUMN(基本資料填寫!CI50),0),"")</f>
        <v/>
      </c>
      <c r="Z50" s="47" t="str">
        <f>IFERROR(VLOOKUP($A$1&amp;"-"&amp;ROW(H49),基本資料填寫!$A:$DN,COLUMN(基本資料填寫!O50),0),"")</f>
        <v/>
      </c>
      <c r="AA50" s="47" t="str">
        <f>IFERROR(VLOOKUP($A$1&amp;"-"&amp;ROW(AM49),基本資料填寫!$A:$DN,COLUMN(基本資料填寫!CJ50),0),"")</f>
        <v/>
      </c>
      <c r="AB50" s="47" t="str">
        <f>IFERROR(VLOOKUP($A$1&amp;"-"&amp;ROW(AN49),基本資料填寫!$A:$DN,COLUMN(基本資料填寫!CK50),0),"")</f>
        <v/>
      </c>
      <c r="AC50" s="47" t="str">
        <f>IFERROR(VLOOKUP($A$1&amp;"-"&amp;ROW(AP49),基本資料填寫!$A:$DN,COLUMN(基本資料填寫!CN50),0),"")</f>
        <v/>
      </c>
      <c r="AD50" s="47" t="str">
        <f>IFERROR(VLOOKUP($A$1&amp;"-"&amp;ROW(AQ49),基本資料填寫!$A:$DN,COLUMN(基本資料填寫!CO50),0),"")</f>
        <v/>
      </c>
      <c r="AE50" s="47" t="str">
        <f>IFERROR(VLOOKUP($A$1&amp;"-"&amp;ROW(AR49),基本資料填寫!$A:$DN,COLUMN(基本資料填寫!CP50),0),"")</f>
        <v/>
      </c>
      <c r="AF50" s="47" t="str">
        <f>IFERROR(VLOOKUP($A$1&amp;"-"&amp;ROW(AS49),基本資料填寫!$A:$DN,COLUMN(基本資料填寫!CQ50),0),"")</f>
        <v/>
      </c>
      <c r="AG50" s="47" t="str">
        <f>IFERROR(VLOOKUP($A$1&amp;"-"&amp;ROW(AT49),基本資料填寫!$A:$DN,COLUMN(基本資料填寫!CR50),0),"")</f>
        <v/>
      </c>
      <c r="AH50" s="47" t="str">
        <f>IFERROR(VLOOKUP($A$1&amp;"-"&amp;ROW(AU49),基本資料填寫!$A:$DN,COLUMN(基本資料填寫!CS50),0),"")</f>
        <v/>
      </c>
      <c r="AI50" s="47" t="str">
        <f>IFERROR(VLOOKUP($A$1&amp;"-"&amp;ROW(P49),基本資料填寫!$A:$DN,COLUMN(基本資料填寫!X50),0),"")</f>
        <v/>
      </c>
      <c r="AJ50" s="47" t="str">
        <f>IFERROR(VLOOKUP($A$1&amp;"-"&amp;ROW(AV49),基本資料填寫!$A:$DN,COLUMN(基本資料填寫!CT50),0),"")</f>
        <v/>
      </c>
      <c r="AK50" s="47" t="str">
        <f>IFERROR(VLOOKUP($A$1&amp;"-"&amp;ROW(AC49),基本資料填寫!$A:$DN,COLUMN(基本資料填寫!AQ50),0),"")</f>
        <v/>
      </c>
      <c r="AL50" s="47" t="str">
        <f>IFERROR(VLOOKUP($A$1&amp;"-"&amp;ROW(AO49),基本資料填寫!$A:$DN,COLUMN(基本資料填寫!CM50),0),"")</f>
        <v/>
      </c>
      <c r="AM50" s="47" t="str">
        <f>IFERROR(VLOOKUP($A$1&amp;"-"&amp;ROW(AD49),基本資料填寫!$A:$DN,COLUMN(基本資料填寫!AR50),0),"")</f>
        <v/>
      </c>
      <c r="AN50" s="47" t="str">
        <f>IFERROR(VLOOKUP($A$1&amp;"-"&amp;ROW(K49),基本資料填寫!$A:$DN,COLUMN(基本資料填寫!AP50),0),"")</f>
        <v/>
      </c>
      <c r="AO50" s="47" t="str">
        <f>IFERROR(VLOOKUP($A$1&amp;"-"&amp;ROW(J49),基本資料填寫!$A:$DN,COLUMN(基本資料填寫!AO50),0),"")</f>
        <v/>
      </c>
      <c r="AP50" s="47" t="str">
        <f>IFERROR(VLOOKUP($A$1&amp;"-"&amp;ROW(AE49),基本資料填寫!$A:$DN,COLUMN(基本資料填寫!AS50),0),"")</f>
        <v/>
      </c>
      <c r="AQ50" s="47" t="str">
        <f>IFERROR(VLOOKUP($A$1&amp;"-"&amp;ROW(AF49),基本資料填寫!$A:$DN,COLUMN(基本資料填寫!AT50),0),"")</f>
        <v/>
      </c>
      <c r="AR50" s="47" t="str">
        <f>IFERROR(VLOOKUP($A$1&amp;"-"&amp;ROW(AG49),基本資料填寫!$A:$DN,COLUMN(基本資料填寫!AU50),0),"")</f>
        <v/>
      </c>
      <c r="AS50" s="47" t="str">
        <f>IFERROR(VLOOKUP($A$1&amp;"-"&amp;ROW(AH49),基本資料填寫!$A:$DN,COLUMN(基本資料填寫!AV50),0),"")</f>
        <v/>
      </c>
      <c r="AT50" s="47" t="str">
        <f>IFERROR(VLOOKUP($A$1&amp;"-"&amp;ROW(AI49),基本資料填寫!$A:$DN,COLUMN(基本資料填寫!AW50),0),"")</f>
        <v/>
      </c>
      <c r="AU50" s="47" t="str">
        <f>IFERROR(VLOOKUP($A$1&amp;"-"&amp;ROW(AJ49),基本資料填寫!$A:$DN,COLUMN(基本資料填寫!AX50),0),"")</f>
        <v/>
      </c>
      <c r="AV50" s="47" t="str">
        <f>IFERROR(VLOOKUP($A$1&amp;"-"&amp;ROW(AK49),基本資料填寫!$A:$DN,COLUMN(基本資料填寫!AY50),0),"")</f>
        <v/>
      </c>
      <c r="AW50" s="47" t="str">
        <f>IFERROR(VLOOKUP($A$1&amp;"-"&amp;ROW(AL49),基本資料填寫!$A:$DN,COLUMN(基本資料填寫!AZ50),0),"")</f>
        <v/>
      </c>
      <c r="AX50" s="47" t="str">
        <f>IFERROR(VLOOKUP($A$1&amp;"-"&amp;ROW(AM49),基本資料填寫!$A:$DN,COLUMN(基本資料填寫!BA50),0),"")</f>
        <v/>
      </c>
      <c r="AY50" s="47" t="str">
        <f>IFERROR(VLOOKUP($A$1&amp;"-"&amp;ROW(AN49),基本資料填寫!$A:$DN,COLUMN(基本資料填寫!BB50),0),"")</f>
        <v/>
      </c>
      <c r="AZ50" s="47" t="str">
        <f>IFERROR(VLOOKUP($A$1&amp;"-"&amp;ROW(AO49),基本資料填寫!$A:$DN,COLUMN(基本資料填寫!BC50),0),"")</f>
        <v/>
      </c>
      <c r="BA50" s="47" t="str">
        <f>IFERROR(VLOOKUP($A$1&amp;"-"&amp;ROW(AP49),基本資料填寫!$A:$DN,COLUMN(基本資料填寫!BD50),0),"")</f>
        <v/>
      </c>
      <c r="BB50" s="47" t="str">
        <f>IFERROR(VLOOKUP($A$1&amp;"-"&amp;ROW(AQ49),基本資料填寫!$A:$DN,COLUMN(基本資料填寫!BE50),0),"")</f>
        <v/>
      </c>
      <c r="BC50" s="47" t="str">
        <f>IFERROR(VLOOKUP($A$1&amp;"-"&amp;ROW(AR49),基本資料填寫!$A:$DN,COLUMN(基本資料填寫!BF50),0),"")</f>
        <v/>
      </c>
      <c r="BD50" s="47" t="str">
        <f>IFERROR(VLOOKUP($A$1&amp;"-"&amp;ROW(AS49),基本資料填寫!$A:$DN,COLUMN(基本資料填寫!BG50),0),"")</f>
        <v/>
      </c>
      <c r="BE50" s="47" t="str">
        <f>IFERROR(VLOOKUP($A$1&amp;"-"&amp;ROW(AT49),基本資料填寫!$A:$DN,COLUMN(基本資料填寫!BH50),0),"")</f>
        <v/>
      </c>
      <c r="BF50" s="47" t="str">
        <f>IFERROR(VLOOKUP($A$1&amp;"-"&amp;ROW(AU49),基本資料填寫!$A:$DN,COLUMN(基本資料填寫!BI50),0),"")</f>
        <v/>
      </c>
      <c r="BG50" s="47" t="str">
        <f>IFERROR(VLOOKUP($A$1&amp;"-"&amp;ROW(AV49),基本資料填寫!$A:$DN,COLUMN(基本資料填寫!BJ50),0),"")</f>
        <v/>
      </c>
      <c r="BH50" s="47" t="str">
        <f>IFERROR(VLOOKUP($A$1&amp;"-"&amp;ROW(AW49),基本資料填寫!$A:$DN,COLUMN(基本資料填寫!BK50),0),"")</f>
        <v/>
      </c>
      <c r="BI50" s="47" t="str">
        <f>IFERROR(VLOOKUP($A$1&amp;"-"&amp;ROW(AX49),基本資料填寫!$A:$DN,COLUMN(基本資料填寫!BL50),0),"")</f>
        <v/>
      </c>
      <c r="BJ50" s="47" t="str">
        <f>IFERROR(VLOOKUP($A$1&amp;"-"&amp;ROW(AY49),基本資料填寫!$A:$DN,COLUMN(基本資料填寫!BM50),0),"")</f>
        <v/>
      </c>
      <c r="BK50" s="47" t="str">
        <f>IFERROR(VLOOKUP($A$1&amp;"-"&amp;ROW(AZ49),基本資料填寫!$A:$DN,COLUMN(基本資料填寫!BN50),0),"")</f>
        <v/>
      </c>
      <c r="BL50" s="47" t="str">
        <f>IFERROR(VLOOKUP($A$1&amp;"-"&amp;ROW(BA49),基本資料填寫!$A:$DN,COLUMN(基本資料填寫!BO50),0),"")</f>
        <v/>
      </c>
      <c r="BM50" s="47" t="str">
        <f>IFERROR(VLOOKUP($A$1&amp;"-"&amp;ROW(BB49),基本資料填寫!$A:$DN,COLUMN(基本資料填寫!BP50),0),"")</f>
        <v/>
      </c>
      <c r="BN50" s="47" t="str">
        <f>IFERROR(VLOOKUP($A$1&amp;"-"&amp;ROW(BC49),基本資料填寫!$A:$DN,COLUMN(基本資料填寫!BQ50),0),"")</f>
        <v/>
      </c>
      <c r="BO50" s="47" t="str">
        <f>IFERROR(VLOOKUP($A$1&amp;"-"&amp;ROW(BD49),基本資料填寫!$A:$DN,COLUMN(基本資料填寫!BR50),0),"")</f>
        <v/>
      </c>
    </row>
    <row r="51" spans="2:67" x14ac:dyDescent="0.3">
      <c r="B51" s="47" t="str">
        <f>IFERROR(VLOOKUP($A$1&amp;"-"&amp;ROW(A50),基本資料填寫!$A:$DN,COLUMN(基本資料填寫!K51),0),"")</f>
        <v/>
      </c>
      <c r="C51" s="47" t="str">
        <f>IFERROR(VLOOKUP($A$1&amp;"-"&amp;ROW(B50),基本資料填寫!$A:$DN,COLUMN(基本資料填寫!L51),0),"")</f>
        <v/>
      </c>
      <c r="D51" s="47" t="str">
        <f>IF(E51="","",COUNTA($E$2:E51))</f>
        <v/>
      </c>
      <c r="E51" s="47" t="str">
        <f>IFERROR(VLOOKUP($A$1&amp;"-"&amp;ROW(E50),基本資料填寫!$A:$DN,COLUMN(基本資料填寫!S51),0),"")</f>
        <v/>
      </c>
      <c r="G51" s="47" t="str">
        <f>IFERROR(VLOOKUP($A$1&amp;"-"&amp;ROW(G50),基本資料填寫!$A:$DN,COLUMN(基本資料填寫!V51),0),"")</f>
        <v/>
      </c>
      <c r="H51" s="47" t="str">
        <f>IFERROR(VLOOKUP($A$1&amp;"-"&amp;ROW(BI50),基本資料填寫!$A:$DN,COLUMN(基本資料填寫!BW51),0),"")</f>
        <v/>
      </c>
      <c r="I51" s="47" t="str">
        <f>IFERROR(VLOOKUP($A$1&amp;"-"&amp;ROW(I50),基本資料填寫!$A:$DN,COLUMN(基本資料填寫!AN51),0),"")</f>
        <v/>
      </c>
      <c r="J51" s="47" t="str">
        <f>IFERROR(VLOOKUP($A$1&amp;"-"&amp;ROW(K50),基本資料填寫!$A:$DN,COLUMN(基本資料填寫!R51),0),"")</f>
        <v/>
      </c>
      <c r="K51" s="47" t="str">
        <f>IFERROR(VLOOKUP($A$1&amp;"-"&amp;ROW(AA50),基本資料填寫!$A:$DN,COLUMN(基本資料填寫!BX51),0),"")</f>
        <v/>
      </c>
      <c r="L51" s="47" t="str">
        <f>IFERROR(VLOOKUP($A$1&amp;"-"&amp;ROW(S50),基本資料填寫!$A:$DN,COLUMN(基本資料填寫!Z51),0),"")</f>
        <v/>
      </c>
      <c r="M51" s="47" t="str">
        <f>IFERROR(VLOOKUP($A$1&amp;"-"&amp;ROW(T50),基本資料填寫!$A:$DN,COLUMN(基本資料填寫!AA51),0),"")</f>
        <v/>
      </c>
      <c r="N51" s="47" t="str">
        <f>IFERROR(VLOOKUP($A$1&amp;"-"&amp;ROW(AB50),基本資料填寫!$A:$DN,COLUMN(基本資料填寫!BY51),0),"")</f>
        <v/>
      </c>
      <c r="O51" s="47" t="str">
        <f>IFERROR(VLOOKUP($A$1&amp;"-"&amp;ROW(AC50),基本資料填寫!$A:$DN,COLUMN(基本資料填寫!BZ51),0),"")</f>
        <v/>
      </c>
      <c r="P51" s="47" t="str">
        <f>IFERROR(VLOOKUP($A$1&amp;"-"&amp;ROW(AD50),基本資料填寫!$A:$DN,COLUMN(基本資料填寫!CA51),0),"")</f>
        <v/>
      </c>
      <c r="Q51" s="47" t="str">
        <f>IFERROR(VLOOKUP($A$1&amp;"-"&amp;ROW(J50),基本資料填寫!$A:$DN,COLUMN(基本資料填寫!AO51),0),"")</f>
        <v/>
      </c>
      <c r="R51" s="47" t="str">
        <f>IFERROR(VLOOKUP($A$1&amp;"-"&amp;ROW(AE50),基本資料填寫!$A:$DN,COLUMN(基本資料填寫!CB51),0),"")</f>
        <v/>
      </c>
      <c r="S51" s="47" t="str">
        <f>IFERROR(VLOOKUP($A$1&amp;"-"&amp;ROW(AF50),基本資料填寫!$A:$DN,COLUMN(基本資料填寫!CC51),0),"")</f>
        <v/>
      </c>
      <c r="T51" s="47" t="str">
        <f>IFERROR(VLOOKUP($A$1&amp;"-"&amp;ROW(AG50),基本資料填寫!$A:$DN,COLUMN(基本資料填寫!CD51),0),"")</f>
        <v/>
      </c>
      <c r="U51" s="47" t="str">
        <f>IFERROR(VLOOKUP($A$1&amp;"-"&amp;ROW(AH50),基本資料填寫!$A:$DN,COLUMN(基本資料填寫!CE51),0),"")</f>
        <v/>
      </c>
      <c r="V51" s="47" t="str">
        <f>IFERROR(VLOOKUP($A$1&amp;"-"&amp;ROW(AI50),基本資料填寫!$A:$DN,COLUMN(基本資料填寫!CF51),0),"")</f>
        <v/>
      </c>
      <c r="W51" s="47" t="str">
        <f>IFERROR(VLOOKUP($A$1&amp;"-"&amp;ROW(AJ50),基本資料填寫!$A:$DN,COLUMN(基本資料填寫!CG51),0),"")</f>
        <v/>
      </c>
      <c r="X51" s="47" t="str">
        <f>IFERROR(VLOOKUP($A$1&amp;"-"&amp;ROW(AK50),基本資料填寫!$A:$DN,COLUMN(基本資料填寫!CH51),0),"")</f>
        <v/>
      </c>
      <c r="Y51" s="47" t="str">
        <f>IFERROR(VLOOKUP($A$1&amp;"-"&amp;ROW(AL50),基本資料填寫!$A:$DN,COLUMN(基本資料填寫!CI51),0),"")</f>
        <v/>
      </c>
      <c r="Z51" s="47" t="str">
        <f>IFERROR(VLOOKUP($A$1&amp;"-"&amp;ROW(H50),基本資料填寫!$A:$DN,COLUMN(基本資料填寫!O51),0),"")</f>
        <v/>
      </c>
      <c r="AA51" s="47" t="str">
        <f>IFERROR(VLOOKUP($A$1&amp;"-"&amp;ROW(AM50),基本資料填寫!$A:$DN,COLUMN(基本資料填寫!CJ51),0),"")</f>
        <v/>
      </c>
      <c r="AB51" s="47" t="str">
        <f>IFERROR(VLOOKUP($A$1&amp;"-"&amp;ROW(AN50),基本資料填寫!$A:$DN,COLUMN(基本資料填寫!CK51),0),"")</f>
        <v/>
      </c>
      <c r="AC51" s="47" t="str">
        <f>IFERROR(VLOOKUP($A$1&amp;"-"&amp;ROW(AP50),基本資料填寫!$A:$DN,COLUMN(基本資料填寫!CN51),0),"")</f>
        <v/>
      </c>
      <c r="AD51" s="47" t="str">
        <f>IFERROR(VLOOKUP($A$1&amp;"-"&amp;ROW(AQ50),基本資料填寫!$A:$DN,COLUMN(基本資料填寫!CO51),0),"")</f>
        <v/>
      </c>
      <c r="AE51" s="47" t="str">
        <f>IFERROR(VLOOKUP($A$1&amp;"-"&amp;ROW(AR50),基本資料填寫!$A:$DN,COLUMN(基本資料填寫!CP51),0),"")</f>
        <v/>
      </c>
      <c r="AF51" s="47" t="str">
        <f>IFERROR(VLOOKUP($A$1&amp;"-"&amp;ROW(AS50),基本資料填寫!$A:$DN,COLUMN(基本資料填寫!CQ51),0),"")</f>
        <v/>
      </c>
      <c r="AG51" s="47" t="str">
        <f>IFERROR(VLOOKUP($A$1&amp;"-"&amp;ROW(AT50),基本資料填寫!$A:$DN,COLUMN(基本資料填寫!CR51),0),"")</f>
        <v/>
      </c>
      <c r="AH51" s="47" t="str">
        <f>IFERROR(VLOOKUP($A$1&amp;"-"&amp;ROW(AU50),基本資料填寫!$A:$DN,COLUMN(基本資料填寫!CS51),0),"")</f>
        <v/>
      </c>
      <c r="AI51" s="47" t="str">
        <f>IFERROR(VLOOKUP($A$1&amp;"-"&amp;ROW(P50),基本資料填寫!$A:$DN,COLUMN(基本資料填寫!X51),0),"")</f>
        <v/>
      </c>
      <c r="AJ51" s="47" t="str">
        <f>IFERROR(VLOOKUP($A$1&amp;"-"&amp;ROW(AV50),基本資料填寫!$A:$DN,COLUMN(基本資料填寫!CT51),0),"")</f>
        <v/>
      </c>
      <c r="AK51" s="47" t="str">
        <f>IFERROR(VLOOKUP($A$1&amp;"-"&amp;ROW(AC50),基本資料填寫!$A:$DN,COLUMN(基本資料填寫!AQ51),0),"")</f>
        <v/>
      </c>
      <c r="AL51" s="47" t="str">
        <f>IFERROR(VLOOKUP($A$1&amp;"-"&amp;ROW(AO50),基本資料填寫!$A:$DN,COLUMN(基本資料填寫!CM51),0),"")</f>
        <v/>
      </c>
      <c r="AM51" s="47" t="str">
        <f>IFERROR(VLOOKUP($A$1&amp;"-"&amp;ROW(AD50),基本資料填寫!$A:$DN,COLUMN(基本資料填寫!AR51),0),"")</f>
        <v/>
      </c>
      <c r="AN51" s="47" t="str">
        <f>IFERROR(VLOOKUP($A$1&amp;"-"&amp;ROW(K50),基本資料填寫!$A:$DN,COLUMN(基本資料填寫!AP51),0),"")</f>
        <v/>
      </c>
      <c r="AO51" s="47" t="str">
        <f>IFERROR(VLOOKUP($A$1&amp;"-"&amp;ROW(J50),基本資料填寫!$A:$DN,COLUMN(基本資料填寫!AO51),0),"")</f>
        <v/>
      </c>
      <c r="AP51" s="47" t="str">
        <f>IFERROR(VLOOKUP($A$1&amp;"-"&amp;ROW(AE50),基本資料填寫!$A:$DN,COLUMN(基本資料填寫!AS51),0),"")</f>
        <v/>
      </c>
      <c r="AQ51" s="47" t="str">
        <f>IFERROR(VLOOKUP($A$1&amp;"-"&amp;ROW(AF50),基本資料填寫!$A:$DN,COLUMN(基本資料填寫!AT51),0),"")</f>
        <v/>
      </c>
      <c r="AR51" s="47" t="str">
        <f>IFERROR(VLOOKUP($A$1&amp;"-"&amp;ROW(AG50),基本資料填寫!$A:$DN,COLUMN(基本資料填寫!AU51),0),"")</f>
        <v/>
      </c>
      <c r="AS51" s="47" t="str">
        <f>IFERROR(VLOOKUP($A$1&amp;"-"&amp;ROW(AH50),基本資料填寫!$A:$DN,COLUMN(基本資料填寫!AV51),0),"")</f>
        <v/>
      </c>
      <c r="AT51" s="47" t="str">
        <f>IFERROR(VLOOKUP($A$1&amp;"-"&amp;ROW(AI50),基本資料填寫!$A:$DN,COLUMN(基本資料填寫!AW51),0),"")</f>
        <v/>
      </c>
      <c r="AU51" s="47" t="str">
        <f>IFERROR(VLOOKUP($A$1&amp;"-"&amp;ROW(AJ50),基本資料填寫!$A:$DN,COLUMN(基本資料填寫!AX51),0),"")</f>
        <v/>
      </c>
      <c r="AV51" s="47" t="str">
        <f>IFERROR(VLOOKUP($A$1&amp;"-"&amp;ROW(AK50),基本資料填寫!$A:$DN,COLUMN(基本資料填寫!AY51),0),"")</f>
        <v/>
      </c>
      <c r="AW51" s="47" t="str">
        <f>IFERROR(VLOOKUP($A$1&amp;"-"&amp;ROW(AL50),基本資料填寫!$A:$DN,COLUMN(基本資料填寫!AZ51),0),"")</f>
        <v/>
      </c>
      <c r="AX51" s="47" t="str">
        <f>IFERROR(VLOOKUP($A$1&amp;"-"&amp;ROW(AM50),基本資料填寫!$A:$DN,COLUMN(基本資料填寫!BA51),0),"")</f>
        <v/>
      </c>
      <c r="AY51" s="47" t="str">
        <f>IFERROR(VLOOKUP($A$1&amp;"-"&amp;ROW(AN50),基本資料填寫!$A:$DN,COLUMN(基本資料填寫!BB51),0),"")</f>
        <v/>
      </c>
      <c r="AZ51" s="47" t="str">
        <f>IFERROR(VLOOKUP($A$1&amp;"-"&amp;ROW(AO50),基本資料填寫!$A:$DN,COLUMN(基本資料填寫!BC51),0),"")</f>
        <v/>
      </c>
      <c r="BA51" s="47" t="str">
        <f>IFERROR(VLOOKUP($A$1&amp;"-"&amp;ROW(AP50),基本資料填寫!$A:$DN,COLUMN(基本資料填寫!BD51),0),"")</f>
        <v/>
      </c>
      <c r="BB51" s="47" t="str">
        <f>IFERROR(VLOOKUP($A$1&amp;"-"&amp;ROW(AQ50),基本資料填寫!$A:$DN,COLUMN(基本資料填寫!BE51),0),"")</f>
        <v/>
      </c>
      <c r="BC51" s="47" t="str">
        <f>IFERROR(VLOOKUP($A$1&amp;"-"&amp;ROW(AR50),基本資料填寫!$A:$DN,COLUMN(基本資料填寫!BF51),0),"")</f>
        <v/>
      </c>
      <c r="BD51" s="47" t="str">
        <f>IFERROR(VLOOKUP($A$1&amp;"-"&amp;ROW(AS50),基本資料填寫!$A:$DN,COLUMN(基本資料填寫!BG51),0),"")</f>
        <v/>
      </c>
      <c r="BE51" s="47" t="str">
        <f>IFERROR(VLOOKUP($A$1&amp;"-"&amp;ROW(AT50),基本資料填寫!$A:$DN,COLUMN(基本資料填寫!BH51),0),"")</f>
        <v/>
      </c>
      <c r="BF51" s="47" t="str">
        <f>IFERROR(VLOOKUP($A$1&amp;"-"&amp;ROW(AU50),基本資料填寫!$A:$DN,COLUMN(基本資料填寫!BI51),0),"")</f>
        <v/>
      </c>
      <c r="BG51" s="47" t="str">
        <f>IFERROR(VLOOKUP($A$1&amp;"-"&amp;ROW(AV50),基本資料填寫!$A:$DN,COLUMN(基本資料填寫!BJ51),0),"")</f>
        <v/>
      </c>
      <c r="BH51" s="47" t="str">
        <f>IFERROR(VLOOKUP($A$1&amp;"-"&amp;ROW(AW50),基本資料填寫!$A:$DN,COLUMN(基本資料填寫!BK51),0),"")</f>
        <v/>
      </c>
      <c r="BI51" s="47" t="str">
        <f>IFERROR(VLOOKUP($A$1&amp;"-"&amp;ROW(AX50),基本資料填寫!$A:$DN,COLUMN(基本資料填寫!BL51),0),"")</f>
        <v/>
      </c>
      <c r="BJ51" s="47" t="str">
        <f>IFERROR(VLOOKUP($A$1&amp;"-"&amp;ROW(AY50),基本資料填寫!$A:$DN,COLUMN(基本資料填寫!BM51),0),"")</f>
        <v/>
      </c>
      <c r="BK51" s="47" t="str">
        <f>IFERROR(VLOOKUP($A$1&amp;"-"&amp;ROW(AZ50),基本資料填寫!$A:$DN,COLUMN(基本資料填寫!BN51),0),"")</f>
        <v/>
      </c>
      <c r="BL51" s="47" t="str">
        <f>IFERROR(VLOOKUP($A$1&amp;"-"&amp;ROW(BA50),基本資料填寫!$A:$DN,COLUMN(基本資料填寫!BO51),0),"")</f>
        <v/>
      </c>
      <c r="BM51" s="47" t="str">
        <f>IFERROR(VLOOKUP($A$1&amp;"-"&amp;ROW(BB50),基本資料填寫!$A:$DN,COLUMN(基本資料填寫!BP51),0),"")</f>
        <v/>
      </c>
      <c r="BN51" s="47" t="str">
        <f>IFERROR(VLOOKUP($A$1&amp;"-"&amp;ROW(BC50),基本資料填寫!$A:$DN,COLUMN(基本資料填寫!BQ51),0),"")</f>
        <v/>
      </c>
      <c r="BO51" s="47" t="str">
        <f>IFERROR(VLOOKUP($A$1&amp;"-"&amp;ROW(BD50),基本資料填寫!$A:$DN,COLUMN(基本資料填寫!BR51),0),"")</f>
        <v/>
      </c>
    </row>
    <row r="52" spans="2:67" x14ac:dyDescent="0.3">
      <c r="B52" s="47" t="str">
        <f>IFERROR(VLOOKUP($A$1&amp;"-"&amp;ROW(A51),基本資料填寫!$A:$DN,COLUMN(基本資料填寫!K52),0),"")</f>
        <v/>
      </c>
      <c r="C52" s="47" t="str">
        <f>IFERROR(VLOOKUP($A$1&amp;"-"&amp;ROW(B51),基本資料填寫!$A:$DN,COLUMN(基本資料填寫!L52),0),"")</f>
        <v/>
      </c>
      <c r="D52" s="47" t="str">
        <f>IF(E52="","",COUNTA($E$2:E52))</f>
        <v/>
      </c>
      <c r="E52" s="47" t="str">
        <f>IFERROR(VLOOKUP($A$1&amp;"-"&amp;ROW(E51),基本資料填寫!$A:$DN,COLUMN(基本資料填寫!S52),0),"")</f>
        <v/>
      </c>
      <c r="G52" s="47" t="str">
        <f>IFERROR(VLOOKUP($A$1&amp;"-"&amp;ROW(G51),基本資料填寫!$A:$DN,COLUMN(基本資料填寫!V52),0),"")</f>
        <v/>
      </c>
      <c r="H52" s="47" t="str">
        <f>IFERROR(VLOOKUP($A$1&amp;"-"&amp;ROW(BI51),基本資料填寫!$A:$DN,COLUMN(基本資料填寫!BW52),0),"")</f>
        <v/>
      </c>
      <c r="I52" s="47" t="str">
        <f>IFERROR(VLOOKUP($A$1&amp;"-"&amp;ROW(I51),基本資料填寫!$A:$DN,COLUMN(基本資料填寫!AN52),0),"")</f>
        <v/>
      </c>
      <c r="J52" s="47" t="str">
        <f>IFERROR(VLOOKUP($A$1&amp;"-"&amp;ROW(K51),基本資料填寫!$A:$DN,COLUMN(基本資料填寫!R52),0),"")</f>
        <v/>
      </c>
      <c r="K52" s="47" t="str">
        <f>IFERROR(VLOOKUP($A$1&amp;"-"&amp;ROW(AA51),基本資料填寫!$A:$DN,COLUMN(基本資料填寫!BX52),0),"")</f>
        <v/>
      </c>
      <c r="L52" s="47" t="str">
        <f>IFERROR(VLOOKUP($A$1&amp;"-"&amp;ROW(S51),基本資料填寫!$A:$DN,COLUMN(基本資料填寫!Z52),0),"")</f>
        <v/>
      </c>
      <c r="M52" s="47" t="str">
        <f>IFERROR(VLOOKUP($A$1&amp;"-"&amp;ROW(T51),基本資料填寫!$A:$DN,COLUMN(基本資料填寫!AA52),0),"")</f>
        <v/>
      </c>
      <c r="N52" s="47" t="str">
        <f>IFERROR(VLOOKUP($A$1&amp;"-"&amp;ROW(AB51),基本資料填寫!$A:$DN,COLUMN(基本資料填寫!BY52),0),"")</f>
        <v/>
      </c>
      <c r="O52" s="47" t="str">
        <f>IFERROR(VLOOKUP($A$1&amp;"-"&amp;ROW(AC51),基本資料填寫!$A:$DN,COLUMN(基本資料填寫!BZ52),0),"")</f>
        <v/>
      </c>
      <c r="P52" s="47" t="str">
        <f>IFERROR(VLOOKUP($A$1&amp;"-"&amp;ROW(AD51),基本資料填寫!$A:$DN,COLUMN(基本資料填寫!CA52),0),"")</f>
        <v/>
      </c>
      <c r="Q52" s="47" t="str">
        <f>IFERROR(VLOOKUP($A$1&amp;"-"&amp;ROW(J51),基本資料填寫!$A:$DN,COLUMN(基本資料填寫!AO52),0),"")</f>
        <v/>
      </c>
      <c r="R52" s="47" t="str">
        <f>IFERROR(VLOOKUP($A$1&amp;"-"&amp;ROW(AE51),基本資料填寫!$A:$DN,COLUMN(基本資料填寫!CB52),0),"")</f>
        <v/>
      </c>
      <c r="S52" s="47" t="str">
        <f>IFERROR(VLOOKUP($A$1&amp;"-"&amp;ROW(AF51),基本資料填寫!$A:$DN,COLUMN(基本資料填寫!CC52),0),"")</f>
        <v/>
      </c>
      <c r="T52" s="47" t="str">
        <f>IFERROR(VLOOKUP($A$1&amp;"-"&amp;ROW(AG51),基本資料填寫!$A:$DN,COLUMN(基本資料填寫!CD52),0),"")</f>
        <v/>
      </c>
      <c r="U52" s="47" t="str">
        <f>IFERROR(VLOOKUP($A$1&amp;"-"&amp;ROW(AH51),基本資料填寫!$A:$DN,COLUMN(基本資料填寫!CE52),0),"")</f>
        <v/>
      </c>
      <c r="V52" s="47" t="str">
        <f>IFERROR(VLOOKUP($A$1&amp;"-"&amp;ROW(AI51),基本資料填寫!$A:$DN,COLUMN(基本資料填寫!CF52),0),"")</f>
        <v/>
      </c>
      <c r="W52" s="47" t="str">
        <f>IFERROR(VLOOKUP($A$1&amp;"-"&amp;ROW(AJ51),基本資料填寫!$A:$DN,COLUMN(基本資料填寫!CG52),0),"")</f>
        <v/>
      </c>
      <c r="X52" s="47" t="str">
        <f>IFERROR(VLOOKUP($A$1&amp;"-"&amp;ROW(AK51),基本資料填寫!$A:$DN,COLUMN(基本資料填寫!CH52),0),"")</f>
        <v/>
      </c>
      <c r="Y52" s="47" t="str">
        <f>IFERROR(VLOOKUP($A$1&amp;"-"&amp;ROW(AL51),基本資料填寫!$A:$DN,COLUMN(基本資料填寫!CI52),0),"")</f>
        <v/>
      </c>
      <c r="Z52" s="47" t="str">
        <f>IFERROR(VLOOKUP($A$1&amp;"-"&amp;ROW(H51),基本資料填寫!$A:$DN,COLUMN(基本資料填寫!O52),0),"")</f>
        <v/>
      </c>
      <c r="AA52" s="47" t="str">
        <f>IFERROR(VLOOKUP($A$1&amp;"-"&amp;ROW(AM51),基本資料填寫!$A:$DN,COLUMN(基本資料填寫!CJ52),0),"")</f>
        <v/>
      </c>
      <c r="AB52" s="47" t="str">
        <f>IFERROR(VLOOKUP($A$1&amp;"-"&amp;ROW(AN51),基本資料填寫!$A:$DN,COLUMN(基本資料填寫!CK52),0),"")</f>
        <v/>
      </c>
      <c r="AC52" s="47" t="str">
        <f>IFERROR(VLOOKUP($A$1&amp;"-"&amp;ROW(AP51),基本資料填寫!$A:$DN,COLUMN(基本資料填寫!CN52),0),"")</f>
        <v/>
      </c>
      <c r="AD52" s="47" t="str">
        <f>IFERROR(VLOOKUP($A$1&amp;"-"&amp;ROW(AQ51),基本資料填寫!$A:$DN,COLUMN(基本資料填寫!CO52),0),"")</f>
        <v/>
      </c>
      <c r="AE52" s="47" t="str">
        <f>IFERROR(VLOOKUP($A$1&amp;"-"&amp;ROW(AR51),基本資料填寫!$A:$DN,COLUMN(基本資料填寫!CP52),0),"")</f>
        <v/>
      </c>
      <c r="AF52" s="47" t="str">
        <f>IFERROR(VLOOKUP($A$1&amp;"-"&amp;ROW(AS51),基本資料填寫!$A:$DN,COLUMN(基本資料填寫!CQ52),0),"")</f>
        <v/>
      </c>
      <c r="AG52" s="47" t="str">
        <f>IFERROR(VLOOKUP($A$1&amp;"-"&amp;ROW(AT51),基本資料填寫!$A:$DN,COLUMN(基本資料填寫!CR52),0),"")</f>
        <v/>
      </c>
      <c r="AH52" s="47" t="str">
        <f>IFERROR(VLOOKUP($A$1&amp;"-"&amp;ROW(AU51),基本資料填寫!$A:$DN,COLUMN(基本資料填寫!CS52),0),"")</f>
        <v/>
      </c>
      <c r="AI52" s="47" t="str">
        <f>IFERROR(VLOOKUP($A$1&amp;"-"&amp;ROW(P51),基本資料填寫!$A:$DN,COLUMN(基本資料填寫!X52),0),"")</f>
        <v/>
      </c>
      <c r="AJ52" s="47" t="str">
        <f>IFERROR(VLOOKUP($A$1&amp;"-"&amp;ROW(AV51),基本資料填寫!$A:$DN,COLUMN(基本資料填寫!CT52),0),"")</f>
        <v/>
      </c>
      <c r="AK52" s="47" t="str">
        <f>IFERROR(VLOOKUP($A$1&amp;"-"&amp;ROW(AC51),基本資料填寫!$A:$DN,COLUMN(基本資料填寫!AQ52),0),"")</f>
        <v/>
      </c>
      <c r="AL52" s="47" t="str">
        <f>IFERROR(VLOOKUP($A$1&amp;"-"&amp;ROW(AO51),基本資料填寫!$A:$DN,COLUMN(基本資料填寫!CM52),0),"")</f>
        <v/>
      </c>
      <c r="AM52" s="47" t="str">
        <f>IFERROR(VLOOKUP($A$1&amp;"-"&amp;ROW(AD51),基本資料填寫!$A:$DN,COLUMN(基本資料填寫!AR52),0),"")</f>
        <v/>
      </c>
      <c r="AN52" s="47" t="str">
        <f>IFERROR(VLOOKUP($A$1&amp;"-"&amp;ROW(K51),基本資料填寫!$A:$DN,COLUMN(基本資料填寫!AP52),0),"")</f>
        <v/>
      </c>
      <c r="AO52" s="47" t="str">
        <f>IFERROR(VLOOKUP($A$1&amp;"-"&amp;ROW(J51),基本資料填寫!$A:$DN,COLUMN(基本資料填寫!AO52),0),"")</f>
        <v/>
      </c>
      <c r="AP52" s="47" t="str">
        <f>IFERROR(VLOOKUP($A$1&amp;"-"&amp;ROW(AE51),基本資料填寫!$A:$DN,COLUMN(基本資料填寫!AS52),0),"")</f>
        <v/>
      </c>
      <c r="AQ52" s="47" t="str">
        <f>IFERROR(VLOOKUP($A$1&amp;"-"&amp;ROW(AF51),基本資料填寫!$A:$DN,COLUMN(基本資料填寫!AT52),0),"")</f>
        <v/>
      </c>
      <c r="AR52" s="47" t="str">
        <f>IFERROR(VLOOKUP($A$1&amp;"-"&amp;ROW(AG51),基本資料填寫!$A:$DN,COLUMN(基本資料填寫!AU52),0),"")</f>
        <v/>
      </c>
      <c r="AS52" s="47" t="str">
        <f>IFERROR(VLOOKUP($A$1&amp;"-"&amp;ROW(AH51),基本資料填寫!$A:$DN,COLUMN(基本資料填寫!AV52),0),"")</f>
        <v/>
      </c>
      <c r="AT52" s="47" t="str">
        <f>IFERROR(VLOOKUP($A$1&amp;"-"&amp;ROW(AI51),基本資料填寫!$A:$DN,COLUMN(基本資料填寫!AW52),0),"")</f>
        <v/>
      </c>
      <c r="AU52" s="47" t="str">
        <f>IFERROR(VLOOKUP($A$1&amp;"-"&amp;ROW(AJ51),基本資料填寫!$A:$DN,COLUMN(基本資料填寫!AX52),0),"")</f>
        <v/>
      </c>
      <c r="AV52" s="47" t="str">
        <f>IFERROR(VLOOKUP($A$1&amp;"-"&amp;ROW(AK51),基本資料填寫!$A:$DN,COLUMN(基本資料填寫!AY52),0),"")</f>
        <v/>
      </c>
      <c r="AW52" s="47" t="str">
        <f>IFERROR(VLOOKUP($A$1&amp;"-"&amp;ROW(AL51),基本資料填寫!$A:$DN,COLUMN(基本資料填寫!AZ52),0),"")</f>
        <v/>
      </c>
      <c r="AX52" s="47" t="str">
        <f>IFERROR(VLOOKUP($A$1&amp;"-"&amp;ROW(AM51),基本資料填寫!$A:$DN,COLUMN(基本資料填寫!BA52),0),"")</f>
        <v/>
      </c>
      <c r="AY52" s="47" t="str">
        <f>IFERROR(VLOOKUP($A$1&amp;"-"&amp;ROW(AN51),基本資料填寫!$A:$DN,COLUMN(基本資料填寫!BB52),0),"")</f>
        <v/>
      </c>
      <c r="AZ52" s="47" t="str">
        <f>IFERROR(VLOOKUP($A$1&amp;"-"&amp;ROW(AO51),基本資料填寫!$A:$DN,COLUMN(基本資料填寫!BC52),0),"")</f>
        <v/>
      </c>
      <c r="BA52" s="47" t="str">
        <f>IFERROR(VLOOKUP($A$1&amp;"-"&amp;ROW(AP51),基本資料填寫!$A:$DN,COLUMN(基本資料填寫!BD52),0),"")</f>
        <v/>
      </c>
      <c r="BB52" s="47" t="str">
        <f>IFERROR(VLOOKUP($A$1&amp;"-"&amp;ROW(AQ51),基本資料填寫!$A:$DN,COLUMN(基本資料填寫!BE52),0),"")</f>
        <v/>
      </c>
      <c r="BC52" s="47" t="str">
        <f>IFERROR(VLOOKUP($A$1&amp;"-"&amp;ROW(AR51),基本資料填寫!$A:$DN,COLUMN(基本資料填寫!BF52),0),"")</f>
        <v/>
      </c>
      <c r="BD52" s="47" t="str">
        <f>IFERROR(VLOOKUP($A$1&amp;"-"&amp;ROW(AS51),基本資料填寫!$A:$DN,COLUMN(基本資料填寫!BG52),0),"")</f>
        <v/>
      </c>
      <c r="BE52" s="47" t="str">
        <f>IFERROR(VLOOKUP($A$1&amp;"-"&amp;ROW(AT51),基本資料填寫!$A:$DN,COLUMN(基本資料填寫!BH52),0),"")</f>
        <v/>
      </c>
      <c r="BF52" s="47" t="str">
        <f>IFERROR(VLOOKUP($A$1&amp;"-"&amp;ROW(AU51),基本資料填寫!$A:$DN,COLUMN(基本資料填寫!BI52),0),"")</f>
        <v/>
      </c>
      <c r="BG52" s="47" t="str">
        <f>IFERROR(VLOOKUP($A$1&amp;"-"&amp;ROW(AV51),基本資料填寫!$A:$DN,COLUMN(基本資料填寫!BJ52),0),"")</f>
        <v/>
      </c>
      <c r="BH52" s="47" t="str">
        <f>IFERROR(VLOOKUP($A$1&amp;"-"&amp;ROW(AW51),基本資料填寫!$A:$DN,COLUMN(基本資料填寫!BK52),0),"")</f>
        <v/>
      </c>
      <c r="BI52" s="47" t="str">
        <f>IFERROR(VLOOKUP($A$1&amp;"-"&amp;ROW(AX51),基本資料填寫!$A:$DN,COLUMN(基本資料填寫!BL52),0),"")</f>
        <v/>
      </c>
      <c r="BJ52" s="47" t="str">
        <f>IFERROR(VLOOKUP($A$1&amp;"-"&amp;ROW(AY51),基本資料填寫!$A:$DN,COLUMN(基本資料填寫!BM52),0),"")</f>
        <v/>
      </c>
      <c r="BK52" s="47" t="str">
        <f>IFERROR(VLOOKUP($A$1&amp;"-"&amp;ROW(AZ51),基本資料填寫!$A:$DN,COLUMN(基本資料填寫!BN52),0),"")</f>
        <v/>
      </c>
      <c r="BL52" s="47" t="str">
        <f>IFERROR(VLOOKUP($A$1&amp;"-"&amp;ROW(BA51),基本資料填寫!$A:$DN,COLUMN(基本資料填寫!BO52),0),"")</f>
        <v/>
      </c>
      <c r="BM52" s="47" t="str">
        <f>IFERROR(VLOOKUP($A$1&amp;"-"&amp;ROW(BB51),基本資料填寫!$A:$DN,COLUMN(基本資料填寫!BP52),0),"")</f>
        <v/>
      </c>
      <c r="BN52" s="47" t="str">
        <f>IFERROR(VLOOKUP($A$1&amp;"-"&amp;ROW(BC51),基本資料填寫!$A:$DN,COLUMN(基本資料填寫!BQ52),0),"")</f>
        <v/>
      </c>
      <c r="BO52" s="47" t="str">
        <f>IFERROR(VLOOKUP($A$1&amp;"-"&amp;ROW(BD51),基本資料填寫!$A:$DN,COLUMN(基本資料填寫!BR52),0),"")</f>
        <v/>
      </c>
    </row>
    <row r="53" spans="2:67" x14ac:dyDescent="0.3">
      <c r="B53" s="47" t="str">
        <f>IFERROR(VLOOKUP($A$1&amp;"-"&amp;ROW(A52),基本資料填寫!$A:$DN,COLUMN(基本資料填寫!K53),0),"")</f>
        <v/>
      </c>
      <c r="C53" s="47" t="str">
        <f>IFERROR(VLOOKUP($A$1&amp;"-"&amp;ROW(B52),基本資料填寫!$A:$DN,COLUMN(基本資料填寫!L53),0),"")</f>
        <v/>
      </c>
      <c r="D53" s="47" t="str">
        <f>IF(E53="","",COUNTA($E$2:E53))</f>
        <v/>
      </c>
      <c r="E53" s="47" t="str">
        <f>IFERROR(VLOOKUP($A$1&amp;"-"&amp;ROW(E52),基本資料填寫!$A:$DN,COLUMN(基本資料填寫!S53),0),"")</f>
        <v/>
      </c>
      <c r="G53" s="47" t="str">
        <f>IFERROR(VLOOKUP($A$1&amp;"-"&amp;ROW(G52),基本資料填寫!$A:$DN,COLUMN(基本資料填寫!V53),0),"")</f>
        <v/>
      </c>
      <c r="H53" s="47" t="str">
        <f>IFERROR(VLOOKUP($A$1&amp;"-"&amp;ROW(BI52),基本資料填寫!$A:$DN,COLUMN(基本資料填寫!BW53),0),"")</f>
        <v/>
      </c>
      <c r="I53" s="47" t="str">
        <f>IFERROR(VLOOKUP($A$1&amp;"-"&amp;ROW(I52),基本資料填寫!$A:$DN,COLUMN(基本資料填寫!AN53),0),"")</f>
        <v/>
      </c>
      <c r="J53" s="47" t="str">
        <f>IFERROR(VLOOKUP($A$1&amp;"-"&amp;ROW(K52),基本資料填寫!$A:$DN,COLUMN(基本資料填寫!R53),0),"")</f>
        <v/>
      </c>
      <c r="K53" s="47" t="str">
        <f>IFERROR(VLOOKUP($A$1&amp;"-"&amp;ROW(AA52),基本資料填寫!$A:$DN,COLUMN(基本資料填寫!BX53),0),"")</f>
        <v/>
      </c>
      <c r="L53" s="47" t="str">
        <f>IFERROR(VLOOKUP($A$1&amp;"-"&amp;ROW(S52),基本資料填寫!$A:$DN,COLUMN(基本資料填寫!Z53),0),"")</f>
        <v/>
      </c>
      <c r="M53" s="47" t="str">
        <f>IFERROR(VLOOKUP($A$1&amp;"-"&amp;ROW(T52),基本資料填寫!$A:$DN,COLUMN(基本資料填寫!AA53),0),"")</f>
        <v/>
      </c>
      <c r="N53" s="47" t="str">
        <f>IFERROR(VLOOKUP($A$1&amp;"-"&amp;ROW(AB52),基本資料填寫!$A:$DN,COLUMN(基本資料填寫!BY53),0),"")</f>
        <v/>
      </c>
      <c r="O53" s="47" t="str">
        <f>IFERROR(VLOOKUP($A$1&amp;"-"&amp;ROW(AC52),基本資料填寫!$A:$DN,COLUMN(基本資料填寫!BZ53),0),"")</f>
        <v/>
      </c>
      <c r="P53" s="47" t="str">
        <f>IFERROR(VLOOKUP($A$1&amp;"-"&amp;ROW(AD52),基本資料填寫!$A:$DN,COLUMN(基本資料填寫!CA53),0),"")</f>
        <v/>
      </c>
      <c r="Q53" s="47" t="str">
        <f>IFERROR(VLOOKUP($A$1&amp;"-"&amp;ROW(J52),基本資料填寫!$A:$DN,COLUMN(基本資料填寫!AO53),0),"")</f>
        <v/>
      </c>
      <c r="R53" s="47" t="str">
        <f>IFERROR(VLOOKUP($A$1&amp;"-"&amp;ROW(AE52),基本資料填寫!$A:$DN,COLUMN(基本資料填寫!CB53),0),"")</f>
        <v/>
      </c>
      <c r="S53" s="47" t="str">
        <f>IFERROR(VLOOKUP($A$1&amp;"-"&amp;ROW(AF52),基本資料填寫!$A:$DN,COLUMN(基本資料填寫!CC53),0),"")</f>
        <v/>
      </c>
      <c r="T53" s="47" t="str">
        <f>IFERROR(VLOOKUP($A$1&amp;"-"&amp;ROW(AG52),基本資料填寫!$A:$DN,COLUMN(基本資料填寫!CD53),0),"")</f>
        <v/>
      </c>
      <c r="U53" s="47" t="str">
        <f>IFERROR(VLOOKUP($A$1&amp;"-"&amp;ROW(AH52),基本資料填寫!$A:$DN,COLUMN(基本資料填寫!CE53),0),"")</f>
        <v/>
      </c>
      <c r="V53" s="47" t="str">
        <f>IFERROR(VLOOKUP($A$1&amp;"-"&amp;ROW(AI52),基本資料填寫!$A:$DN,COLUMN(基本資料填寫!CF53),0),"")</f>
        <v/>
      </c>
      <c r="W53" s="47" t="str">
        <f>IFERROR(VLOOKUP($A$1&amp;"-"&amp;ROW(AJ52),基本資料填寫!$A:$DN,COLUMN(基本資料填寫!CG53),0),"")</f>
        <v/>
      </c>
      <c r="X53" s="47" t="str">
        <f>IFERROR(VLOOKUP($A$1&amp;"-"&amp;ROW(AK52),基本資料填寫!$A:$DN,COLUMN(基本資料填寫!CH53),0),"")</f>
        <v/>
      </c>
      <c r="Y53" s="47" t="str">
        <f>IFERROR(VLOOKUP($A$1&amp;"-"&amp;ROW(AL52),基本資料填寫!$A:$DN,COLUMN(基本資料填寫!CI53),0),"")</f>
        <v/>
      </c>
      <c r="Z53" s="47" t="str">
        <f>IFERROR(VLOOKUP($A$1&amp;"-"&amp;ROW(H52),基本資料填寫!$A:$DN,COLUMN(基本資料填寫!O53),0),"")</f>
        <v/>
      </c>
      <c r="AA53" s="47" t="str">
        <f>IFERROR(VLOOKUP($A$1&amp;"-"&amp;ROW(AM52),基本資料填寫!$A:$DN,COLUMN(基本資料填寫!CJ53),0),"")</f>
        <v/>
      </c>
      <c r="AB53" s="47" t="str">
        <f>IFERROR(VLOOKUP($A$1&amp;"-"&amp;ROW(AN52),基本資料填寫!$A:$DN,COLUMN(基本資料填寫!CK53),0),"")</f>
        <v/>
      </c>
      <c r="AC53" s="47" t="str">
        <f>IFERROR(VLOOKUP($A$1&amp;"-"&amp;ROW(AP52),基本資料填寫!$A:$DN,COLUMN(基本資料填寫!CN53),0),"")</f>
        <v/>
      </c>
      <c r="AD53" s="47" t="str">
        <f>IFERROR(VLOOKUP($A$1&amp;"-"&amp;ROW(AQ52),基本資料填寫!$A:$DN,COLUMN(基本資料填寫!CO53),0),"")</f>
        <v/>
      </c>
      <c r="AE53" s="47" t="str">
        <f>IFERROR(VLOOKUP($A$1&amp;"-"&amp;ROW(AR52),基本資料填寫!$A:$DN,COLUMN(基本資料填寫!CP53),0),"")</f>
        <v/>
      </c>
      <c r="AF53" s="47" t="str">
        <f>IFERROR(VLOOKUP($A$1&amp;"-"&amp;ROW(AS52),基本資料填寫!$A:$DN,COLUMN(基本資料填寫!CQ53),0),"")</f>
        <v/>
      </c>
      <c r="AG53" s="47" t="str">
        <f>IFERROR(VLOOKUP($A$1&amp;"-"&amp;ROW(AT52),基本資料填寫!$A:$DN,COLUMN(基本資料填寫!CR53),0),"")</f>
        <v/>
      </c>
      <c r="AH53" s="47" t="str">
        <f>IFERROR(VLOOKUP($A$1&amp;"-"&amp;ROW(AU52),基本資料填寫!$A:$DN,COLUMN(基本資料填寫!CS53),0),"")</f>
        <v/>
      </c>
      <c r="AI53" s="47" t="str">
        <f>IFERROR(VLOOKUP($A$1&amp;"-"&amp;ROW(P52),基本資料填寫!$A:$DN,COLUMN(基本資料填寫!X53),0),"")</f>
        <v/>
      </c>
      <c r="AJ53" s="47" t="str">
        <f>IFERROR(VLOOKUP($A$1&amp;"-"&amp;ROW(AV52),基本資料填寫!$A:$DN,COLUMN(基本資料填寫!CT53),0),"")</f>
        <v/>
      </c>
      <c r="AK53" s="47" t="str">
        <f>IFERROR(VLOOKUP($A$1&amp;"-"&amp;ROW(AC52),基本資料填寫!$A:$DN,COLUMN(基本資料填寫!AQ53),0),"")</f>
        <v/>
      </c>
      <c r="AL53" s="47" t="str">
        <f>IFERROR(VLOOKUP($A$1&amp;"-"&amp;ROW(AO52),基本資料填寫!$A:$DN,COLUMN(基本資料填寫!CM53),0),"")</f>
        <v/>
      </c>
      <c r="AM53" s="47" t="str">
        <f>IFERROR(VLOOKUP($A$1&amp;"-"&amp;ROW(AD52),基本資料填寫!$A:$DN,COLUMN(基本資料填寫!AR53),0),"")</f>
        <v/>
      </c>
      <c r="AN53" s="47" t="str">
        <f>IFERROR(VLOOKUP($A$1&amp;"-"&amp;ROW(K52),基本資料填寫!$A:$DN,COLUMN(基本資料填寫!AP53),0),"")</f>
        <v/>
      </c>
      <c r="AO53" s="47" t="str">
        <f>IFERROR(VLOOKUP($A$1&amp;"-"&amp;ROW(J52),基本資料填寫!$A:$DN,COLUMN(基本資料填寫!AO53),0),"")</f>
        <v/>
      </c>
      <c r="AP53" s="47" t="str">
        <f>IFERROR(VLOOKUP($A$1&amp;"-"&amp;ROW(AE52),基本資料填寫!$A:$DN,COLUMN(基本資料填寫!AS53),0),"")</f>
        <v/>
      </c>
      <c r="AQ53" s="47" t="str">
        <f>IFERROR(VLOOKUP($A$1&amp;"-"&amp;ROW(AF52),基本資料填寫!$A:$DN,COLUMN(基本資料填寫!AT53),0),"")</f>
        <v/>
      </c>
      <c r="AR53" s="47" t="str">
        <f>IFERROR(VLOOKUP($A$1&amp;"-"&amp;ROW(AG52),基本資料填寫!$A:$DN,COLUMN(基本資料填寫!AU53),0),"")</f>
        <v/>
      </c>
      <c r="AS53" s="47" t="str">
        <f>IFERROR(VLOOKUP($A$1&amp;"-"&amp;ROW(AH52),基本資料填寫!$A:$DN,COLUMN(基本資料填寫!AV53),0),"")</f>
        <v/>
      </c>
      <c r="AT53" s="47" t="str">
        <f>IFERROR(VLOOKUP($A$1&amp;"-"&amp;ROW(AI52),基本資料填寫!$A:$DN,COLUMN(基本資料填寫!AW53),0),"")</f>
        <v/>
      </c>
      <c r="AU53" s="47" t="str">
        <f>IFERROR(VLOOKUP($A$1&amp;"-"&amp;ROW(AJ52),基本資料填寫!$A:$DN,COLUMN(基本資料填寫!AX53),0),"")</f>
        <v/>
      </c>
      <c r="AV53" s="47" t="str">
        <f>IFERROR(VLOOKUP($A$1&amp;"-"&amp;ROW(AK52),基本資料填寫!$A:$DN,COLUMN(基本資料填寫!AY53),0),"")</f>
        <v/>
      </c>
      <c r="AW53" s="47" t="str">
        <f>IFERROR(VLOOKUP($A$1&amp;"-"&amp;ROW(AL52),基本資料填寫!$A:$DN,COLUMN(基本資料填寫!AZ53),0),"")</f>
        <v/>
      </c>
      <c r="AX53" s="47" t="str">
        <f>IFERROR(VLOOKUP($A$1&amp;"-"&amp;ROW(AM52),基本資料填寫!$A:$DN,COLUMN(基本資料填寫!BA53),0),"")</f>
        <v/>
      </c>
      <c r="AY53" s="47" t="str">
        <f>IFERROR(VLOOKUP($A$1&amp;"-"&amp;ROW(AN52),基本資料填寫!$A:$DN,COLUMN(基本資料填寫!BB53),0),"")</f>
        <v/>
      </c>
      <c r="AZ53" s="47" t="str">
        <f>IFERROR(VLOOKUP($A$1&amp;"-"&amp;ROW(AO52),基本資料填寫!$A:$DN,COLUMN(基本資料填寫!BC53),0),"")</f>
        <v/>
      </c>
      <c r="BA53" s="47" t="str">
        <f>IFERROR(VLOOKUP($A$1&amp;"-"&amp;ROW(AP52),基本資料填寫!$A:$DN,COLUMN(基本資料填寫!BD53),0),"")</f>
        <v/>
      </c>
      <c r="BB53" s="47" t="str">
        <f>IFERROR(VLOOKUP($A$1&amp;"-"&amp;ROW(AQ52),基本資料填寫!$A:$DN,COLUMN(基本資料填寫!BE53),0),"")</f>
        <v/>
      </c>
      <c r="BC53" s="47" t="str">
        <f>IFERROR(VLOOKUP($A$1&amp;"-"&amp;ROW(AR52),基本資料填寫!$A:$DN,COLUMN(基本資料填寫!BF53),0),"")</f>
        <v/>
      </c>
      <c r="BD53" s="47" t="str">
        <f>IFERROR(VLOOKUP($A$1&amp;"-"&amp;ROW(AS52),基本資料填寫!$A:$DN,COLUMN(基本資料填寫!BG53),0),"")</f>
        <v/>
      </c>
      <c r="BE53" s="47" t="str">
        <f>IFERROR(VLOOKUP($A$1&amp;"-"&amp;ROW(AT52),基本資料填寫!$A:$DN,COLUMN(基本資料填寫!BH53),0),"")</f>
        <v/>
      </c>
      <c r="BF53" s="47" t="str">
        <f>IFERROR(VLOOKUP($A$1&amp;"-"&amp;ROW(AU52),基本資料填寫!$A:$DN,COLUMN(基本資料填寫!BI53),0),"")</f>
        <v/>
      </c>
      <c r="BG53" s="47" t="str">
        <f>IFERROR(VLOOKUP($A$1&amp;"-"&amp;ROW(AV52),基本資料填寫!$A:$DN,COLUMN(基本資料填寫!BJ53),0),"")</f>
        <v/>
      </c>
      <c r="BH53" s="47" t="str">
        <f>IFERROR(VLOOKUP($A$1&amp;"-"&amp;ROW(AW52),基本資料填寫!$A:$DN,COLUMN(基本資料填寫!BK53),0),"")</f>
        <v/>
      </c>
      <c r="BI53" s="47" t="str">
        <f>IFERROR(VLOOKUP($A$1&amp;"-"&amp;ROW(AX52),基本資料填寫!$A:$DN,COLUMN(基本資料填寫!BL53),0),"")</f>
        <v/>
      </c>
      <c r="BJ53" s="47" t="str">
        <f>IFERROR(VLOOKUP($A$1&amp;"-"&amp;ROW(AY52),基本資料填寫!$A:$DN,COLUMN(基本資料填寫!BM53),0),"")</f>
        <v/>
      </c>
      <c r="BK53" s="47" t="str">
        <f>IFERROR(VLOOKUP($A$1&amp;"-"&amp;ROW(AZ52),基本資料填寫!$A:$DN,COLUMN(基本資料填寫!BN53),0),"")</f>
        <v/>
      </c>
      <c r="BL53" s="47" t="str">
        <f>IFERROR(VLOOKUP($A$1&amp;"-"&amp;ROW(BA52),基本資料填寫!$A:$DN,COLUMN(基本資料填寫!BO53),0),"")</f>
        <v/>
      </c>
      <c r="BM53" s="47" t="str">
        <f>IFERROR(VLOOKUP($A$1&amp;"-"&amp;ROW(BB52),基本資料填寫!$A:$DN,COLUMN(基本資料填寫!BP53),0),"")</f>
        <v/>
      </c>
      <c r="BN53" s="47" t="str">
        <f>IFERROR(VLOOKUP($A$1&amp;"-"&amp;ROW(BC52),基本資料填寫!$A:$DN,COLUMN(基本資料填寫!BQ53),0),"")</f>
        <v/>
      </c>
      <c r="BO53" s="47" t="str">
        <f>IFERROR(VLOOKUP($A$1&amp;"-"&amp;ROW(BD52),基本資料填寫!$A:$DN,COLUMN(基本資料填寫!BR53),0),"")</f>
        <v/>
      </c>
    </row>
    <row r="54" spans="2:67" x14ac:dyDescent="0.3">
      <c r="B54" s="47" t="str">
        <f>IFERROR(VLOOKUP($A$1&amp;"-"&amp;ROW(A53),基本資料填寫!$A:$DN,COLUMN(基本資料填寫!K54),0),"")</f>
        <v/>
      </c>
      <c r="C54" s="47" t="str">
        <f>IFERROR(VLOOKUP($A$1&amp;"-"&amp;ROW(B53),基本資料填寫!$A:$DN,COLUMN(基本資料填寫!L54),0),"")</f>
        <v/>
      </c>
      <c r="D54" s="47" t="str">
        <f>IF(E54="","",COUNTA($E$2:E54))</f>
        <v/>
      </c>
      <c r="E54" s="47" t="str">
        <f>IFERROR(VLOOKUP($A$1&amp;"-"&amp;ROW(E53),基本資料填寫!$A:$DN,COLUMN(基本資料填寫!S54),0),"")</f>
        <v/>
      </c>
      <c r="G54" s="47" t="str">
        <f>IFERROR(VLOOKUP($A$1&amp;"-"&amp;ROW(G53),基本資料填寫!$A:$DN,COLUMN(基本資料填寫!V54),0),"")</f>
        <v/>
      </c>
      <c r="H54" s="47" t="str">
        <f>IFERROR(VLOOKUP($A$1&amp;"-"&amp;ROW(BI53),基本資料填寫!$A:$DN,COLUMN(基本資料填寫!BW54),0),"")</f>
        <v/>
      </c>
      <c r="I54" s="47" t="str">
        <f>IFERROR(VLOOKUP($A$1&amp;"-"&amp;ROW(I53),基本資料填寫!$A:$DN,COLUMN(基本資料填寫!AN54),0),"")</f>
        <v/>
      </c>
      <c r="J54" s="47" t="str">
        <f>IFERROR(VLOOKUP($A$1&amp;"-"&amp;ROW(K53),基本資料填寫!$A:$DN,COLUMN(基本資料填寫!R54),0),"")</f>
        <v/>
      </c>
      <c r="K54" s="47" t="str">
        <f>IFERROR(VLOOKUP($A$1&amp;"-"&amp;ROW(AA53),基本資料填寫!$A:$DN,COLUMN(基本資料填寫!BX54),0),"")</f>
        <v/>
      </c>
      <c r="L54" s="47" t="str">
        <f>IFERROR(VLOOKUP($A$1&amp;"-"&amp;ROW(S53),基本資料填寫!$A:$DN,COLUMN(基本資料填寫!Z54),0),"")</f>
        <v/>
      </c>
      <c r="M54" s="47" t="str">
        <f>IFERROR(VLOOKUP($A$1&amp;"-"&amp;ROW(T53),基本資料填寫!$A:$DN,COLUMN(基本資料填寫!AA54),0),"")</f>
        <v/>
      </c>
      <c r="N54" s="47" t="str">
        <f>IFERROR(VLOOKUP($A$1&amp;"-"&amp;ROW(AB53),基本資料填寫!$A:$DN,COLUMN(基本資料填寫!BY54),0),"")</f>
        <v/>
      </c>
      <c r="O54" s="47" t="str">
        <f>IFERROR(VLOOKUP($A$1&amp;"-"&amp;ROW(AC53),基本資料填寫!$A:$DN,COLUMN(基本資料填寫!BZ54),0),"")</f>
        <v/>
      </c>
      <c r="P54" s="47" t="str">
        <f>IFERROR(VLOOKUP($A$1&amp;"-"&amp;ROW(AD53),基本資料填寫!$A:$DN,COLUMN(基本資料填寫!CA54),0),"")</f>
        <v/>
      </c>
      <c r="Q54" s="47" t="str">
        <f>IFERROR(VLOOKUP($A$1&amp;"-"&amp;ROW(J53),基本資料填寫!$A:$DN,COLUMN(基本資料填寫!AO54),0),"")</f>
        <v/>
      </c>
      <c r="R54" s="47" t="str">
        <f>IFERROR(VLOOKUP($A$1&amp;"-"&amp;ROW(AE53),基本資料填寫!$A:$DN,COLUMN(基本資料填寫!CB54),0),"")</f>
        <v/>
      </c>
      <c r="S54" s="47" t="str">
        <f>IFERROR(VLOOKUP($A$1&amp;"-"&amp;ROW(AF53),基本資料填寫!$A:$DN,COLUMN(基本資料填寫!CC54),0),"")</f>
        <v/>
      </c>
      <c r="T54" s="47" t="str">
        <f>IFERROR(VLOOKUP($A$1&amp;"-"&amp;ROW(AG53),基本資料填寫!$A:$DN,COLUMN(基本資料填寫!CD54),0),"")</f>
        <v/>
      </c>
      <c r="U54" s="47" t="str">
        <f>IFERROR(VLOOKUP($A$1&amp;"-"&amp;ROW(AH53),基本資料填寫!$A:$DN,COLUMN(基本資料填寫!CE54),0),"")</f>
        <v/>
      </c>
      <c r="V54" s="47" t="str">
        <f>IFERROR(VLOOKUP($A$1&amp;"-"&amp;ROW(AI53),基本資料填寫!$A:$DN,COLUMN(基本資料填寫!CF54),0),"")</f>
        <v/>
      </c>
      <c r="W54" s="47" t="str">
        <f>IFERROR(VLOOKUP($A$1&amp;"-"&amp;ROW(AJ53),基本資料填寫!$A:$DN,COLUMN(基本資料填寫!CG54),0),"")</f>
        <v/>
      </c>
      <c r="X54" s="47" t="str">
        <f>IFERROR(VLOOKUP($A$1&amp;"-"&amp;ROW(AK53),基本資料填寫!$A:$DN,COLUMN(基本資料填寫!CH54),0),"")</f>
        <v/>
      </c>
      <c r="Y54" s="47" t="str">
        <f>IFERROR(VLOOKUP($A$1&amp;"-"&amp;ROW(AL53),基本資料填寫!$A:$DN,COLUMN(基本資料填寫!CI54),0),"")</f>
        <v/>
      </c>
      <c r="Z54" s="47" t="str">
        <f>IFERROR(VLOOKUP($A$1&amp;"-"&amp;ROW(H53),基本資料填寫!$A:$DN,COLUMN(基本資料填寫!O54),0),"")</f>
        <v/>
      </c>
      <c r="AA54" s="47" t="str">
        <f>IFERROR(VLOOKUP($A$1&amp;"-"&amp;ROW(AM53),基本資料填寫!$A:$DN,COLUMN(基本資料填寫!CJ54),0),"")</f>
        <v/>
      </c>
      <c r="AB54" s="47" t="str">
        <f>IFERROR(VLOOKUP($A$1&amp;"-"&amp;ROW(AN53),基本資料填寫!$A:$DN,COLUMN(基本資料填寫!CK54),0),"")</f>
        <v/>
      </c>
      <c r="AC54" s="47" t="str">
        <f>IFERROR(VLOOKUP($A$1&amp;"-"&amp;ROW(AP53),基本資料填寫!$A:$DN,COLUMN(基本資料填寫!CN54),0),"")</f>
        <v/>
      </c>
      <c r="AD54" s="47" t="str">
        <f>IFERROR(VLOOKUP($A$1&amp;"-"&amp;ROW(AQ53),基本資料填寫!$A:$DN,COLUMN(基本資料填寫!CO54),0),"")</f>
        <v/>
      </c>
      <c r="AE54" s="47" t="str">
        <f>IFERROR(VLOOKUP($A$1&amp;"-"&amp;ROW(AR53),基本資料填寫!$A:$DN,COLUMN(基本資料填寫!CP54),0),"")</f>
        <v/>
      </c>
      <c r="AF54" s="47" t="str">
        <f>IFERROR(VLOOKUP($A$1&amp;"-"&amp;ROW(AS53),基本資料填寫!$A:$DN,COLUMN(基本資料填寫!CQ54),0),"")</f>
        <v/>
      </c>
      <c r="AG54" s="47" t="str">
        <f>IFERROR(VLOOKUP($A$1&amp;"-"&amp;ROW(AT53),基本資料填寫!$A:$DN,COLUMN(基本資料填寫!CR54),0),"")</f>
        <v/>
      </c>
      <c r="AH54" s="47" t="str">
        <f>IFERROR(VLOOKUP($A$1&amp;"-"&amp;ROW(AU53),基本資料填寫!$A:$DN,COLUMN(基本資料填寫!CS54),0),"")</f>
        <v/>
      </c>
      <c r="AI54" s="47" t="str">
        <f>IFERROR(VLOOKUP($A$1&amp;"-"&amp;ROW(P53),基本資料填寫!$A:$DN,COLUMN(基本資料填寫!X54),0),"")</f>
        <v/>
      </c>
      <c r="AJ54" s="47" t="str">
        <f>IFERROR(VLOOKUP($A$1&amp;"-"&amp;ROW(AV53),基本資料填寫!$A:$DN,COLUMN(基本資料填寫!CT54),0),"")</f>
        <v/>
      </c>
      <c r="AK54" s="47" t="str">
        <f>IFERROR(VLOOKUP($A$1&amp;"-"&amp;ROW(AC53),基本資料填寫!$A:$DN,COLUMN(基本資料填寫!AQ54),0),"")</f>
        <v/>
      </c>
      <c r="AL54" s="47" t="str">
        <f>IFERROR(VLOOKUP($A$1&amp;"-"&amp;ROW(AO53),基本資料填寫!$A:$DN,COLUMN(基本資料填寫!CM54),0),"")</f>
        <v/>
      </c>
      <c r="AM54" s="47" t="str">
        <f>IFERROR(VLOOKUP($A$1&amp;"-"&amp;ROW(AD53),基本資料填寫!$A:$DN,COLUMN(基本資料填寫!AR54),0),"")</f>
        <v/>
      </c>
      <c r="AN54" s="47" t="str">
        <f>IFERROR(VLOOKUP($A$1&amp;"-"&amp;ROW(K53),基本資料填寫!$A:$DN,COLUMN(基本資料填寫!AP54),0),"")</f>
        <v/>
      </c>
      <c r="AO54" s="47" t="str">
        <f>IFERROR(VLOOKUP($A$1&amp;"-"&amp;ROW(J53),基本資料填寫!$A:$DN,COLUMN(基本資料填寫!AO54),0),"")</f>
        <v/>
      </c>
      <c r="AP54" s="47" t="str">
        <f>IFERROR(VLOOKUP($A$1&amp;"-"&amp;ROW(AE53),基本資料填寫!$A:$DN,COLUMN(基本資料填寫!AS54),0),"")</f>
        <v/>
      </c>
      <c r="AQ54" s="47" t="str">
        <f>IFERROR(VLOOKUP($A$1&amp;"-"&amp;ROW(AF53),基本資料填寫!$A:$DN,COLUMN(基本資料填寫!AT54),0),"")</f>
        <v/>
      </c>
      <c r="AR54" s="47" t="str">
        <f>IFERROR(VLOOKUP($A$1&amp;"-"&amp;ROW(AG53),基本資料填寫!$A:$DN,COLUMN(基本資料填寫!AU54),0),"")</f>
        <v/>
      </c>
      <c r="AS54" s="47" t="str">
        <f>IFERROR(VLOOKUP($A$1&amp;"-"&amp;ROW(AH53),基本資料填寫!$A:$DN,COLUMN(基本資料填寫!AV54),0),"")</f>
        <v/>
      </c>
      <c r="AT54" s="47" t="str">
        <f>IFERROR(VLOOKUP($A$1&amp;"-"&amp;ROW(AI53),基本資料填寫!$A:$DN,COLUMN(基本資料填寫!AW54),0),"")</f>
        <v/>
      </c>
      <c r="AU54" s="47" t="str">
        <f>IFERROR(VLOOKUP($A$1&amp;"-"&amp;ROW(AJ53),基本資料填寫!$A:$DN,COLUMN(基本資料填寫!AX54),0),"")</f>
        <v/>
      </c>
      <c r="AV54" s="47" t="str">
        <f>IFERROR(VLOOKUP($A$1&amp;"-"&amp;ROW(AK53),基本資料填寫!$A:$DN,COLUMN(基本資料填寫!AY54),0),"")</f>
        <v/>
      </c>
      <c r="AW54" s="47" t="str">
        <f>IFERROR(VLOOKUP($A$1&amp;"-"&amp;ROW(AL53),基本資料填寫!$A:$DN,COLUMN(基本資料填寫!AZ54),0),"")</f>
        <v/>
      </c>
      <c r="AX54" s="47" t="str">
        <f>IFERROR(VLOOKUP($A$1&amp;"-"&amp;ROW(AM53),基本資料填寫!$A:$DN,COLUMN(基本資料填寫!BA54),0),"")</f>
        <v/>
      </c>
      <c r="AY54" s="47" t="str">
        <f>IFERROR(VLOOKUP($A$1&amp;"-"&amp;ROW(AN53),基本資料填寫!$A:$DN,COLUMN(基本資料填寫!BB54),0),"")</f>
        <v/>
      </c>
      <c r="AZ54" s="47" t="str">
        <f>IFERROR(VLOOKUP($A$1&amp;"-"&amp;ROW(AO53),基本資料填寫!$A:$DN,COLUMN(基本資料填寫!BC54),0),"")</f>
        <v/>
      </c>
      <c r="BA54" s="47" t="str">
        <f>IFERROR(VLOOKUP($A$1&amp;"-"&amp;ROW(AP53),基本資料填寫!$A:$DN,COLUMN(基本資料填寫!BD54),0),"")</f>
        <v/>
      </c>
      <c r="BB54" s="47" t="str">
        <f>IFERROR(VLOOKUP($A$1&amp;"-"&amp;ROW(AQ53),基本資料填寫!$A:$DN,COLUMN(基本資料填寫!BE54),0),"")</f>
        <v/>
      </c>
      <c r="BC54" s="47" t="str">
        <f>IFERROR(VLOOKUP($A$1&amp;"-"&amp;ROW(AR53),基本資料填寫!$A:$DN,COLUMN(基本資料填寫!BF54),0),"")</f>
        <v/>
      </c>
      <c r="BD54" s="47" t="str">
        <f>IFERROR(VLOOKUP($A$1&amp;"-"&amp;ROW(AS53),基本資料填寫!$A:$DN,COLUMN(基本資料填寫!BG54),0),"")</f>
        <v/>
      </c>
      <c r="BE54" s="47" t="str">
        <f>IFERROR(VLOOKUP($A$1&amp;"-"&amp;ROW(AT53),基本資料填寫!$A:$DN,COLUMN(基本資料填寫!BH54),0),"")</f>
        <v/>
      </c>
      <c r="BF54" s="47" t="str">
        <f>IFERROR(VLOOKUP($A$1&amp;"-"&amp;ROW(AU53),基本資料填寫!$A:$DN,COLUMN(基本資料填寫!BI54),0),"")</f>
        <v/>
      </c>
      <c r="BG54" s="47" t="str">
        <f>IFERROR(VLOOKUP($A$1&amp;"-"&amp;ROW(AV53),基本資料填寫!$A:$DN,COLUMN(基本資料填寫!BJ54),0),"")</f>
        <v/>
      </c>
      <c r="BH54" s="47" t="str">
        <f>IFERROR(VLOOKUP($A$1&amp;"-"&amp;ROW(AW53),基本資料填寫!$A:$DN,COLUMN(基本資料填寫!BK54),0),"")</f>
        <v/>
      </c>
      <c r="BI54" s="47" t="str">
        <f>IFERROR(VLOOKUP($A$1&amp;"-"&amp;ROW(AX53),基本資料填寫!$A:$DN,COLUMN(基本資料填寫!BL54),0),"")</f>
        <v/>
      </c>
      <c r="BJ54" s="47" t="str">
        <f>IFERROR(VLOOKUP($A$1&amp;"-"&amp;ROW(AY53),基本資料填寫!$A:$DN,COLUMN(基本資料填寫!BM54),0),"")</f>
        <v/>
      </c>
      <c r="BK54" s="47" t="str">
        <f>IFERROR(VLOOKUP($A$1&amp;"-"&amp;ROW(AZ53),基本資料填寫!$A:$DN,COLUMN(基本資料填寫!BN54),0),"")</f>
        <v/>
      </c>
      <c r="BL54" s="47" t="str">
        <f>IFERROR(VLOOKUP($A$1&amp;"-"&amp;ROW(BA53),基本資料填寫!$A:$DN,COLUMN(基本資料填寫!BO54),0),"")</f>
        <v/>
      </c>
      <c r="BM54" s="47" t="str">
        <f>IFERROR(VLOOKUP($A$1&amp;"-"&amp;ROW(BB53),基本資料填寫!$A:$DN,COLUMN(基本資料填寫!BP54),0),"")</f>
        <v/>
      </c>
      <c r="BN54" s="47" t="str">
        <f>IFERROR(VLOOKUP($A$1&amp;"-"&amp;ROW(BC53),基本資料填寫!$A:$DN,COLUMN(基本資料填寫!BQ54),0),"")</f>
        <v/>
      </c>
      <c r="BO54" s="47" t="str">
        <f>IFERROR(VLOOKUP($A$1&amp;"-"&amp;ROW(BD53),基本資料填寫!$A:$DN,COLUMN(基本資料填寫!BR54),0),"")</f>
        <v/>
      </c>
    </row>
    <row r="55" spans="2:67" x14ac:dyDescent="0.3">
      <c r="B55" s="47" t="str">
        <f>IFERROR(VLOOKUP($A$1&amp;"-"&amp;ROW(A54),基本資料填寫!$A:$DN,COLUMN(基本資料填寫!K55),0),"")</f>
        <v/>
      </c>
      <c r="C55" s="47" t="str">
        <f>IFERROR(VLOOKUP($A$1&amp;"-"&amp;ROW(B54),基本資料填寫!$A:$DN,COLUMN(基本資料填寫!L55),0),"")</f>
        <v/>
      </c>
      <c r="D55" s="47" t="str">
        <f>IF(E55="","",COUNTA($E$2:E55))</f>
        <v/>
      </c>
      <c r="E55" s="47" t="str">
        <f>IFERROR(VLOOKUP($A$1&amp;"-"&amp;ROW(E54),基本資料填寫!$A:$DN,COLUMN(基本資料填寫!S55),0),"")</f>
        <v/>
      </c>
      <c r="G55" s="47" t="str">
        <f>IFERROR(VLOOKUP($A$1&amp;"-"&amp;ROW(G54),基本資料填寫!$A:$DN,COLUMN(基本資料填寫!V55),0),"")</f>
        <v/>
      </c>
      <c r="H55" s="47" t="str">
        <f>IFERROR(VLOOKUP($A$1&amp;"-"&amp;ROW(BI54),基本資料填寫!$A:$DN,COLUMN(基本資料填寫!BW55),0),"")</f>
        <v/>
      </c>
      <c r="I55" s="47" t="str">
        <f>IFERROR(VLOOKUP($A$1&amp;"-"&amp;ROW(I54),基本資料填寫!$A:$DN,COLUMN(基本資料填寫!AN55),0),"")</f>
        <v/>
      </c>
      <c r="J55" s="47" t="str">
        <f>IFERROR(VLOOKUP($A$1&amp;"-"&amp;ROW(K54),基本資料填寫!$A:$DN,COLUMN(基本資料填寫!R55),0),"")</f>
        <v/>
      </c>
      <c r="K55" s="47" t="str">
        <f>IFERROR(VLOOKUP($A$1&amp;"-"&amp;ROW(AA54),基本資料填寫!$A:$DN,COLUMN(基本資料填寫!BX55),0),"")</f>
        <v/>
      </c>
      <c r="L55" s="47" t="str">
        <f>IFERROR(VLOOKUP($A$1&amp;"-"&amp;ROW(S54),基本資料填寫!$A:$DN,COLUMN(基本資料填寫!Z55),0),"")</f>
        <v/>
      </c>
      <c r="M55" s="47" t="str">
        <f>IFERROR(VLOOKUP($A$1&amp;"-"&amp;ROW(T54),基本資料填寫!$A:$DN,COLUMN(基本資料填寫!AA55),0),"")</f>
        <v/>
      </c>
      <c r="N55" s="47" t="str">
        <f>IFERROR(VLOOKUP($A$1&amp;"-"&amp;ROW(AB54),基本資料填寫!$A:$DN,COLUMN(基本資料填寫!BY55),0),"")</f>
        <v/>
      </c>
      <c r="O55" s="47" t="str">
        <f>IFERROR(VLOOKUP($A$1&amp;"-"&amp;ROW(AC54),基本資料填寫!$A:$DN,COLUMN(基本資料填寫!BZ55),0),"")</f>
        <v/>
      </c>
      <c r="P55" s="47" t="str">
        <f>IFERROR(VLOOKUP($A$1&amp;"-"&amp;ROW(AD54),基本資料填寫!$A:$DN,COLUMN(基本資料填寫!CA55),0),"")</f>
        <v/>
      </c>
      <c r="Q55" s="47" t="str">
        <f>IFERROR(VLOOKUP($A$1&amp;"-"&amp;ROW(J54),基本資料填寫!$A:$DN,COLUMN(基本資料填寫!AO55),0),"")</f>
        <v/>
      </c>
      <c r="R55" s="47" t="str">
        <f>IFERROR(VLOOKUP($A$1&amp;"-"&amp;ROW(AE54),基本資料填寫!$A:$DN,COLUMN(基本資料填寫!CB55),0),"")</f>
        <v/>
      </c>
      <c r="S55" s="47" t="str">
        <f>IFERROR(VLOOKUP($A$1&amp;"-"&amp;ROW(AF54),基本資料填寫!$A:$DN,COLUMN(基本資料填寫!CC55),0),"")</f>
        <v/>
      </c>
      <c r="T55" s="47" t="str">
        <f>IFERROR(VLOOKUP($A$1&amp;"-"&amp;ROW(AG54),基本資料填寫!$A:$DN,COLUMN(基本資料填寫!CD55),0),"")</f>
        <v/>
      </c>
      <c r="U55" s="47" t="str">
        <f>IFERROR(VLOOKUP($A$1&amp;"-"&amp;ROW(AH54),基本資料填寫!$A:$DN,COLUMN(基本資料填寫!CE55),0),"")</f>
        <v/>
      </c>
      <c r="V55" s="47" t="str">
        <f>IFERROR(VLOOKUP($A$1&amp;"-"&amp;ROW(AI54),基本資料填寫!$A:$DN,COLUMN(基本資料填寫!CF55),0),"")</f>
        <v/>
      </c>
      <c r="W55" s="47" t="str">
        <f>IFERROR(VLOOKUP($A$1&amp;"-"&amp;ROW(AJ54),基本資料填寫!$A:$DN,COLUMN(基本資料填寫!CG55),0),"")</f>
        <v/>
      </c>
      <c r="X55" s="47" t="str">
        <f>IFERROR(VLOOKUP($A$1&amp;"-"&amp;ROW(AK54),基本資料填寫!$A:$DN,COLUMN(基本資料填寫!CH55),0),"")</f>
        <v/>
      </c>
      <c r="Y55" s="47" t="str">
        <f>IFERROR(VLOOKUP($A$1&amp;"-"&amp;ROW(AL54),基本資料填寫!$A:$DN,COLUMN(基本資料填寫!CI55),0),"")</f>
        <v/>
      </c>
      <c r="Z55" s="47" t="str">
        <f>IFERROR(VLOOKUP($A$1&amp;"-"&amp;ROW(H54),基本資料填寫!$A:$DN,COLUMN(基本資料填寫!O55),0),"")</f>
        <v/>
      </c>
      <c r="AA55" s="47" t="str">
        <f>IFERROR(VLOOKUP($A$1&amp;"-"&amp;ROW(AM54),基本資料填寫!$A:$DN,COLUMN(基本資料填寫!CJ55),0),"")</f>
        <v/>
      </c>
      <c r="AB55" s="47" t="str">
        <f>IFERROR(VLOOKUP($A$1&amp;"-"&amp;ROW(AN54),基本資料填寫!$A:$DN,COLUMN(基本資料填寫!CK55),0),"")</f>
        <v/>
      </c>
      <c r="AC55" s="47" t="str">
        <f>IFERROR(VLOOKUP($A$1&amp;"-"&amp;ROW(AP54),基本資料填寫!$A:$DN,COLUMN(基本資料填寫!CN55),0),"")</f>
        <v/>
      </c>
      <c r="AD55" s="47" t="str">
        <f>IFERROR(VLOOKUP($A$1&amp;"-"&amp;ROW(AQ54),基本資料填寫!$A:$DN,COLUMN(基本資料填寫!CO55),0),"")</f>
        <v/>
      </c>
      <c r="AE55" s="47" t="str">
        <f>IFERROR(VLOOKUP($A$1&amp;"-"&amp;ROW(AR54),基本資料填寫!$A:$DN,COLUMN(基本資料填寫!CP55),0),"")</f>
        <v/>
      </c>
      <c r="AF55" s="47" t="str">
        <f>IFERROR(VLOOKUP($A$1&amp;"-"&amp;ROW(AS54),基本資料填寫!$A:$DN,COLUMN(基本資料填寫!CQ55),0),"")</f>
        <v/>
      </c>
      <c r="AG55" s="47" t="str">
        <f>IFERROR(VLOOKUP($A$1&amp;"-"&amp;ROW(AT54),基本資料填寫!$A:$DN,COLUMN(基本資料填寫!CR55),0),"")</f>
        <v/>
      </c>
      <c r="AH55" s="47" t="str">
        <f>IFERROR(VLOOKUP($A$1&amp;"-"&amp;ROW(AU54),基本資料填寫!$A:$DN,COLUMN(基本資料填寫!CS55),0),"")</f>
        <v/>
      </c>
      <c r="AI55" s="47" t="str">
        <f>IFERROR(VLOOKUP($A$1&amp;"-"&amp;ROW(P54),基本資料填寫!$A:$DN,COLUMN(基本資料填寫!X55),0),"")</f>
        <v/>
      </c>
      <c r="AJ55" s="47" t="str">
        <f>IFERROR(VLOOKUP($A$1&amp;"-"&amp;ROW(AV54),基本資料填寫!$A:$DN,COLUMN(基本資料填寫!CT55),0),"")</f>
        <v/>
      </c>
      <c r="AK55" s="47" t="str">
        <f>IFERROR(VLOOKUP($A$1&amp;"-"&amp;ROW(AC54),基本資料填寫!$A:$DN,COLUMN(基本資料填寫!AQ55),0),"")</f>
        <v/>
      </c>
      <c r="AL55" s="47" t="str">
        <f>IFERROR(VLOOKUP($A$1&amp;"-"&amp;ROW(AO54),基本資料填寫!$A:$DN,COLUMN(基本資料填寫!CM55),0),"")</f>
        <v/>
      </c>
      <c r="AM55" s="47" t="str">
        <f>IFERROR(VLOOKUP($A$1&amp;"-"&amp;ROW(AD54),基本資料填寫!$A:$DN,COLUMN(基本資料填寫!AR55),0),"")</f>
        <v/>
      </c>
      <c r="AN55" s="47" t="str">
        <f>IFERROR(VLOOKUP($A$1&amp;"-"&amp;ROW(K54),基本資料填寫!$A:$DN,COLUMN(基本資料填寫!AP55),0),"")</f>
        <v/>
      </c>
      <c r="AO55" s="47" t="str">
        <f>IFERROR(VLOOKUP($A$1&amp;"-"&amp;ROW(J54),基本資料填寫!$A:$DN,COLUMN(基本資料填寫!AO55),0),"")</f>
        <v/>
      </c>
      <c r="AP55" s="47" t="str">
        <f>IFERROR(VLOOKUP($A$1&amp;"-"&amp;ROW(AE54),基本資料填寫!$A:$DN,COLUMN(基本資料填寫!AS55),0),"")</f>
        <v/>
      </c>
      <c r="AQ55" s="47" t="str">
        <f>IFERROR(VLOOKUP($A$1&amp;"-"&amp;ROW(AF54),基本資料填寫!$A:$DN,COLUMN(基本資料填寫!AT55),0),"")</f>
        <v/>
      </c>
      <c r="AR55" s="47" t="str">
        <f>IFERROR(VLOOKUP($A$1&amp;"-"&amp;ROW(AG54),基本資料填寫!$A:$DN,COLUMN(基本資料填寫!AU55),0),"")</f>
        <v/>
      </c>
      <c r="AS55" s="47" t="str">
        <f>IFERROR(VLOOKUP($A$1&amp;"-"&amp;ROW(AH54),基本資料填寫!$A:$DN,COLUMN(基本資料填寫!AV55),0),"")</f>
        <v/>
      </c>
      <c r="AT55" s="47" t="str">
        <f>IFERROR(VLOOKUP($A$1&amp;"-"&amp;ROW(AI54),基本資料填寫!$A:$DN,COLUMN(基本資料填寫!AW55),0),"")</f>
        <v/>
      </c>
      <c r="AU55" s="47" t="str">
        <f>IFERROR(VLOOKUP($A$1&amp;"-"&amp;ROW(AJ54),基本資料填寫!$A:$DN,COLUMN(基本資料填寫!AX55),0),"")</f>
        <v/>
      </c>
      <c r="AV55" s="47" t="str">
        <f>IFERROR(VLOOKUP($A$1&amp;"-"&amp;ROW(AK54),基本資料填寫!$A:$DN,COLUMN(基本資料填寫!AY55),0),"")</f>
        <v/>
      </c>
      <c r="AW55" s="47" t="str">
        <f>IFERROR(VLOOKUP($A$1&amp;"-"&amp;ROW(AL54),基本資料填寫!$A:$DN,COLUMN(基本資料填寫!AZ55),0),"")</f>
        <v/>
      </c>
      <c r="AX55" s="47" t="str">
        <f>IFERROR(VLOOKUP($A$1&amp;"-"&amp;ROW(AM54),基本資料填寫!$A:$DN,COLUMN(基本資料填寫!BA55),0),"")</f>
        <v/>
      </c>
      <c r="AY55" s="47" t="str">
        <f>IFERROR(VLOOKUP($A$1&amp;"-"&amp;ROW(AN54),基本資料填寫!$A:$DN,COLUMN(基本資料填寫!BB55),0),"")</f>
        <v/>
      </c>
      <c r="AZ55" s="47" t="str">
        <f>IFERROR(VLOOKUP($A$1&amp;"-"&amp;ROW(AO54),基本資料填寫!$A:$DN,COLUMN(基本資料填寫!BC55),0),"")</f>
        <v/>
      </c>
      <c r="BA55" s="47" t="str">
        <f>IFERROR(VLOOKUP($A$1&amp;"-"&amp;ROW(AP54),基本資料填寫!$A:$DN,COLUMN(基本資料填寫!BD55),0),"")</f>
        <v/>
      </c>
      <c r="BB55" s="47" t="str">
        <f>IFERROR(VLOOKUP($A$1&amp;"-"&amp;ROW(AQ54),基本資料填寫!$A:$DN,COLUMN(基本資料填寫!BE55),0),"")</f>
        <v/>
      </c>
      <c r="BC55" s="47" t="str">
        <f>IFERROR(VLOOKUP($A$1&amp;"-"&amp;ROW(AR54),基本資料填寫!$A:$DN,COLUMN(基本資料填寫!BF55),0),"")</f>
        <v/>
      </c>
      <c r="BD55" s="47" t="str">
        <f>IFERROR(VLOOKUP($A$1&amp;"-"&amp;ROW(AS54),基本資料填寫!$A:$DN,COLUMN(基本資料填寫!BG55),0),"")</f>
        <v/>
      </c>
      <c r="BE55" s="47" t="str">
        <f>IFERROR(VLOOKUP($A$1&amp;"-"&amp;ROW(AT54),基本資料填寫!$A:$DN,COLUMN(基本資料填寫!BH55),0),"")</f>
        <v/>
      </c>
      <c r="BF55" s="47" t="str">
        <f>IFERROR(VLOOKUP($A$1&amp;"-"&amp;ROW(AU54),基本資料填寫!$A:$DN,COLUMN(基本資料填寫!BI55),0),"")</f>
        <v/>
      </c>
      <c r="BG55" s="47" t="str">
        <f>IFERROR(VLOOKUP($A$1&amp;"-"&amp;ROW(AV54),基本資料填寫!$A:$DN,COLUMN(基本資料填寫!BJ55),0),"")</f>
        <v/>
      </c>
      <c r="BH55" s="47" t="str">
        <f>IFERROR(VLOOKUP($A$1&amp;"-"&amp;ROW(AW54),基本資料填寫!$A:$DN,COLUMN(基本資料填寫!BK55),0),"")</f>
        <v/>
      </c>
      <c r="BI55" s="47" t="str">
        <f>IFERROR(VLOOKUP($A$1&amp;"-"&amp;ROW(AX54),基本資料填寫!$A:$DN,COLUMN(基本資料填寫!BL55),0),"")</f>
        <v/>
      </c>
      <c r="BJ55" s="47" t="str">
        <f>IFERROR(VLOOKUP($A$1&amp;"-"&amp;ROW(AY54),基本資料填寫!$A:$DN,COLUMN(基本資料填寫!BM55),0),"")</f>
        <v/>
      </c>
      <c r="BK55" s="47" t="str">
        <f>IFERROR(VLOOKUP($A$1&amp;"-"&amp;ROW(AZ54),基本資料填寫!$A:$DN,COLUMN(基本資料填寫!BN55),0),"")</f>
        <v/>
      </c>
      <c r="BL55" s="47" t="str">
        <f>IFERROR(VLOOKUP($A$1&amp;"-"&amp;ROW(BA54),基本資料填寫!$A:$DN,COLUMN(基本資料填寫!BO55),0),"")</f>
        <v/>
      </c>
      <c r="BM55" s="47" t="str">
        <f>IFERROR(VLOOKUP($A$1&amp;"-"&amp;ROW(BB54),基本資料填寫!$A:$DN,COLUMN(基本資料填寫!BP55),0),"")</f>
        <v/>
      </c>
      <c r="BN55" s="47" t="str">
        <f>IFERROR(VLOOKUP($A$1&amp;"-"&amp;ROW(BC54),基本資料填寫!$A:$DN,COLUMN(基本資料填寫!BQ55),0),"")</f>
        <v/>
      </c>
      <c r="BO55" s="47" t="str">
        <f>IFERROR(VLOOKUP($A$1&amp;"-"&amp;ROW(BD54),基本資料填寫!$A:$DN,COLUMN(基本資料填寫!BR55),0),"")</f>
        <v/>
      </c>
    </row>
    <row r="56" spans="2:67" x14ac:dyDescent="0.3">
      <c r="B56" s="47" t="str">
        <f>IFERROR(VLOOKUP($A$1&amp;"-"&amp;ROW(A55),基本資料填寫!$A:$DN,COLUMN(基本資料填寫!K56),0),"")</f>
        <v/>
      </c>
      <c r="C56" s="47" t="str">
        <f>IFERROR(VLOOKUP($A$1&amp;"-"&amp;ROW(B55),基本資料填寫!$A:$DN,COLUMN(基本資料填寫!L56),0),"")</f>
        <v/>
      </c>
      <c r="D56" s="47" t="str">
        <f>IF(E56="","",COUNTA($E$2:E56))</f>
        <v/>
      </c>
      <c r="E56" s="47" t="str">
        <f>IFERROR(VLOOKUP($A$1&amp;"-"&amp;ROW(E55),基本資料填寫!$A:$DN,COLUMN(基本資料填寫!S56),0),"")</f>
        <v/>
      </c>
      <c r="G56" s="47" t="str">
        <f>IFERROR(VLOOKUP($A$1&amp;"-"&amp;ROW(G55),基本資料填寫!$A:$DN,COLUMN(基本資料填寫!V56),0),"")</f>
        <v/>
      </c>
      <c r="H56" s="47" t="str">
        <f>IFERROR(VLOOKUP($A$1&amp;"-"&amp;ROW(BI55),基本資料填寫!$A:$DN,COLUMN(基本資料填寫!BW56),0),"")</f>
        <v/>
      </c>
      <c r="I56" s="47" t="str">
        <f>IFERROR(VLOOKUP($A$1&amp;"-"&amp;ROW(I55),基本資料填寫!$A:$DN,COLUMN(基本資料填寫!AN56),0),"")</f>
        <v/>
      </c>
      <c r="J56" s="47" t="str">
        <f>IFERROR(VLOOKUP($A$1&amp;"-"&amp;ROW(K55),基本資料填寫!$A:$DN,COLUMN(基本資料填寫!R56),0),"")</f>
        <v/>
      </c>
      <c r="K56" s="47" t="str">
        <f>IFERROR(VLOOKUP($A$1&amp;"-"&amp;ROW(AA55),基本資料填寫!$A:$DN,COLUMN(基本資料填寫!BX56),0),"")</f>
        <v/>
      </c>
      <c r="L56" s="47" t="str">
        <f>IFERROR(VLOOKUP($A$1&amp;"-"&amp;ROW(S55),基本資料填寫!$A:$DN,COLUMN(基本資料填寫!Z56),0),"")</f>
        <v/>
      </c>
      <c r="M56" s="47" t="str">
        <f>IFERROR(VLOOKUP($A$1&amp;"-"&amp;ROW(T55),基本資料填寫!$A:$DN,COLUMN(基本資料填寫!AA56),0),"")</f>
        <v/>
      </c>
      <c r="N56" s="47" t="str">
        <f>IFERROR(VLOOKUP($A$1&amp;"-"&amp;ROW(AB55),基本資料填寫!$A:$DN,COLUMN(基本資料填寫!BY56),0),"")</f>
        <v/>
      </c>
      <c r="O56" s="47" t="str">
        <f>IFERROR(VLOOKUP($A$1&amp;"-"&amp;ROW(AC55),基本資料填寫!$A:$DN,COLUMN(基本資料填寫!BZ56),0),"")</f>
        <v/>
      </c>
      <c r="P56" s="47" t="str">
        <f>IFERROR(VLOOKUP($A$1&amp;"-"&amp;ROW(AD55),基本資料填寫!$A:$DN,COLUMN(基本資料填寫!CA56),0),"")</f>
        <v/>
      </c>
      <c r="Q56" s="47" t="str">
        <f>IFERROR(VLOOKUP($A$1&amp;"-"&amp;ROW(J55),基本資料填寫!$A:$DN,COLUMN(基本資料填寫!AO56),0),"")</f>
        <v/>
      </c>
      <c r="R56" s="47" t="str">
        <f>IFERROR(VLOOKUP($A$1&amp;"-"&amp;ROW(AE55),基本資料填寫!$A:$DN,COLUMN(基本資料填寫!CB56),0),"")</f>
        <v/>
      </c>
      <c r="S56" s="47" t="str">
        <f>IFERROR(VLOOKUP($A$1&amp;"-"&amp;ROW(AF55),基本資料填寫!$A:$DN,COLUMN(基本資料填寫!CC56),0),"")</f>
        <v/>
      </c>
      <c r="T56" s="47" t="str">
        <f>IFERROR(VLOOKUP($A$1&amp;"-"&amp;ROW(AG55),基本資料填寫!$A:$DN,COLUMN(基本資料填寫!CD56),0),"")</f>
        <v/>
      </c>
      <c r="U56" s="47" t="str">
        <f>IFERROR(VLOOKUP($A$1&amp;"-"&amp;ROW(AH55),基本資料填寫!$A:$DN,COLUMN(基本資料填寫!CE56),0),"")</f>
        <v/>
      </c>
      <c r="V56" s="47" t="str">
        <f>IFERROR(VLOOKUP($A$1&amp;"-"&amp;ROW(AI55),基本資料填寫!$A:$DN,COLUMN(基本資料填寫!CF56),0),"")</f>
        <v/>
      </c>
      <c r="W56" s="47" t="str">
        <f>IFERROR(VLOOKUP($A$1&amp;"-"&amp;ROW(AJ55),基本資料填寫!$A:$DN,COLUMN(基本資料填寫!CG56),0),"")</f>
        <v/>
      </c>
      <c r="X56" s="47" t="str">
        <f>IFERROR(VLOOKUP($A$1&amp;"-"&amp;ROW(AK55),基本資料填寫!$A:$DN,COLUMN(基本資料填寫!CH56),0),"")</f>
        <v/>
      </c>
      <c r="Y56" s="47" t="str">
        <f>IFERROR(VLOOKUP($A$1&amp;"-"&amp;ROW(AL55),基本資料填寫!$A:$DN,COLUMN(基本資料填寫!CI56),0),"")</f>
        <v/>
      </c>
      <c r="Z56" s="47" t="str">
        <f>IFERROR(VLOOKUP($A$1&amp;"-"&amp;ROW(H55),基本資料填寫!$A:$DN,COLUMN(基本資料填寫!O56),0),"")</f>
        <v/>
      </c>
      <c r="AA56" s="47" t="str">
        <f>IFERROR(VLOOKUP($A$1&amp;"-"&amp;ROW(AM55),基本資料填寫!$A:$DN,COLUMN(基本資料填寫!CJ56),0),"")</f>
        <v/>
      </c>
      <c r="AB56" s="47" t="str">
        <f>IFERROR(VLOOKUP($A$1&amp;"-"&amp;ROW(AN55),基本資料填寫!$A:$DN,COLUMN(基本資料填寫!CK56),0),"")</f>
        <v/>
      </c>
      <c r="AC56" s="47" t="str">
        <f>IFERROR(VLOOKUP($A$1&amp;"-"&amp;ROW(AP55),基本資料填寫!$A:$DN,COLUMN(基本資料填寫!CN56),0),"")</f>
        <v/>
      </c>
      <c r="AD56" s="47" t="str">
        <f>IFERROR(VLOOKUP($A$1&amp;"-"&amp;ROW(AQ55),基本資料填寫!$A:$DN,COLUMN(基本資料填寫!CO56),0),"")</f>
        <v/>
      </c>
      <c r="AE56" s="47" t="str">
        <f>IFERROR(VLOOKUP($A$1&amp;"-"&amp;ROW(AR55),基本資料填寫!$A:$DN,COLUMN(基本資料填寫!CP56),0),"")</f>
        <v/>
      </c>
      <c r="AF56" s="47" t="str">
        <f>IFERROR(VLOOKUP($A$1&amp;"-"&amp;ROW(AS55),基本資料填寫!$A:$DN,COLUMN(基本資料填寫!CQ56),0),"")</f>
        <v/>
      </c>
      <c r="AG56" s="47" t="str">
        <f>IFERROR(VLOOKUP($A$1&amp;"-"&amp;ROW(AT55),基本資料填寫!$A:$DN,COLUMN(基本資料填寫!CR56),0),"")</f>
        <v/>
      </c>
      <c r="AH56" s="47" t="str">
        <f>IFERROR(VLOOKUP($A$1&amp;"-"&amp;ROW(AU55),基本資料填寫!$A:$DN,COLUMN(基本資料填寫!CS56),0),"")</f>
        <v/>
      </c>
      <c r="AI56" s="47" t="str">
        <f>IFERROR(VLOOKUP($A$1&amp;"-"&amp;ROW(P55),基本資料填寫!$A:$DN,COLUMN(基本資料填寫!X56),0),"")</f>
        <v/>
      </c>
      <c r="AJ56" s="47" t="str">
        <f>IFERROR(VLOOKUP($A$1&amp;"-"&amp;ROW(AV55),基本資料填寫!$A:$DN,COLUMN(基本資料填寫!CT56),0),"")</f>
        <v/>
      </c>
      <c r="AK56" s="47" t="str">
        <f>IFERROR(VLOOKUP($A$1&amp;"-"&amp;ROW(AC55),基本資料填寫!$A:$DN,COLUMN(基本資料填寫!AQ56),0),"")</f>
        <v/>
      </c>
      <c r="AL56" s="47" t="str">
        <f>IFERROR(VLOOKUP($A$1&amp;"-"&amp;ROW(AO55),基本資料填寫!$A:$DN,COLUMN(基本資料填寫!CM56),0),"")</f>
        <v/>
      </c>
      <c r="AM56" s="47" t="str">
        <f>IFERROR(VLOOKUP($A$1&amp;"-"&amp;ROW(AD55),基本資料填寫!$A:$DN,COLUMN(基本資料填寫!AR56),0),"")</f>
        <v/>
      </c>
      <c r="AN56" s="47" t="str">
        <f>IFERROR(VLOOKUP($A$1&amp;"-"&amp;ROW(K55),基本資料填寫!$A:$DN,COLUMN(基本資料填寫!AP56),0),"")</f>
        <v/>
      </c>
      <c r="AO56" s="47" t="str">
        <f>IFERROR(VLOOKUP($A$1&amp;"-"&amp;ROW(J55),基本資料填寫!$A:$DN,COLUMN(基本資料填寫!AO56),0),"")</f>
        <v/>
      </c>
      <c r="AP56" s="47" t="str">
        <f>IFERROR(VLOOKUP($A$1&amp;"-"&amp;ROW(AE55),基本資料填寫!$A:$DN,COLUMN(基本資料填寫!AS56),0),"")</f>
        <v/>
      </c>
      <c r="AQ56" s="47" t="str">
        <f>IFERROR(VLOOKUP($A$1&amp;"-"&amp;ROW(AF55),基本資料填寫!$A:$DN,COLUMN(基本資料填寫!AT56),0),"")</f>
        <v/>
      </c>
      <c r="AR56" s="47" t="str">
        <f>IFERROR(VLOOKUP($A$1&amp;"-"&amp;ROW(AG55),基本資料填寫!$A:$DN,COLUMN(基本資料填寫!AU56),0),"")</f>
        <v/>
      </c>
      <c r="AS56" s="47" t="str">
        <f>IFERROR(VLOOKUP($A$1&amp;"-"&amp;ROW(AH55),基本資料填寫!$A:$DN,COLUMN(基本資料填寫!AV56),0),"")</f>
        <v/>
      </c>
      <c r="AT56" s="47" t="str">
        <f>IFERROR(VLOOKUP($A$1&amp;"-"&amp;ROW(AI55),基本資料填寫!$A:$DN,COLUMN(基本資料填寫!AW56),0),"")</f>
        <v/>
      </c>
      <c r="AU56" s="47" t="str">
        <f>IFERROR(VLOOKUP($A$1&amp;"-"&amp;ROW(AJ55),基本資料填寫!$A:$DN,COLUMN(基本資料填寫!AX56),0),"")</f>
        <v/>
      </c>
      <c r="AV56" s="47" t="str">
        <f>IFERROR(VLOOKUP($A$1&amp;"-"&amp;ROW(AK55),基本資料填寫!$A:$DN,COLUMN(基本資料填寫!AY56),0),"")</f>
        <v/>
      </c>
      <c r="AW56" s="47" t="str">
        <f>IFERROR(VLOOKUP($A$1&amp;"-"&amp;ROW(AL55),基本資料填寫!$A:$DN,COLUMN(基本資料填寫!AZ56),0),"")</f>
        <v/>
      </c>
      <c r="AX56" s="47" t="str">
        <f>IFERROR(VLOOKUP($A$1&amp;"-"&amp;ROW(AM55),基本資料填寫!$A:$DN,COLUMN(基本資料填寫!BA56),0),"")</f>
        <v/>
      </c>
      <c r="AY56" s="47" t="str">
        <f>IFERROR(VLOOKUP($A$1&amp;"-"&amp;ROW(AN55),基本資料填寫!$A:$DN,COLUMN(基本資料填寫!BB56),0),"")</f>
        <v/>
      </c>
      <c r="AZ56" s="47" t="str">
        <f>IFERROR(VLOOKUP($A$1&amp;"-"&amp;ROW(AO55),基本資料填寫!$A:$DN,COLUMN(基本資料填寫!BC56),0),"")</f>
        <v/>
      </c>
      <c r="BA56" s="47" t="str">
        <f>IFERROR(VLOOKUP($A$1&amp;"-"&amp;ROW(AP55),基本資料填寫!$A:$DN,COLUMN(基本資料填寫!BD56),0),"")</f>
        <v/>
      </c>
      <c r="BB56" s="47" t="str">
        <f>IFERROR(VLOOKUP($A$1&amp;"-"&amp;ROW(AQ55),基本資料填寫!$A:$DN,COLUMN(基本資料填寫!BE56),0),"")</f>
        <v/>
      </c>
      <c r="BC56" s="47" t="str">
        <f>IFERROR(VLOOKUP($A$1&amp;"-"&amp;ROW(AR55),基本資料填寫!$A:$DN,COLUMN(基本資料填寫!BF56),0),"")</f>
        <v/>
      </c>
      <c r="BD56" s="47" t="str">
        <f>IFERROR(VLOOKUP($A$1&amp;"-"&amp;ROW(AS55),基本資料填寫!$A:$DN,COLUMN(基本資料填寫!BG56),0),"")</f>
        <v/>
      </c>
      <c r="BE56" s="47" t="str">
        <f>IFERROR(VLOOKUP($A$1&amp;"-"&amp;ROW(AT55),基本資料填寫!$A:$DN,COLUMN(基本資料填寫!BH56),0),"")</f>
        <v/>
      </c>
      <c r="BF56" s="47" t="str">
        <f>IFERROR(VLOOKUP($A$1&amp;"-"&amp;ROW(AU55),基本資料填寫!$A:$DN,COLUMN(基本資料填寫!BI56),0),"")</f>
        <v/>
      </c>
      <c r="BG56" s="47" t="str">
        <f>IFERROR(VLOOKUP($A$1&amp;"-"&amp;ROW(AV55),基本資料填寫!$A:$DN,COLUMN(基本資料填寫!BJ56),0),"")</f>
        <v/>
      </c>
      <c r="BH56" s="47" t="str">
        <f>IFERROR(VLOOKUP($A$1&amp;"-"&amp;ROW(AW55),基本資料填寫!$A:$DN,COLUMN(基本資料填寫!BK56),0),"")</f>
        <v/>
      </c>
      <c r="BI56" s="47" t="str">
        <f>IFERROR(VLOOKUP($A$1&amp;"-"&amp;ROW(AX55),基本資料填寫!$A:$DN,COLUMN(基本資料填寫!BL56),0),"")</f>
        <v/>
      </c>
      <c r="BJ56" s="47" t="str">
        <f>IFERROR(VLOOKUP($A$1&amp;"-"&amp;ROW(AY55),基本資料填寫!$A:$DN,COLUMN(基本資料填寫!BM56),0),"")</f>
        <v/>
      </c>
      <c r="BK56" s="47" t="str">
        <f>IFERROR(VLOOKUP($A$1&amp;"-"&amp;ROW(AZ55),基本資料填寫!$A:$DN,COLUMN(基本資料填寫!BN56),0),"")</f>
        <v/>
      </c>
      <c r="BL56" s="47" t="str">
        <f>IFERROR(VLOOKUP($A$1&amp;"-"&amp;ROW(BA55),基本資料填寫!$A:$DN,COLUMN(基本資料填寫!BO56),0),"")</f>
        <v/>
      </c>
      <c r="BM56" s="47" t="str">
        <f>IFERROR(VLOOKUP($A$1&amp;"-"&amp;ROW(BB55),基本資料填寫!$A:$DN,COLUMN(基本資料填寫!BP56),0),"")</f>
        <v/>
      </c>
      <c r="BN56" s="47" t="str">
        <f>IFERROR(VLOOKUP($A$1&amp;"-"&amp;ROW(BC55),基本資料填寫!$A:$DN,COLUMN(基本資料填寫!BQ56),0),"")</f>
        <v/>
      </c>
      <c r="BO56" s="47" t="str">
        <f>IFERROR(VLOOKUP($A$1&amp;"-"&amp;ROW(BD55),基本資料填寫!$A:$DN,COLUMN(基本資料填寫!BR56),0),"")</f>
        <v/>
      </c>
    </row>
    <row r="57" spans="2:67" x14ac:dyDescent="0.3">
      <c r="B57" s="47" t="str">
        <f>IFERROR(VLOOKUP($A$1&amp;"-"&amp;ROW(A56),基本資料填寫!$A:$DN,COLUMN(基本資料填寫!K57),0),"")</f>
        <v/>
      </c>
      <c r="C57" s="47" t="str">
        <f>IFERROR(VLOOKUP($A$1&amp;"-"&amp;ROW(B56),基本資料填寫!$A:$DN,COLUMN(基本資料填寫!L57),0),"")</f>
        <v/>
      </c>
      <c r="D57" s="47" t="str">
        <f>IF(E57="","",COUNTA($E$2:E57))</f>
        <v/>
      </c>
      <c r="E57" s="47" t="str">
        <f>IFERROR(VLOOKUP($A$1&amp;"-"&amp;ROW(E56),基本資料填寫!$A:$DN,COLUMN(基本資料填寫!S57),0),"")</f>
        <v/>
      </c>
      <c r="G57" s="47" t="str">
        <f>IFERROR(VLOOKUP($A$1&amp;"-"&amp;ROW(G56),基本資料填寫!$A:$DN,COLUMN(基本資料填寫!V57),0),"")</f>
        <v/>
      </c>
      <c r="H57" s="47" t="str">
        <f>IFERROR(VLOOKUP($A$1&amp;"-"&amp;ROW(BI56),基本資料填寫!$A:$DN,COLUMN(基本資料填寫!BW57),0),"")</f>
        <v/>
      </c>
      <c r="I57" s="47" t="str">
        <f>IFERROR(VLOOKUP($A$1&amp;"-"&amp;ROW(I56),基本資料填寫!$A:$DN,COLUMN(基本資料填寫!AN57),0),"")</f>
        <v/>
      </c>
      <c r="J57" s="47" t="str">
        <f>IFERROR(VLOOKUP($A$1&amp;"-"&amp;ROW(K56),基本資料填寫!$A:$DN,COLUMN(基本資料填寫!R57),0),"")</f>
        <v/>
      </c>
      <c r="K57" s="47" t="str">
        <f>IFERROR(VLOOKUP($A$1&amp;"-"&amp;ROW(AA56),基本資料填寫!$A:$DN,COLUMN(基本資料填寫!BX57),0),"")</f>
        <v/>
      </c>
      <c r="L57" s="47" t="str">
        <f>IFERROR(VLOOKUP($A$1&amp;"-"&amp;ROW(S56),基本資料填寫!$A:$DN,COLUMN(基本資料填寫!Z57),0),"")</f>
        <v/>
      </c>
      <c r="M57" s="47" t="str">
        <f>IFERROR(VLOOKUP($A$1&amp;"-"&amp;ROW(T56),基本資料填寫!$A:$DN,COLUMN(基本資料填寫!AA57),0),"")</f>
        <v/>
      </c>
      <c r="N57" s="47" t="str">
        <f>IFERROR(VLOOKUP($A$1&amp;"-"&amp;ROW(AB56),基本資料填寫!$A:$DN,COLUMN(基本資料填寫!BY57),0),"")</f>
        <v/>
      </c>
      <c r="O57" s="47" t="str">
        <f>IFERROR(VLOOKUP($A$1&amp;"-"&amp;ROW(AC56),基本資料填寫!$A:$DN,COLUMN(基本資料填寫!BZ57),0),"")</f>
        <v/>
      </c>
      <c r="P57" s="47" t="str">
        <f>IFERROR(VLOOKUP($A$1&amp;"-"&amp;ROW(AD56),基本資料填寫!$A:$DN,COLUMN(基本資料填寫!CA57),0),"")</f>
        <v/>
      </c>
      <c r="Q57" s="47" t="str">
        <f>IFERROR(VLOOKUP($A$1&amp;"-"&amp;ROW(J56),基本資料填寫!$A:$DN,COLUMN(基本資料填寫!AO57),0),"")</f>
        <v/>
      </c>
      <c r="R57" s="47" t="str">
        <f>IFERROR(VLOOKUP($A$1&amp;"-"&amp;ROW(AE56),基本資料填寫!$A:$DN,COLUMN(基本資料填寫!CB57),0),"")</f>
        <v/>
      </c>
      <c r="S57" s="47" t="str">
        <f>IFERROR(VLOOKUP($A$1&amp;"-"&amp;ROW(AF56),基本資料填寫!$A:$DN,COLUMN(基本資料填寫!CC57),0),"")</f>
        <v/>
      </c>
      <c r="T57" s="47" t="str">
        <f>IFERROR(VLOOKUP($A$1&amp;"-"&amp;ROW(AG56),基本資料填寫!$A:$DN,COLUMN(基本資料填寫!CD57),0),"")</f>
        <v/>
      </c>
      <c r="U57" s="47" t="str">
        <f>IFERROR(VLOOKUP($A$1&amp;"-"&amp;ROW(AH56),基本資料填寫!$A:$DN,COLUMN(基本資料填寫!CE57),0),"")</f>
        <v/>
      </c>
      <c r="V57" s="47" t="str">
        <f>IFERROR(VLOOKUP($A$1&amp;"-"&amp;ROW(AI56),基本資料填寫!$A:$DN,COLUMN(基本資料填寫!CF57),0),"")</f>
        <v/>
      </c>
      <c r="W57" s="47" t="str">
        <f>IFERROR(VLOOKUP($A$1&amp;"-"&amp;ROW(AJ56),基本資料填寫!$A:$DN,COLUMN(基本資料填寫!CG57),0),"")</f>
        <v/>
      </c>
      <c r="X57" s="47" t="str">
        <f>IFERROR(VLOOKUP($A$1&amp;"-"&amp;ROW(AK56),基本資料填寫!$A:$DN,COLUMN(基本資料填寫!CH57),0),"")</f>
        <v/>
      </c>
      <c r="Y57" s="47" t="str">
        <f>IFERROR(VLOOKUP($A$1&amp;"-"&amp;ROW(AL56),基本資料填寫!$A:$DN,COLUMN(基本資料填寫!CI57),0),"")</f>
        <v/>
      </c>
      <c r="Z57" s="47" t="str">
        <f>IFERROR(VLOOKUP($A$1&amp;"-"&amp;ROW(H56),基本資料填寫!$A:$DN,COLUMN(基本資料填寫!O57),0),"")</f>
        <v/>
      </c>
      <c r="AA57" s="47" t="str">
        <f>IFERROR(VLOOKUP($A$1&amp;"-"&amp;ROW(AM56),基本資料填寫!$A:$DN,COLUMN(基本資料填寫!CJ57),0),"")</f>
        <v/>
      </c>
      <c r="AB57" s="47" t="str">
        <f>IFERROR(VLOOKUP($A$1&amp;"-"&amp;ROW(AN56),基本資料填寫!$A:$DN,COLUMN(基本資料填寫!CK57),0),"")</f>
        <v/>
      </c>
      <c r="AC57" s="47" t="str">
        <f>IFERROR(VLOOKUP($A$1&amp;"-"&amp;ROW(AP56),基本資料填寫!$A:$DN,COLUMN(基本資料填寫!CN57),0),"")</f>
        <v/>
      </c>
      <c r="AD57" s="47" t="str">
        <f>IFERROR(VLOOKUP($A$1&amp;"-"&amp;ROW(AQ56),基本資料填寫!$A:$DN,COLUMN(基本資料填寫!CO57),0),"")</f>
        <v/>
      </c>
      <c r="AE57" s="47" t="str">
        <f>IFERROR(VLOOKUP($A$1&amp;"-"&amp;ROW(AR56),基本資料填寫!$A:$DN,COLUMN(基本資料填寫!CP57),0),"")</f>
        <v/>
      </c>
      <c r="AF57" s="47" t="str">
        <f>IFERROR(VLOOKUP($A$1&amp;"-"&amp;ROW(AS56),基本資料填寫!$A:$DN,COLUMN(基本資料填寫!CQ57),0),"")</f>
        <v/>
      </c>
      <c r="AG57" s="47" t="str">
        <f>IFERROR(VLOOKUP($A$1&amp;"-"&amp;ROW(AT56),基本資料填寫!$A:$DN,COLUMN(基本資料填寫!CR57),0),"")</f>
        <v/>
      </c>
      <c r="AH57" s="47" t="str">
        <f>IFERROR(VLOOKUP($A$1&amp;"-"&amp;ROW(AU56),基本資料填寫!$A:$DN,COLUMN(基本資料填寫!CS57),0),"")</f>
        <v/>
      </c>
      <c r="AI57" s="47" t="str">
        <f>IFERROR(VLOOKUP($A$1&amp;"-"&amp;ROW(P56),基本資料填寫!$A:$DN,COLUMN(基本資料填寫!X57),0),"")</f>
        <v/>
      </c>
      <c r="AJ57" s="47" t="str">
        <f>IFERROR(VLOOKUP($A$1&amp;"-"&amp;ROW(AV56),基本資料填寫!$A:$DN,COLUMN(基本資料填寫!CT57),0),"")</f>
        <v/>
      </c>
      <c r="AK57" s="47" t="str">
        <f>IFERROR(VLOOKUP($A$1&amp;"-"&amp;ROW(AC56),基本資料填寫!$A:$DN,COLUMN(基本資料填寫!AQ57),0),"")</f>
        <v/>
      </c>
      <c r="AL57" s="47" t="str">
        <f>IFERROR(VLOOKUP($A$1&amp;"-"&amp;ROW(AO56),基本資料填寫!$A:$DN,COLUMN(基本資料填寫!CM57),0),"")</f>
        <v/>
      </c>
      <c r="AM57" s="47" t="str">
        <f>IFERROR(VLOOKUP($A$1&amp;"-"&amp;ROW(AD56),基本資料填寫!$A:$DN,COLUMN(基本資料填寫!AR57),0),"")</f>
        <v/>
      </c>
      <c r="AN57" s="47" t="str">
        <f>IFERROR(VLOOKUP($A$1&amp;"-"&amp;ROW(K56),基本資料填寫!$A:$DN,COLUMN(基本資料填寫!AP57),0),"")</f>
        <v/>
      </c>
      <c r="AO57" s="47" t="str">
        <f>IFERROR(VLOOKUP($A$1&amp;"-"&amp;ROW(J56),基本資料填寫!$A:$DN,COLUMN(基本資料填寫!AO57),0),"")</f>
        <v/>
      </c>
      <c r="AP57" s="47" t="str">
        <f>IFERROR(VLOOKUP($A$1&amp;"-"&amp;ROW(AE56),基本資料填寫!$A:$DN,COLUMN(基本資料填寫!AS57),0),"")</f>
        <v/>
      </c>
      <c r="AQ57" s="47" t="str">
        <f>IFERROR(VLOOKUP($A$1&amp;"-"&amp;ROW(AF56),基本資料填寫!$A:$DN,COLUMN(基本資料填寫!AT57),0),"")</f>
        <v/>
      </c>
      <c r="AR57" s="47" t="str">
        <f>IFERROR(VLOOKUP($A$1&amp;"-"&amp;ROW(AG56),基本資料填寫!$A:$DN,COLUMN(基本資料填寫!AU57),0),"")</f>
        <v/>
      </c>
      <c r="AS57" s="47" t="str">
        <f>IFERROR(VLOOKUP($A$1&amp;"-"&amp;ROW(AH56),基本資料填寫!$A:$DN,COLUMN(基本資料填寫!AV57),0),"")</f>
        <v/>
      </c>
      <c r="AT57" s="47" t="str">
        <f>IFERROR(VLOOKUP($A$1&amp;"-"&amp;ROW(AI56),基本資料填寫!$A:$DN,COLUMN(基本資料填寫!AW57),0),"")</f>
        <v/>
      </c>
      <c r="AU57" s="47" t="str">
        <f>IFERROR(VLOOKUP($A$1&amp;"-"&amp;ROW(AJ56),基本資料填寫!$A:$DN,COLUMN(基本資料填寫!AX57),0),"")</f>
        <v/>
      </c>
      <c r="AV57" s="47" t="str">
        <f>IFERROR(VLOOKUP($A$1&amp;"-"&amp;ROW(AK56),基本資料填寫!$A:$DN,COLUMN(基本資料填寫!AY57),0),"")</f>
        <v/>
      </c>
      <c r="AW57" s="47" t="str">
        <f>IFERROR(VLOOKUP($A$1&amp;"-"&amp;ROW(AL56),基本資料填寫!$A:$DN,COLUMN(基本資料填寫!AZ57),0),"")</f>
        <v/>
      </c>
      <c r="AX57" s="47" t="str">
        <f>IFERROR(VLOOKUP($A$1&amp;"-"&amp;ROW(AM56),基本資料填寫!$A:$DN,COLUMN(基本資料填寫!BA57),0),"")</f>
        <v/>
      </c>
      <c r="AY57" s="47" t="str">
        <f>IFERROR(VLOOKUP($A$1&amp;"-"&amp;ROW(AN56),基本資料填寫!$A:$DN,COLUMN(基本資料填寫!BB57),0),"")</f>
        <v/>
      </c>
      <c r="AZ57" s="47" t="str">
        <f>IFERROR(VLOOKUP($A$1&amp;"-"&amp;ROW(AO56),基本資料填寫!$A:$DN,COLUMN(基本資料填寫!BC57),0),"")</f>
        <v/>
      </c>
      <c r="BA57" s="47" t="str">
        <f>IFERROR(VLOOKUP($A$1&amp;"-"&amp;ROW(AP56),基本資料填寫!$A:$DN,COLUMN(基本資料填寫!BD57),0),"")</f>
        <v/>
      </c>
      <c r="BB57" s="47" t="str">
        <f>IFERROR(VLOOKUP($A$1&amp;"-"&amp;ROW(AQ56),基本資料填寫!$A:$DN,COLUMN(基本資料填寫!BE57),0),"")</f>
        <v/>
      </c>
      <c r="BC57" s="47" t="str">
        <f>IFERROR(VLOOKUP($A$1&amp;"-"&amp;ROW(AR56),基本資料填寫!$A:$DN,COLUMN(基本資料填寫!BF57),0),"")</f>
        <v/>
      </c>
      <c r="BD57" s="47" t="str">
        <f>IFERROR(VLOOKUP($A$1&amp;"-"&amp;ROW(AS56),基本資料填寫!$A:$DN,COLUMN(基本資料填寫!BG57),0),"")</f>
        <v/>
      </c>
      <c r="BE57" s="47" t="str">
        <f>IFERROR(VLOOKUP($A$1&amp;"-"&amp;ROW(AT56),基本資料填寫!$A:$DN,COLUMN(基本資料填寫!BH57),0),"")</f>
        <v/>
      </c>
      <c r="BF57" s="47" t="str">
        <f>IFERROR(VLOOKUP($A$1&amp;"-"&amp;ROW(AU56),基本資料填寫!$A:$DN,COLUMN(基本資料填寫!BI57),0),"")</f>
        <v/>
      </c>
      <c r="BG57" s="47" t="str">
        <f>IFERROR(VLOOKUP($A$1&amp;"-"&amp;ROW(AV56),基本資料填寫!$A:$DN,COLUMN(基本資料填寫!BJ57),0),"")</f>
        <v/>
      </c>
      <c r="BH57" s="47" t="str">
        <f>IFERROR(VLOOKUP($A$1&amp;"-"&amp;ROW(AW56),基本資料填寫!$A:$DN,COLUMN(基本資料填寫!BK57),0),"")</f>
        <v/>
      </c>
      <c r="BI57" s="47" t="str">
        <f>IFERROR(VLOOKUP($A$1&amp;"-"&amp;ROW(AX56),基本資料填寫!$A:$DN,COLUMN(基本資料填寫!BL57),0),"")</f>
        <v/>
      </c>
      <c r="BJ57" s="47" t="str">
        <f>IFERROR(VLOOKUP($A$1&amp;"-"&amp;ROW(AY56),基本資料填寫!$A:$DN,COLUMN(基本資料填寫!BM57),0),"")</f>
        <v/>
      </c>
      <c r="BK57" s="47" t="str">
        <f>IFERROR(VLOOKUP($A$1&amp;"-"&amp;ROW(AZ56),基本資料填寫!$A:$DN,COLUMN(基本資料填寫!BN57),0),"")</f>
        <v/>
      </c>
      <c r="BL57" s="47" t="str">
        <f>IFERROR(VLOOKUP($A$1&amp;"-"&amp;ROW(BA56),基本資料填寫!$A:$DN,COLUMN(基本資料填寫!BO57),0),"")</f>
        <v/>
      </c>
      <c r="BM57" s="47" t="str">
        <f>IFERROR(VLOOKUP($A$1&amp;"-"&amp;ROW(BB56),基本資料填寫!$A:$DN,COLUMN(基本資料填寫!BP57),0),"")</f>
        <v/>
      </c>
      <c r="BN57" s="47" t="str">
        <f>IFERROR(VLOOKUP($A$1&amp;"-"&amp;ROW(BC56),基本資料填寫!$A:$DN,COLUMN(基本資料填寫!BQ57),0),"")</f>
        <v/>
      </c>
      <c r="BO57" s="47" t="str">
        <f>IFERROR(VLOOKUP($A$1&amp;"-"&amp;ROW(BD56),基本資料填寫!$A:$DN,COLUMN(基本資料填寫!BR57),0),"")</f>
        <v/>
      </c>
    </row>
    <row r="58" spans="2:67" x14ac:dyDescent="0.3">
      <c r="B58" s="47" t="str">
        <f>IFERROR(VLOOKUP($A$1&amp;"-"&amp;ROW(A57),基本資料填寫!$A:$DN,COLUMN(基本資料填寫!K58),0),"")</f>
        <v/>
      </c>
      <c r="C58" s="47" t="str">
        <f>IFERROR(VLOOKUP($A$1&amp;"-"&amp;ROW(B57),基本資料填寫!$A:$DN,COLUMN(基本資料填寫!L58),0),"")</f>
        <v/>
      </c>
      <c r="D58" s="47" t="str">
        <f>IF(E58="","",COUNTA($E$2:E58))</f>
        <v/>
      </c>
      <c r="E58" s="47" t="str">
        <f>IFERROR(VLOOKUP($A$1&amp;"-"&amp;ROW(E57),基本資料填寫!$A:$DN,COLUMN(基本資料填寫!S58),0),"")</f>
        <v/>
      </c>
      <c r="G58" s="47" t="str">
        <f>IFERROR(VLOOKUP($A$1&amp;"-"&amp;ROW(G57),基本資料填寫!$A:$DN,COLUMN(基本資料填寫!V58),0),"")</f>
        <v/>
      </c>
      <c r="H58" s="47" t="str">
        <f>IFERROR(VLOOKUP($A$1&amp;"-"&amp;ROW(BI57),基本資料填寫!$A:$DN,COLUMN(基本資料填寫!BW58),0),"")</f>
        <v/>
      </c>
      <c r="I58" s="47" t="str">
        <f>IFERROR(VLOOKUP($A$1&amp;"-"&amp;ROW(I57),基本資料填寫!$A:$DN,COLUMN(基本資料填寫!AN58),0),"")</f>
        <v/>
      </c>
      <c r="J58" s="47" t="str">
        <f>IFERROR(VLOOKUP($A$1&amp;"-"&amp;ROW(K57),基本資料填寫!$A:$DN,COLUMN(基本資料填寫!R58),0),"")</f>
        <v/>
      </c>
      <c r="K58" s="47" t="str">
        <f>IFERROR(VLOOKUP($A$1&amp;"-"&amp;ROW(AA57),基本資料填寫!$A:$DN,COLUMN(基本資料填寫!BX58),0),"")</f>
        <v/>
      </c>
      <c r="L58" s="47" t="str">
        <f>IFERROR(VLOOKUP($A$1&amp;"-"&amp;ROW(S57),基本資料填寫!$A:$DN,COLUMN(基本資料填寫!Z58),0),"")</f>
        <v/>
      </c>
      <c r="M58" s="47" t="str">
        <f>IFERROR(VLOOKUP($A$1&amp;"-"&amp;ROW(T57),基本資料填寫!$A:$DN,COLUMN(基本資料填寫!AA58),0),"")</f>
        <v/>
      </c>
      <c r="N58" s="47" t="str">
        <f>IFERROR(VLOOKUP($A$1&amp;"-"&amp;ROW(AB57),基本資料填寫!$A:$DN,COLUMN(基本資料填寫!BY58),0),"")</f>
        <v/>
      </c>
      <c r="O58" s="47" t="str">
        <f>IFERROR(VLOOKUP($A$1&amp;"-"&amp;ROW(AC57),基本資料填寫!$A:$DN,COLUMN(基本資料填寫!BZ58),0),"")</f>
        <v/>
      </c>
      <c r="P58" s="47" t="str">
        <f>IFERROR(VLOOKUP($A$1&amp;"-"&amp;ROW(AD57),基本資料填寫!$A:$DN,COLUMN(基本資料填寫!CA58),0),"")</f>
        <v/>
      </c>
      <c r="Q58" s="47" t="str">
        <f>IFERROR(VLOOKUP($A$1&amp;"-"&amp;ROW(J57),基本資料填寫!$A:$DN,COLUMN(基本資料填寫!AO58),0),"")</f>
        <v/>
      </c>
      <c r="R58" s="47" t="str">
        <f>IFERROR(VLOOKUP($A$1&amp;"-"&amp;ROW(AE57),基本資料填寫!$A:$DN,COLUMN(基本資料填寫!CB58),0),"")</f>
        <v/>
      </c>
      <c r="S58" s="47" t="str">
        <f>IFERROR(VLOOKUP($A$1&amp;"-"&amp;ROW(AF57),基本資料填寫!$A:$DN,COLUMN(基本資料填寫!CC58),0),"")</f>
        <v/>
      </c>
      <c r="T58" s="47" t="str">
        <f>IFERROR(VLOOKUP($A$1&amp;"-"&amp;ROW(AG57),基本資料填寫!$A:$DN,COLUMN(基本資料填寫!CD58),0),"")</f>
        <v/>
      </c>
      <c r="U58" s="47" t="str">
        <f>IFERROR(VLOOKUP($A$1&amp;"-"&amp;ROW(AH57),基本資料填寫!$A:$DN,COLUMN(基本資料填寫!CE58),0),"")</f>
        <v/>
      </c>
      <c r="V58" s="47" t="str">
        <f>IFERROR(VLOOKUP($A$1&amp;"-"&amp;ROW(AI57),基本資料填寫!$A:$DN,COLUMN(基本資料填寫!CF58),0),"")</f>
        <v/>
      </c>
      <c r="W58" s="47" t="str">
        <f>IFERROR(VLOOKUP($A$1&amp;"-"&amp;ROW(AJ57),基本資料填寫!$A:$DN,COLUMN(基本資料填寫!CG58),0),"")</f>
        <v/>
      </c>
      <c r="X58" s="47" t="str">
        <f>IFERROR(VLOOKUP($A$1&amp;"-"&amp;ROW(AK57),基本資料填寫!$A:$DN,COLUMN(基本資料填寫!CH58),0),"")</f>
        <v/>
      </c>
      <c r="Y58" s="47" t="str">
        <f>IFERROR(VLOOKUP($A$1&amp;"-"&amp;ROW(AL57),基本資料填寫!$A:$DN,COLUMN(基本資料填寫!CI58),0),"")</f>
        <v/>
      </c>
      <c r="Z58" s="47" t="str">
        <f>IFERROR(VLOOKUP($A$1&amp;"-"&amp;ROW(H57),基本資料填寫!$A:$DN,COLUMN(基本資料填寫!O58),0),"")</f>
        <v/>
      </c>
      <c r="AA58" s="47" t="str">
        <f>IFERROR(VLOOKUP($A$1&amp;"-"&amp;ROW(AM57),基本資料填寫!$A:$DN,COLUMN(基本資料填寫!CJ58),0),"")</f>
        <v/>
      </c>
      <c r="AB58" s="47" t="str">
        <f>IFERROR(VLOOKUP($A$1&amp;"-"&amp;ROW(AN57),基本資料填寫!$A:$DN,COLUMN(基本資料填寫!CK58),0),"")</f>
        <v/>
      </c>
      <c r="AC58" s="47" t="str">
        <f>IFERROR(VLOOKUP($A$1&amp;"-"&amp;ROW(AP57),基本資料填寫!$A:$DN,COLUMN(基本資料填寫!CN58),0),"")</f>
        <v/>
      </c>
      <c r="AD58" s="47" t="str">
        <f>IFERROR(VLOOKUP($A$1&amp;"-"&amp;ROW(AQ57),基本資料填寫!$A:$DN,COLUMN(基本資料填寫!CO58),0),"")</f>
        <v/>
      </c>
      <c r="AE58" s="47" t="str">
        <f>IFERROR(VLOOKUP($A$1&amp;"-"&amp;ROW(AR57),基本資料填寫!$A:$DN,COLUMN(基本資料填寫!CP58),0),"")</f>
        <v/>
      </c>
      <c r="AF58" s="47" t="str">
        <f>IFERROR(VLOOKUP($A$1&amp;"-"&amp;ROW(AS57),基本資料填寫!$A:$DN,COLUMN(基本資料填寫!CQ58),0),"")</f>
        <v/>
      </c>
      <c r="AG58" s="47" t="str">
        <f>IFERROR(VLOOKUP($A$1&amp;"-"&amp;ROW(AT57),基本資料填寫!$A:$DN,COLUMN(基本資料填寫!CR58),0),"")</f>
        <v/>
      </c>
      <c r="AH58" s="47" t="str">
        <f>IFERROR(VLOOKUP($A$1&amp;"-"&amp;ROW(AU57),基本資料填寫!$A:$DN,COLUMN(基本資料填寫!CS58),0),"")</f>
        <v/>
      </c>
      <c r="AI58" s="47" t="str">
        <f>IFERROR(VLOOKUP($A$1&amp;"-"&amp;ROW(P57),基本資料填寫!$A:$DN,COLUMN(基本資料填寫!X58),0),"")</f>
        <v/>
      </c>
      <c r="AJ58" s="47" t="str">
        <f>IFERROR(VLOOKUP($A$1&amp;"-"&amp;ROW(AV57),基本資料填寫!$A:$DN,COLUMN(基本資料填寫!CT58),0),"")</f>
        <v/>
      </c>
      <c r="AK58" s="47" t="str">
        <f>IFERROR(VLOOKUP($A$1&amp;"-"&amp;ROW(AC57),基本資料填寫!$A:$DN,COLUMN(基本資料填寫!AQ58),0),"")</f>
        <v/>
      </c>
      <c r="AL58" s="47" t="str">
        <f>IFERROR(VLOOKUP($A$1&amp;"-"&amp;ROW(AO57),基本資料填寫!$A:$DN,COLUMN(基本資料填寫!CM58),0),"")</f>
        <v/>
      </c>
      <c r="AM58" s="47" t="str">
        <f>IFERROR(VLOOKUP($A$1&amp;"-"&amp;ROW(AD57),基本資料填寫!$A:$DN,COLUMN(基本資料填寫!AR58),0),"")</f>
        <v/>
      </c>
      <c r="AN58" s="47" t="str">
        <f>IFERROR(VLOOKUP($A$1&amp;"-"&amp;ROW(K57),基本資料填寫!$A:$DN,COLUMN(基本資料填寫!AP58),0),"")</f>
        <v/>
      </c>
      <c r="AO58" s="47" t="str">
        <f>IFERROR(VLOOKUP($A$1&amp;"-"&amp;ROW(J57),基本資料填寫!$A:$DN,COLUMN(基本資料填寫!AO58),0),"")</f>
        <v/>
      </c>
      <c r="AP58" s="47" t="str">
        <f>IFERROR(VLOOKUP($A$1&amp;"-"&amp;ROW(AE57),基本資料填寫!$A:$DN,COLUMN(基本資料填寫!AS58),0),"")</f>
        <v/>
      </c>
      <c r="AQ58" s="47" t="str">
        <f>IFERROR(VLOOKUP($A$1&amp;"-"&amp;ROW(AF57),基本資料填寫!$A:$DN,COLUMN(基本資料填寫!AT58),0),"")</f>
        <v/>
      </c>
      <c r="AR58" s="47" t="str">
        <f>IFERROR(VLOOKUP($A$1&amp;"-"&amp;ROW(AG57),基本資料填寫!$A:$DN,COLUMN(基本資料填寫!AU58),0),"")</f>
        <v/>
      </c>
      <c r="AS58" s="47" t="str">
        <f>IFERROR(VLOOKUP($A$1&amp;"-"&amp;ROW(AH57),基本資料填寫!$A:$DN,COLUMN(基本資料填寫!AV58),0),"")</f>
        <v/>
      </c>
      <c r="AT58" s="47" t="str">
        <f>IFERROR(VLOOKUP($A$1&amp;"-"&amp;ROW(AI57),基本資料填寫!$A:$DN,COLUMN(基本資料填寫!AW58),0),"")</f>
        <v/>
      </c>
      <c r="AU58" s="47" t="str">
        <f>IFERROR(VLOOKUP($A$1&amp;"-"&amp;ROW(AJ57),基本資料填寫!$A:$DN,COLUMN(基本資料填寫!AX58),0),"")</f>
        <v/>
      </c>
      <c r="AV58" s="47" t="str">
        <f>IFERROR(VLOOKUP($A$1&amp;"-"&amp;ROW(AK57),基本資料填寫!$A:$DN,COLUMN(基本資料填寫!AY58),0),"")</f>
        <v/>
      </c>
      <c r="AW58" s="47" t="str">
        <f>IFERROR(VLOOKUP($A$1&amp;"-"&amp;ROW(AL57),基本資料填寫!$A:$DN,COLUMN(基本資料填寫!AZ58),0),"")</f>
        <v/>
      </c>
      <c r="AX58" s="47" t="str">
        <f>IFERROR(VLOOKUP($A$1&amp;"-"&amp;ROW(AM57),基本資料填寫!$A:$DN,COLUMN(基本資料填寫!BA58),0),"")</f>
        <v/>
      </c>
      <c r="AY58" s="47" t="str">
        <f>IFERROR(VLOOKUP($A$1&amp;"-"&amp;ROW(AN57),基本資料填寫!$A:$DN,COLUMN(基本資料填寫!BB58),0),"")</f>
        <v/>
      </c>
      <c r="AZ58" s="47" t="str">
        <f>IFERROR(VLOOKUP($A$1&amp;"-"&amp;ROW(AO57),基本資料填寫!$A:$DN,COLUMN(基本資料填寫!BC58),0),"")</f>
        <v/>
      </c>
      <c r="BA58" s="47" t="str">
        <f>IFERROR(VLOOKUP($A$1&amp;"-"&amp;ROW(AP57),基本資料填寫!$A:$DN,COLUMN(基本資料填寫!BD58),0),"")</f>
        <v/>
      </c>
      <c r="BB58" s="47" t="str">
        <f>IFERROR(VLOOKUP($A$1&amp;"-"&amp;ROW(AQ57),基本資料填寫!$A:$DN,COLUMN(基本資料填寫!BE58),0),"")</f>
        <v/>
      </c>
      <c r="BC58" s="47" t="str">
        <f>IFERROR(VLOOKUP($A$1&amp;"-"&amp;ROW(AR57),基本資料填寫!$A:$DN,COLUMN(基本資料填寫!BF58),0),"")</f>
        <v/>
      </c>
      <c r="BD58" s="47" t="str">
        <f>IFERROR(VLOOKUP($A$1&amp;"-"&amp;ROW(AS57),基本資料填寫!$A:$DN,COLUMN(基本資料填寫!BG58),0),"")</f>
        <v/>
      </c>
      <c r="BE58" s="47" t="str">
        <f>IFERROR(VLOOKUP($A$1&amp;"-"&amp;ROW(AT57),基本資料填寫!$A:$DN,COLUMN(基本資料填寫!BH58),0),"")</f>
        <v/>
      </c>
      <c r="BF58" s="47" t="str">
        <f>IFERROR(VLOOKUP($A$1&amp;"-"&amp;ROW(AU57),基本資料填寫!$A:$DN,COLUMN(基本資料填寫!BI58),0),"")</f>
        <v/>
      </c>
      <c r="BG58" s="47" t="str">
        <f>IFERROR(VLOOKUP($A$1&amp;"-"&amp;ROW(AV57),基本資料填寫!$A:$DN,COLUMN(基本資料填寫!BJ58),0),"")</f>
        <v/>
      </c>
      <c r="BH58" s="47" t="str">
        <f>IFERROR(VLOOKUP($A$1&amp;"-"&amp;ROW(AW57),基本資料填寫!$A:$DN,COLUMN(基本資料填寫!BK58),0),"")</f>
        <v/>
      </c>
      <c r="BI58" s="47" t="str">
        <f>IFERROR(VLOOKUP($A$1&amp;"-"&amp;ROW(AX57),基本資料填寫!$A:$DN,COLUMN(基本資料填寫!BL58),0),"")</f>
        <v/>
      </c>
      <c r="BJ58" s="47" t="str">
        <f>IFERROR(VLOOKUP($A$1&amp;"-"&amp;ROW(AY57),基本資料填寫!$A:$DN,COLUMN(基本資料填寫!BM58),0),"")</f>
        <v/>
      </c>
      <c r="BK58" s="47" t="str">
        <f>IFERROR(VLOOKUP($A$1&amp;"-"&amp;ROW(AZ57),基本資料填寫!$A:$DN,COLUMN(基本資料填寫!BN58),0),"")</f>
        <v/>
      </c>
      <c r="BL58" s="47" t="str">
        <f>IFERROR(VLOOKUP($A$1&amp;"-"&amp;ROW(BA57),基本資料填寫!$A:$DN,COLUMN(基本資料填寫!BO58),0),"")</f>
        <v/>
      </c>
      <c r="BM58" s="47" t="str">
        <f>IFERROR(VLOOKUP($A$1&amp;"-"&amp;ROW(BB57),基本資料填寫!$A:$DN,COLUMN(基本資料填寫!BP58),0),"")</f>
        <v/>
      </c>
      <c r="BN58" s="47" t="str">
        <f>IFERROR(VLOOKUP($A$1&amp;"-"&amp;ROW(BC57),基本資料填寫!$A:$DN,COLUMN(基本資料填寫!BQ58),0),"")</f>
        <v/>
      </c>
      <c r="BO58" s="47" t="str">
        <f>IFERROR(VLOOKUP($A$1&amp;"-"&amp;ROW(BD57),基本資料填寫!$A:$DN,COLUMN(基本資料填寫!BR58),0),"")</f>
        <v/>
      </c>
    </row>
    <row r="59" spans="2:67" x14ac:dyDescent="0.3">
      <c r="B59" s="47" t="str">
        <f>IFERROR(VLOOKUP($A$1&amp;"-"&amp;ROW(A58),基本資料填寫!$A:$DN,COLUMN(基本資料填寫!K59),0),"")</f>
        <v/>
      </c>
      <c r="C59" s="47" t="str">
        <f>IFERROR(VLOOKUP($A$1&amp;"-"&amp;ROW(B58),基本資料填寫!$A:$DN,COLUMN(基本資料填寫!L59),0),"")</f>
        <v/>
      </c>
      <c r="D59" s="47" t="str">
        <f>IF(E59="","",COUNTA($E$2:E59))</f>
        <v/>
      </c>
      <c r="E59" s="47" t="str">
        <f>IFERROR(VLOOKUP($A$1&amp;"-"&amp;ROW(E58),基本資料填寫!$A:$DN,COLUMN(基本資料填寫!S59),0),"")</f>
        <v/>
      </c>
      <c r="G59" s="47" t="str">
        <f>IFERROR(VLOOKUP($A$1&amp;"-"&amp;ROW(G58),基本資料填寫!$A:$DN,COLUMN(基本資料填寫!V59),0),"")</f>
        <v/>
      </c>
      <c r="H59" s="47" t="str">
        <f>IFERROR(VLOOKUP($A$1&amp;"-"&amp;ROW(BI58),基本資料填寫!$A:$DN,COLUMN(基本資料填寫!BW59),0),"")</f>
        <v/>
      </c>
      <c r="I59" s="47" t="str">
        <f>IFERROR(VLOOKUP($A$1&amp;"-"&amp;ROW(I58),基本資料填寫!$A:$DN,COLUMN(基本資料填寫!AN59),0),"")</f>
        <v/>
      </c>
      <c r="J59" s="47" t="str">
        <f>IFERROR(VLOOKUP($A$1&amp;"-"&amp;ROW(K58),基本資料填寫!$A:$DN,COLUMN(基本資料填寫!R59),0),"")</f>
        <v/>
      </c>
      <c r="K59" s="47" t="str">
        <f>IFERROR(VLOOKUP($A$1&amp;"-"&amp;ROW(AA58),基本資料填寫!$A:$DN,COLUMN(基本資料填寫!BX59),0),"")</f>
        <v/>
      </c>
      <c r="L59" s="47" t="str">
        <f>IFERROR(VLOOKUP($A$1&amp;"-"&amp;ROW(S58),基本資料填寫!$A:$DN,COLUMN(基本資料填寫!Z59),0),"")</f>
        <v/>
      </c>
      <c r="M59" s="47" t="str">
        <f>IFERROR(VLOOKUP($A$1&amp;"-"&amp;ROW(T58),基本資料填寫!$A:$DN,COLUMN(基本資料填寫!AA59),0),"")</f>
        <v/>
      </c>
      <c r="N59" s="47" t="str">
        <f>IFERROR(VLOOKUP($A$1&amp;"-"&amp;ROW(AB58),基本資料填寫!$A:$DN,COLUMN(基本資料填寫!BY59),0),"")</f>
        <v/>
      </c>
      <c r="O59" s="47" t="str">
        <f>IFERROR(VLOOKUP($A$1&amp;"-"&amp;ROW(AC58),基本資料填寫!$A:$DN,COLUMN(基本資料填寫!BZ59),0),"")</f>
        <v/>
      </c>
      <c r="P59" s="47" t="str">
        <f>IFERROR(VLOOKUP($A$1&amp;"-"&amp;ROW(AD58),基本資料填寫!$A:$DN,COLUMN(基本資料填寫!CA59),0),"")</f>
        <v/>
      </c>
      <c r="Q59" s="47" t="str">
        <f>IFERROR(VLOOKUP($A$1&amp;"-"&amp;ROW(J58),基本資料填寫!$A:$DN,COLUMN(基本資料填寫!AO59),0),"")</f>
        <v/>
      </c>
      <c r="R59" s="47" t="str">
        <f>IFERROR(VLOOKUP($A$1&amp;"-"&amp;ROW(AE58),基本資料填寫!$A:$DN,COLUMN(基本資料填寫!CB59),0),"")</f>
        <v/>
      </c>
      <c r="S59" s="47" t="str">
        <f>IFERROR(VLOOKUP($A$1&amp;"-"&amp;ROW(AF58),基本資料填寫!$A:$DN,COLUMN(基本資料填寫!CC59),0),"")</f>
        <v/>
      </c>
      <c r="T59" s="47" t="str">
        <f>IFERROR(VLOOKUP($A$1&amp;"-"&amp;ROW(AG58),基本資料填寫!$A:$DN,COLUMN(基本資料填寫!CD59),0),"")</f>
        <v/>
      </c>
      <c r="U59" s="47" t="str">
        <f>IFERROR(VLOOKUP($A$1&amp;"-"&amp;ROW(AH58),基本資料填寫!$A:$DN,COLUMN(基本資料填寫!CE59),0),"")</f>
        <v/>
      </c>
      <c r="V59" s="47" t="str">
        <f>IFERROR(VLOOKUP($A$1&amp;"-"&amp;ROW(AI58),基本資料填寫!$A:$DN,COLUMN(基本資料填寫!CF59),0),"")</f>
        <v/>
      </c>
      <c r="W59" s="47" t="str">
        <f>IFERROR(VLOOKUP($A$1&amp;"-"&amp;ROW(AJ58),基本資料填寫!$A:$DN,COLUMN(基本資料填寫!CG59),0),"")</f>
        <v/>
      </c>
      <c r="X59" s="47" t="str">
        <f>IFERROR(VLOOKUP($A$1&amp;"-"&amp;ROW(AK58),基本資料填寫!$A:$DN,COLUMN(基本資料填寫!CH59),0),"")</f>
        <v/>
      </c>
      <c r="Y59" s="47" t="str">
        <f>IFERROR(VLOOKUP($A$1&amp;"-"&amp;ROW(AL58),基本資料填寫!$A:$DN,COLUMN(基本資料填寫!CI59),0),"")</f>
        <v/>
      </c>
      <c r="Z59" s="47" t="str">
        <f>IFERROR(VLOOKUP($A$1&amp;"-"&amp;ROW(H58),基本資料填寫!$A:$DN,COLUMN(基本資料填寫!O59),0),"")</f>
        <v/>
      </c>
      <c r="AA59" s="47" t="str">
        <f>IFERROR(VLOOKUP($A$1&amp;"-"&amp;ROW(AM58),基本資料填寫!$A:$DN,COLUMN(基本資料填寫!CJ59),0),"")</f>
        <v/>
      </c>
      <c r="AB59" s="47" t="str">
        <f>IFERROR(VLOOKUP($A$1&amp;"-"&amp;ROW(AN58),基本資料填寫!$A:$DN,COLUMN(基本資料填寫!CK59),0),"")</f>
        <v/>
      </c>
      <c r="AC59" s="47" t="str">
        <f>IFERROR(VLOOKUP($A$1&amp;"-"&amp;ROW(AP58),基本資料填寫!$A:$DN,COLUMN(基本資料填寫!CN59),0),"")</f>
        <v/>
      </c>
      <c r="AD59" s="47" t="str">
        <f>IFERROR(VLOOKUP($A$1&amp;"-"&amp;ROW(AQ58),基本資料填寫!$A:$DN,COLUMN(基本資料填寫!CO59),0),"")</f>
        <v/>
      </c>
      <c r="AE59" s="47" t="str">
        <f>IFERROR(VLOOKUP($A$1&amp;"-"&amp;ROW(AR58),基本資料填寫!$A:$DN,COLUMN(基本資料填寫!CP59),0),"")</f>
        <v/>
      </c>
      <c r="AF59" s="47" t="str">
        <f>IFERROR(VLOOKUP($A$1&amp;"-"&amp;ROW(AS58),基本資料填寫!$A:$DN,COLUMN(基本資料填寫!CQ59),0),"")</f>
        <v/>
      </c>
      <c r="AG59" s="47" t="str">
        <f>IFERROR(VLOOKUP($A$1&amp;"-"&amp;ROW(AT58),基本資料填寫!$A:$DN,COLUMN(基本資料填寫!CR59),0),"")</f>
        <v/>
      </c>
      <c r="AH59" s="47" t="str">
        <f>IFERROR(VLOOKUP($A$1&amp;"-"&amp;ROW(AU58),基本資料填寫!$A:$DN,COLUMN(基本資料填寫!CS59),0),"")</f>
        <v/>
      </c>
      <c r="AI59" s="47" t="str">
        <f>IFERROR(VLOOKUP($A$1&amp;"-"&amp;ROW(P58),基本資料填寫!$A:$DN,COLUMN(基本資料填寫!X59),0),"")</f>
        <v/>
      </c>
      <c r="AJ59" s="47" t="str">
        <f>IFERROR(VLOOKUP($A$1&amp;"-"&amp;ROW(AV58),基本資料填寫!$A:$DN,COLUMN(基本資料填寫!CT59),0),"")</f>
        <v/>
      </c>
      <c r="AK59" s="47" t="str">
        <f>IFERROR(VLOOKUP($A$1&amp;"-"&amp;ROW(AC58),基本資料填寫!$A:$DN,COLUMN(基本資料填寫!AQ59),0),"")</f>
        <v/>
      </c>
      <c r="AL59" s="47" t="str">
        <f>IFERROR(VLOOKUP($A$1&amp;"-"&amp;ROW(AO58),基本資料填寫!$A:$DN,COLUMN(基本資料填寫!CM59),0),"")</f>
        <v/>
      </c>
      <c r="AM59" s="47" t="str">
        <f>IFERROR(VLOOKUP($A$1&amp;"-"&amp;ROW(AD58),基本資料填寫!$A:$DN,COLUMN(基本資料填寫!AR59),0),"")</f>
        <v/>
      </c>
      <c r="AN59" s="47" t="str">
        <f>IFERROR(VLOOKUP($A$1&amp;"-"&amp;ROW(K58),基本資料填寫!$A:$DN,COLUMN(基本資料填寫!AP59),0),"")</f>
        <v/>
      </c>
      <c r="AO59" s="47" t="str">
        <f>IFERROR(VLOOKUP($A$1&amp;"-"&amp;ROW(J58),基本資料填寫!$A:$DN,COLUMN(基本資料填寫!AO59),0),"")</f>
        <v/>
      </c>
      <c r="AP59" s="47" t="str">
        <f>IFERROR(VLOOKUP($A$1&amp;"-"&amp;ROW(AE58),基本資料填寫!$A:$DN,COLUMN(基本資料填寫!AS59),0),"")</f>
        <v/>
      </c>
      <c r="AQ59" s="47" t="str">
        <f>IFERROR(VLOOKUP($A$1&amp;"-"&amp;ROW(AF58),基本資料填寫!$A:$DN,COLUMN(基本資料填寫!AT59),0),"")</f>
        <v/>
      </c>
      <c r="AR59" s="47" t="str">
        <f>IFERROR(VLOOKUP($A$1&amp;"-"&amp;ROW(AG58),基本資料填寫!$A:$DN,COLUMN(基本資料填寫!AU59),0),"")</f>
        <v/>
      </c>
      <c r="AS59" s="47" t="str">
        <f>IFERROR(VLOOKUP($A$1&amp;"-"&amp;ROW(AH58),基本資料填寫!$A:$DN,COLUMN(基本資料填寫!AV59),0),"")</f>
        <v/>
      </c>
      <c r="AT59" s="47" t="str">
        <f>IFERROR(VLOOKUP($A$1&amp;"-"&amp;ROW(AI58),基本資料填寫!$A:$DN,COLUMN(基本資料填寫!AW59),0),"")</f>
        <v/>
      </c>
      <c r="AU59" s="47" t="str">
        <f>IFERROR(VLOOKUP($A$1&amp;"-"&amp;ROW(AJ58),基本資料填寫!$A:$DN,COLUMN(基本資料填寫!AX59),0),"")</f>
        <v/>
      </c>
      <c r="AV59" s="47" t="str">
        <f>IFERROR(VLOOKUP($A$1&amp;"-"&amp;ROW(AK58),基本資料填寫!$A:$DN,COLUMN(基本資料填寫!AY59),0),"")</f>
        <v/>
      </c>
      <c r="AW59" s="47" t="str">
        <f>IFERROR(VLOOKUP($A$1&amp;"-"&amp;ROW(AL58),基本資料填寫!$A:$DN,COLUMN(基本資料填寫!AZ59),0),"")</f>
        <v/>
      </c>
      <c r="AX59" s="47" t="str">
        <f>IFERROR(VLOOKUP($A$1&amp;"-"&amp;ROW(AM58),基本資料填寫!$A:$DN,COLUMN(基本資料填寫!BA59),0),"")</f>
        <v/>
      </c>
      <c r="AY59" s="47" t="str">
        <f>IFERROR(VLOOKUP($A$1&amp;"-"&amp;ROW(AN58),基本資料填寫!$A:$DN,COLUMN(基本資料填寫!BB59),0),"")</f>
        <v/>
      </c>
      <c r="AZ59" s="47" t="str">
        <f>IFERROR(VLOOKUP($A$1&amp;"-"&amp;ROW(AO58),基本資料填寫!$A:$DN,COLUMN(基本資料填寫!BC59),0),"")</f>
        <v/>
      </c>
      <c r="BA59" s="47" t="str">
        <f>IFERROR(VLOOKUP($A$1&amp;"-"&amp;ROW(AP58),基本資料填寫!$A:$DN,COLUMN(基本資料填寫!BD59),0),"")</f>
        <v/>
      </c>
      <c r="BB59" s="47" t="str">
        <f>IFERROR(VLOOKUP($A$1&amp;"-"&amp;ROW(AQ58),基本資料填寫!$A:$DN,COLUMN(基本資料填寫!BE59),0),"")</f>
        <v/>
      </c>
      <c r="BC59" s="47" t="str">
        <f>IFERROR(VLOOKUP($A$1&amp;"-"&amp;ROW(AR58),基本資料填寫!$A:$DN,COLUMN(基本資料填寫!BF59),0),"")</f>
        <v/>
      </c>
      <c r="BD59" s="47" t="str">
        <f>IFERROR(VLOOKUP($A$1&amp;"-"&amp;ROW(AS58),基本資料填寫!$A:$DN,COLUMN(基本資料填寫!BG59),0),"")</f>
        <v/>
      </c>
      <c r="BE59" s="47" t="str">
        <f>IFERROR(VLOOKUP($A$1&amp;"-"&amp;ROW(AT58),基本資料填寫!$A:$DN,COLUMN(基本資料填寫!BH59),0),"")</f>
        <v/>
      </c>
      <c r="BF59" s="47" t="str">
        <f>IFERROR(VLOOKUP($A$1&amp;"-"&amp;ROW(AU58),基本資料填寫!$A:$DN,COLUMN(基本資料填寫!BI59),0),"")</f>
        <v/>
      </c>
      <c r="BG59" s="47" t="str">
        <f>IFERROR(VLOOKUP($A$1&amp;"-"&amp;ROW(AV58),基本資料填寫!$A:$DN,COLUMN(基本資料填寫!BJ59),0),"")</f>
        <v/>
      </c>
      <c r="BH59" s="47" t="str">
        <f>IFERROR(VLOOKUP($A$1&amp;"-"&amp;ROW(AW58),基本資料填寫!$A:$DN,COLUMN(基本資料填寫!BK59),0),"")</f>
        <v/>
      </c>
      <c r="BI59" s="47" t="str">
        <f>IFERROR(VLOOKUP($A$1&amp;"-"&amp;ROW(AX58),基本資料填寫!$A:$DN,COLUMN(基本資料填寫!BL59),0),"")</f>
        <v/>
      </c>
      <c r="BJ59" s="47" t="str">
        <f>IFERROR(VLOOKUP($A$1&amp;"-"&amp;ROW(AY58),基本資料填寫!$A:$DN,COLUMN(基本資料填寫!BM59),0),"")</f>
        <v/>
      </c>
      <c r="BK59" s="47" t="str">
        <f>IFERROR(VLOOKUP($A$1&amp;"-"&amp;ROW(AZ58),基本資料填寫!$A:$DN,COLUMN(基本資料填寫!BN59),0),"")</f>
        <v/>
      </c>
      <c r="BL59" s="47" t="str">
        <f>IFERROR(VLOOKUP($A$1&amp;"-"&amp;ROW(BA58),基本資料填寫!$A:$DN,COLUMN(基本資料填寫!BO59),0),"")</f>
        <v/>
      </c>
      <c r="BM59" s="47" t="str">
        <f>IFERROR(VLOOKUP($A$1&amp;"-"&amp;ROW(BB58),基本資料填寫!$A:$DN,COLUMN(基本資料填寫!BP59),0),"")</f>
        <v/>
      </c>
      <c r="BN59" s="47" t="str">
        <f>IFERROR(VLOOKUP($A$1&amp;"-"&amp;ROW(BC58),基本資料填寫!$A:$DN,COLUMN(基本資料填寫!BQ59),0),"")</f>
        <v/>
      </c>
      <c r="BO59" s="47" t="str">
        <f>IFERROR(VLOOKUP($A$1&amp;"-"&amp;ROW(BD58),基本資料填寫!$A:$DN,COLUMN(基本資料填寫!BR59),0),"")</f>
        <v/>
      </c>
    </row>
    <row r="60" spans="2:67" x14ac:dyDescent="0.3">
      <c r="B60" s="47" t="str">
        <f>IFERROR(VLOOKUP($A$1&amp;"-"&amp;ROW(A59),基本資料填寫!$A:$DN,COLUMN(基本資料填寫!K60),0),"")</f>
        <v/>
      </c>
      <c r="C60" s="47" t="str">
        <f>IFERROR(VLOOKUP($A$1&amp;"-"&amp;ROW(B59),基本資料填寫!$A:$DN,COLUMN(基本資料填寫!L60),0),"")</f>
        <v/>
      </c>
      <c r="D60" s="47" t="str">
        <f>IF(E60="","",COUNTA($E$2:E60))</f>
        <v/>
      </c>
      <c r="E60" s="47" t="str">
        <f>IFERROR(VLOOKUP($A$1&amp;"-"&amp;ROW(E59),基本資料填寫!$A:$DN,COLUMN(基本資料填寫!S60),0),"")</f>
        <v/>
      </c>
      <c r="G60" s="47" t="str">
        <f>IFERROR(VLOOKUP($A$1&amp;"-"&amp;ROW(G59),基本資料填寫!$A:$DN,COLUMN(基本資料填寫!V60),0),"")</f>
        <v/>
      </c>
      <c r="H60" s="47" t="str">
        <f>IFERROR(VLOOKUP($A$1&amp;"-"&amp;ROW(BI59),基本資料填寫!$A:$DN,COLUMN(基本資料填寫!BW60),0),"")</f>
        <v/>
      </c>
      <c r="I60" s="47" t="str">
        <f>IFERROR(VLOOKUP($A$1&amp;"-"&amp;ROW(I59),基本資料填寫!$A:$DN,COLUMN(基本資料填寫!AN60),0),"")</f>
        <v/>
      </c>
      <c r="J60" s="47" t="str">
        <f>IFERROR(VLOOKUP($A$1&amp;"-"&amp;ROW(K59),基本資料填寫!$A:$DN,COLUMN(基本資料填寫!R60),0),"")</f>
        <v/>
      </c>
      <c r="K60" s="47" t="str">
        <f>IFERROR(VLOOKUP($A$1&amp;"-"&amp;ROW(AA59),基本資料填寫!$A:$DN,COLUMN(基本資料填寫!BX60),0),"")</f>
        <v/>
      </c>
      <c r="L60" s="47" t="str">
        <f>IFERROR(VLOOKUP($A$1&amp;"-"&amp;ROW(S59),基本資料填寫!$A:$DN,COLUMN(基本資料填寫!Z60),0),"")</f>
        <v/>
      </c>
      <c r="M60" s="47" t="str">
        <f>IFERROR(VLOOKUP($A$1&amp;"-"&amp;ROW(T59),基本資料填寫!$A:$DN,COLUMN(基本資料填寫!AA60),0),"")</f>
        <v/>
      </c>
      <c r="N60" s="47" t="str">
        <f>IFERROR(VLOOKUP($A$1&amp;"-"&amp;ROW(AB59),基本資料填寫!$A:$DN,COLUMN(基本資料填寫!BY60),0),"")</f>
        <v/>
      </c>
      <c r="O60" s="47" t="str">
        <f>IFERROR(VLOOKUP($A$1&amp;"-"&amp;ROW(AC59),基本資料填寫!$A:$DN,COLUMN(基本資料填寫!BZ60),0),"")</f>
        <v/>
      </c>
      <c r="P60" s="47" t="str">
        <f>IFERROR(VLOOKUP($A$1&amp;"-"&amp;ROW(AD59),基本資料填寫!$A:$DN,COLUMN(基本資料填寫!CA60),0),"")</f>
        <v/>
      </c>
      <c r="Q60" s="47" t="str">
        <f>IFERROR(VLOOKUP($A$1&amp;"-"&amp;ROW(J59),基本資料填寫!$A:$DN,COLUMN(基本資料填寫!AO60),0),"")</f>
        <v/>
      </c>
      <c r="R60" s="47" t="str">
        <f>IFERROR(VLOOKUP($A$1&amp;"-"&amp;ROW(AE59),基本資料填寫!$A:$DN,COLUMN(基本資料填寫!CB60),0),"")</f>
        <v/>
      </c>
      <c r="S60" s="47" t="str">
        <f>IFERROR(VLOOKUP($A$1&amp;"-"&amp;ROW(AF59),基本資料填寫!$A:$DN,COLUMN(基本資料填寫!CC60),0),"")</f>
        <v/>
      </c>
      <c r="T60" s="47" t="str">
        <f>IFERROR(VLOOKUP($A$1&amp;"-"&amp;ROW(AG59),基本資料填寫!$A:$DN,COLUMN(基本資料填寫!CD60),0),"")</f>
        <v/>
      </c>
      <c r="U60" s="47" t="str">
        <f>IFERROR(VLOOKUP($A$1&amp;"-"&amp;ROW(AH59),基本資料填寫!$A:$DN,COLUMN(基本資料填寫!CE60),0),"")</f>
        <v/>
      </c>
      <c r="V60" s="47" t="str">
        <f>IFERROR(VLOOKUP($A$1&amp;"-"&amp;ROW(AI59),基本資料填寫!$A:$DN,COLUMN(基本資料填寫!CF60),0),"")</f>
        <v/>
      </c>
      <c r="W60" s="47" t="str">
        <f>IFERROR(VLOOKUP($A$1&amp;"-"&amp;ROW(AJ59),基本資料填寫!$A:$DN,COLUMN(基本資料填寫!CG60),0),"")</f>
        <v/>
      </c>
      <c r="X60" s="47" t="str">
        <f>IFERROR(VLOOKUP($A$1&amp;"-"&amp;ROW(AK59),基本資料填寫!$A:$DN,COLUMN(基本資料填寫!CH60),0),"")</f>
        <v/>
      </c>
      <c r="Y60" s="47" t="str">
        <f>IFERROR(VLOOKUP($A$1&amp;"-"&amp;ROW(AL59),基本資料填寫!$A:$DN,COLUMN(基本資料填寫!CI60),0),"")</f>
        <v/>
      </c>
      <c r="Z60" s="47" t="str">
        <f>IFERROR(VLOOKUP($A$1&amp;"-"&amp;ROW(H59),基本資料填寫!$A:$DN,COLUMN(基本資料填寫!O60),0),"")</f>
        <v/>
      </c>
      <c r="AA60" s="47" t="str">
        <f>IFERROR(VLOOKUP($A$1&amp;"-"&amp;ROW(AM59),基本資料填寫!$A:$DN,COLUMN(基本資料填寫!CJ60),0),"")</f>
        <v/>
      </c>
      <c r="AB60" s="47" t="str">
        <f>IFERROR(VLOOKUP($A$1&amp;"-"&amp;ROW(AN59),基本資料填寫!$A:$DN,COLUMN(基本資料填寫!CK60),0),"")</f>
        <v/>
      </c>
      <c r="AC60" s="47" t="str">
        <f>IFERROR(VLOOKUP($A$1&amp;"-"&amp;ROW(AP59),基本資料填寫!$A:$DN,COLUMN(基本資料填寫!CN60),0),"")</f>
        <v/>
      </c>
      <c r="AD60" s="47" t="str">
        <f>IFERROR(VLOOKUP($A$1&amp;"-"&amp;ROW(AQ59),基本資料填寫!$A:$DN,COLUMN(基本資料填寫!CO60),0),"")</f>
        <v/>
      </c>
      <c r="AE60" s="47" t="str">
        <f>IFERROR(VLOOKUP($A$1&amp;"-"&amp;ROW(AR59),基本資料填寫!$A:$DN,COLUMN(基本資料填寫!CP60),0),"")</f>
        <v/>
      </c>
      <c r="AF60" s="47" t="str">
        <f>IFERROR(VLOOKUP($A$1&amp;"-"&amp;ROW(AS59),基本資料填寫!$A:$DN,COLUMN(基本資料填寫!CQ60),0),"")</f>
        <v/>
      </c>
      <c r="AG60" s="47" t="str">
        <f>IFERROR(VLOOKUP($A$1&amp;"-"&amp;ROW(AT59),基本資料填寫!$A:$DN,COLUMN(基本資料填寫!CR60),0),"")</f>
        <v/>
      </c>
      <c r="AH60" s="47" t="str">
        <f>IFERROR(VLOOKUP($A$1&amp;"-"&amp;ROW(AU59),基本資料填寫!$A:$DN,COLUMN(基本資料填寫!CS60),0),"")</f>
        <v/>
      </c>
      <c r="AI60" s="47" t="str">
        <f>IFERROR(VLOOKUP($A$1&amp;"-"&amp;ROW(P59),基本資料填寫!$A:$DN,COLUMN(基本資料填寫!X60),0),"")</f>
        <v/>
      </c>
      <c r="AJ60" s="47" t="str">
        <f>IFERROR(VLOOKUP($A$1&amp;"-"&amp;ROW(AV59),基本資料填寫!$A:$DN,COLUMN(基本資料填寫!CT60),0),"")</f>
        <v/>
      </c>
      <c r="AK60" s="47" t="str">
        <f>IFERROR(VLOOKUP($A$1&amp;"-"&amp;ROW(AC59),基本資料填寫!$A:$DN,COLUMN(基本資料填寫!AQ60),0),"")</f>
        <v/>
      </c>
      <c r="AL60" s="47" t="str">
        <f>IFERROR(VLOOKUP($A$1&amp;"-"&amp;ROW(AO59),基本資料填寫!$A:$DN,COLUMN(基本資料填寫!CM60),0),"")</f>
        <v/>
      </c>
      <c r="AM60" s="47" t="str">
        <f>IFERROR(VLOOKUP($A$1&amp;"-"&amp;ROW(AD59),基本資料填寫!$A:$DN,COLUMN(基本資料填寫!AR60),0),"")</f>
        <v/>
      </c>
      <c r="AN60" s="47" t="str">
        <f>IFERROR(VLOOKUP($A$1&amp;"-"&amp;ROW(K59),基本資料填寫!$A:$DN,COLUMN(基本資料填寫!AP60),0),"")</f>
        <v/>
      </c>
      <c r="AO60" s="47" t="str">
        <f>IFERROR(VLOOKUP($A$1&amp;"-"&amp;ROW(J59),基本資料填寫!$A:$DN,COLUMN(基本資料填寫!AO60),0),"")</f>
        <v/>
      </c>
      <c r="AP60" s="47" t="str">
        <f>IFERROR(VLOOKUP($A$1&amp;"-"&amp;ROW(AE59),基本資料填寫!$A:$DN,COLUMN(基本資料填寫!AS60),0),"")</f>
        <v/>
      </c>
      <c r="AQ60" s="47" t="str">
        <f>IFERROR(VLOOKUP($A$1&amp;"-"&amp;ROW(AF59),基本資料填寫!$A:$DN,COLUMN(基本資料填寫!AT60),0),"")</f>
        <v/>
      </c>
      <c r="AR60" s="47" t="str">
        <f>IFERROR(VLOOKUP($A$1&amp;"-"&amp;ROW(AG59),基本資料填寫!$A:$DN,COLUMN(基本資料填寫!AU60),0),"")</f>
        <v/>
      </c>
      <c r="AS60" s="47" t="str">
        <f>IFERROR(VLOOKUP($A$1&amp;"-"&amp;ROW(AH59),基本資料填寫!$A:$DN,COLUMN(基本資料填寫!AV60),0),"")</f>
        <v/>
      </c>
      <c r="AT60" s="47" t="str">
        <f>IFERROR(VLOOKUP($A$1&amp;"-"&amp;ROW(AI59),基本資料填寫!$A:$DN,COLUMN(基本資料填寫!AW60),0),"")</f>
        <v/>
      </c>
      <c r="AU60" s="47" t="str">
        <f>IFERROR(VLOOKUP($A$1&amp;"-"&amp;ROW(AJ59),基本資料填寫!$A:$DN,COLUMN(基本資料填寫!AX60),0),"")</f>
        <v/>
      </c>
      <c r="AV60" s="47" t="str">
        <f>IFERROR(VLOOKUP($A$1&amp;"-"&amp;ROW(AK59),基本資料填寫!$A:$DN,COLUMN(基本資料填寫!AY60),0),"")</f>
        <v/>
      </c>
      <c r="AW60" s="47" t="str">
        <f>IFERROR(VLOOKUP($A$1&amp;"-"&amp;ROW(AL59),基本資料填寫!$A:$DN,COLUMN(基本資料填寫!AZ60),0),"")</f>
        <v/>
      </c>
      <c r="AX60" s="47" t="str">
        <f>IFERROR(VLOOKUP($A$1&amp;"-"&amp;ROW(AM59),基本資料填寫!$A:$DN,COLUMN(基本資料填寫!BA60),0),"")</f>
        <v/>
      </c>
      <c r="AY60" s="47" t="str">
        <f>IFERROR(VLOOKUP($A$1&amp;"-"&amp;ROW(AN59),基本資料填寫!$A:$DN,COLUMN(基本資料填寫!BB60),0),"")</f>
        <v/>
      </c>
      <c r="AZ60" s="47" t="str">
        <f>IFERROR(VLOOKUP($A$1&amp;"-"&amp;ROW(AO59),基本資料填寫!$A:$DN,COLUMN(基本資料填寫!BC60),0),"")</f>
        <v/>
      </c>
      <c r="BA60" s="47" t="str">
        <f>IFERROR(VLOOKUP($A$1&amp;"-"&amp;ROW(AP59),基本資料填寫!$A:$DN,COLUMN(基本資料填寫!BD60),0),"")</f>
        <v/>
      </c>
      <c r="BB60" s="47" t="str">
        <f>IFERROR(VLOOKUP($A$1&amp;"-"&amp;ROW(AQ59),基本資料填寫!$A:$DN,COLUMN(基本資料填寫!BE60),0),"")</f>
        <v/>
      </c>
      <c r="BC60" s="47" t="str">
        <f>IFERROR(VLOOKUP($A$1&amp;"-"&amp;ROW(AR59),基本資料填寫!$A:$DN,COLUMN(基本資料填寫!BF60),0),"")</f>
        <v/>
      </c>
      <c r="BD60" s="47" t="str">
        <f>IFERROR(VLOOKUP($A$1&amp;"-"&amp;ROW(AS59),基本資料填寫!$A:$DN,COLUMN(基本資料填寫!BG60),0),"")</f>
        <v/>
      </c>
      <c r="BE60" s="47" t="str">
        <f>IFERROR(VLOOKUP($A$1&amp;"-"&amp;ROW(AT59),基本資料填寫!$A:$DN,COLUMN(基本資料填寫!BH60),0),"")</f>
        <v/>
      </c>
      <c r="BF60" s="47" t="str">
        <f>IFERROR(VLOOKUP($A$1&amp;"-"&amp;ROW(AU59),基本資料填寫!$A:$DN,COLUMN(基本資料填寫!BI60),0),"")</f>
        <v/>
      </c>
      <c r="BG60" s="47" t="str">
        <f>IFERROR(VLOOKUP($A$1&amp;"-"&amp;ROW(AV59),基本資料填寫!$A:$DN,COLUMN(基本資料填寫!BJ60),0),"")</f>
        <v/>
      </c>
      <c r="BH60" s="47" t="str">
        <f>IFERROR(VLOOKUP($A$1&amp;"-"&amp;ROW(AW59),基本資料填寫!$A:$DN,COLUMN(基本資料填寫!BK60),0),"")</f>
        <v/>
      </c>
      <c r="BI60" s="47" t="str">
        <f>IFERROR(VLOOKUP($A$1&amp;"-"&amp;ROW(AX59),基本資料填寫!$A:$DN,COLUMN(基本資料填寫!BL60),0),"")</f>
        <v/>
      </c>
      <c r="BJ60" s="47" t="str">
        <f>IFERROR(VLOOKUP($A$1&amp;"-"&amp;ROW(AY59),基本資料填寫!$A:$DN,COLUMN(基本資料填寫!BM60),0),"")</f>
        <v/>
      </c>
      <c r="BK60" s="47" t="str">
        <f>IFERROR(VLOOKUP($A$1&amp;"-"&amp;ROW(AZ59),基本資料填寫!$A:$DN,COLUMN(基本資料填寫!BN60),0),"")</f>
        <v/>
      </c>
      <c r="BL60" s="47" t="str">
        <f>IFERROR(VLOOKUP($A$1&amp;"-"&amp;ROW(BA59),基本資料填寫!$A:$DN,COLUMN(基本資料填寫!BO60),0),"")</f>
        <v/>
      </c>
      <c r="BM60" s="47" t="str">
        <f>IFERROR(VLOOKUP($A$1&amp;"-"&amp;ROW(BB59),基本資料填寫!$A:$DN,COLUMN(基本資料填寫!BP60),0),"")</f>
        <v/>
      </c>
      <c r="BN60" s="47" t="str">
        <f>IFERROR(VLOOKUP($A$1&amp;"-"&amp;ROW(BC59),基本資料填寫!$A:$DN,COLUMN(基本資料填寫!BQ60),0),"")</f>
        <v/>
      </c>
      <c r="BO60" s="47" t="str">
        <f>IFERROR(VLOOKUP($A$1&amp;"-"&amp;ROW(BD59),基本資料填寫!$A:$DN,COLUMN(基本資料填寫!BR60),0),"")</f>
        <v/>
      </c>
    </row>
    <row r="61" spans="2:67" x14ac:dyDescent="0.3">
      <c r="B61" s="47" t="str">
        <f>IFERROR(VLOOKUP($A$1&amp;"-"&amp;ROW(A60),基本資料填寫!$A:$DN,COLUMN(基本資料填寫!K61),0),"")</f>
        <v/>
      </c>
      <c r="C61" s="47" t="str">
        <f>IFERROR(VLOOKUP($A$1&amp;"-"&amp;ROW(B60),基本資料填寫!$A:$DN,COLUMN(基本資料填寫!L61),0),"")</f>
        <v/>
      </c>
      <c r="D61" s="47" t="str">
        <f>IF(E61="","",COUNTA($E$2:E61))</f>
        <v/>
      </c>
      <c r="E61" s="47" t="str">
        <f>IFERROR(VLOOKUP($A$1&amp;"-"&amp;ROW(E60),基本資料填寫!$A:$DN,COLUMN(基本資料填寫!S61),0),"")</f>
        <v/>
      </c>
      <c r="G61" s="47" t="str">
        <f>IFERROR(VLOOKUP($A$1&amp;"-"&amp;ROW(G60),基本資料填寫!$A:$DN,COLUMN(基本資料填寫!V61),0),"")</f>
        <v/>
      </c>
      <c r="H61" s="47" t="str">
        <f>IFERROR(VLOOKUP($A$1&amp;"-"&amp;ROW(BI60),基本資料填寫!$A:$DN,COLUMN(基本資料填寫!BW61),0),"")</f>
        <v/>
      </c>
      <c r="I61" s="47" t="str">
        <f>IFERROR(VLOOKUP($A$1&amp;"-"&amp;ROW(I60),基本資料填寫!$A:$DN,COLUMN(基本資料填寫!AN61),0),"")</f>
        <v/>
      </c>
      <c r="J61" s="47" t="str">
        <f>IFERROR(VLOOKUP($A$1&amp;"-"&amp;ROW(K60),基本資料填寫!$A:$DN,COLUMN(基本資料填寫!R61),0),"")</f>
        <v/>
      </c>
      <c r="K61" s="47" t="str">
        <f>IFERROR(VLOOKUP($A$1&amp;"-"&amp;ROW(AA60),基本資料填寫!$A:$DN,COLUMN(基本資料填寫!BX61),0),"")</f>
        <v/>
      </c>
      <c r="L61" s="47" t="str">
        <f>IFERROR(VLOOKUP($A$1&amp;"-"&amp;ROW(S60),基本資料填寫!$A:$DN,COLUMN(基本資料填寫!Z61),0),"")</f>
        <v/>
      </c>
      <c r="M61" s="47" t="str">
        <f>IFERROR(VLOOKUP($A$1&amp;"-"&amp;ROW(T60),基本資料填寫!$A:$DN,COLUMN(基本資料填寫!AA61),0),"")</f>
        <v/>
      </c>
      <c r="N61" s="47" t="str">
        <f>IFERROR(VLOOKUP($A$1&amp;"-"&amp;ROW(AB60),基本資料填寫!$A:$DN,COLUMN(基本資料填寫!BY61),0),"")</f>
        <v/>
      </c>
      <c r="O61" s="47" t="str">
        <f>IFERROR(VLOOKUP($A$1&amp;"-"&amp;ROW(AC60),基本資料填寫!$A:$DN,COLUMN(基本資料填寫!BZ61),0),"")</f>
        <v/>
      </c>
      <c r="P61" s="47" t="str">
        <f>IFERROR(VLOOKUP($A$1&amp;"-"&amp;ROW(AD60),基本資料填寫!$A:$DN,COLUMN(基本資料填寫!CA61),0),"")</f>
        <v/>
      </c>
      <c r="Q61" s="47" t="str">
        <f>IFERROR(VLOOKUP($A$1&amp;"-"&amp;ROW(J60),基本資料填寫!$A:$DN,COLUMN(基本資料填寫!AO61),0),"")</f>
        <v/>
      </c>
      <c r="R61" s="47" t="str">
        <f>IFERROR(VLOOKUP($A$1&amp;"-"&amp;ROW(AE60),基本資料填寫!$A:$DN,COLUMN(基本資料填寫!CB61),0),"")</f>
        <v/>
      </c>
      <c r="S61" s="47" t="str">
        <f>IFERROR(VLOOKUP($A$1&amp;"-"&amp;ROW(AF60),基本資料填寫!$A:$DN,COLUMN(基本資料填寫!CC61),0),"")</f>
        <v/>
      </c>
      <c r="T61" s="47" t="str">
        <f>IFERROR(VLOOKUP($A$1&amp;"-"&amp;ROW(AG60),基本資料填寫!$A:$DN,COLUMN(基本資料填寫!CD61),0),"")</f>
        <v/>
      </c>
      <c r="U61" s="47" t="str">
        <f>IFERROR(VLOOKUP($A$1&amp;"-"&amp;ROW(AH60),基本資料填寫!$A:$DN,COLUMN(基本資料填寫!CE61),0),"")</f>
        <v/>
      </c>
      <c r="V61" s="47" t="str">
        <f>IFERROR(VLOOKUP($A$1&amp;"-"&amp;ROW(AI60),基本資料填寫!$A:$DN,COLUMN(基本資料填寫!CF61),0),"")</f>
        <v/>
      </c>
      <c r="W61" s="47" t="str">
        <f>IFERROR(VLOOKUP($A$1&amp;"-"&amp;ROW(AJ60),基本資料填寫!$A:$DN,COLUMN(基本資料填寫!CG61),0),"")</f>
        <v/>
      </c>
      <c r="X61" s="47" t="str">
        <f>IFERROR(VLOOKUP($A$1&amp;"-"&amp;ROW(AK60),基本資料填寫!$A:$DN,COLUMN(基本資料填寫!CH61),0),"")</f>
        <v/>
      </c>
      <c r="Y61" s="47" t="str">
        <f>IFERROR(VLOOKUP($A$1&amp;"-"&amp;ROW(AL60),基本資料填寫!$A:$DN,COLUMN(基本資料填寫!CI61),0),"")</f>
        <v/>
      </c>
      <c r="Z61" s="47" t="str">
        <f>IFERROR(VLOOKUP($A$1&amp;"-"&amp;ROW(H60),基本資料填寫!$A:$DN,COLUMN(基本資料填寫!O61),0),"")</f>
        <v/>
      </c>
      <c r="AA61" s="47" t="str">
        <f>IFERROR(VLOOKUP($A$1&amp;"-"&amp;ROW(AM60),基本資料填寫!$A:$DN,COLUMN(基本資料填寫!CJ61),0),"")</f>
        <v/>
      </c>
      <c r="AB61" s="47" t="str">
        <f>IFERROR(VLOOKUP($A$1&amp;"-"&amp;ROW(AN60),基本資料填寫!$A:$DN,COLUMN(基本資料填寫!CK61),0),"")</f>
        <v/>
      </c>
      <c r="AC61" s="47" t="str">
        <f>IFERROR(VLOOKUP($A$1&amp;"-"&amp;ROW(AP60),基本資料填寫!$A:$DN,COLUMN(基本資料填寫!CN61),0),"")</f>
        <v/>
      </c>
      <c r="AD61" s="47" t="str">
        <f>IFERROR(VLOOKUP($A$1&amp;"-"&amp;ROW(AQ60),基本資料填寫!$A:$DN,COLUMN(基本資料填寫!CO61),0),"")</f>
        <v/>
      </c>
      <c r="AE61" s="47" t="str">
        <f>IFERROR(VLOOKUP($A$1&amp;"-"&amp;ROW(AR60),基本資料填寫!$A:$DN,COLUMN(基本資料填寫!CP61),0),"")</f>
        <v/>
      </c>
      <c r="AF61" s="47" t="str">
        <f>IFERROR(VLOOKUP($A$1&amp;"-"&amp;ROW(AS60),基本資料填寫!$A:$DN,COLUMN(基本資料填寫!CQ61),0),"")</f>
        <v/>
      </c>
      <c r="AG61" s="47" t="str">
        <f>IFERROR(VLOOKUP($A$1&amp;"-"&amp;ROW(AT60),基本資料填寫!$A:$DN,COLUMN(基本資料填寫!CR61),0),"")</f>
        <v/>
      </c>
      <c r="AH61" s="47" t="str">
        <f>IFERROR(VLOOKUP($A$1&amp;"-"&amp;ROW(AU60),基本資料填寫!$A:$DN,COLUMN(基本資料填寫!CS61),0),"")</f>
        <v/>
      </c>
      <c r="AI61" s="47" t="str">
        <f>IFERROR(VLOOKUP($A$1&amp;"-"&amp;ROW(P60),基本資料填寫!$A:$DN,COLUMN(基本資料填寫!X61),0),"")</f>
        <v/>
      </c>
      <c r="AJ61" s="47" t="str">
        <f>IFERROR(VLOOKUP($A$1&amp;"-"&amp;ROW(AV60),基本資料填寫!$A:$DN,COLUMN(基本資料填寫!CT61),0),"")</f>
        <v/>
      </c>
      <c r="AK61" s="47" t="str">
        <f>IFERROR(VLOOKUP($A$1&amp;"-"&amp;ROW(AC60),基本資料填寫!$A:$DN,COLUMN(基本資料填寫!AQ61),0),"")</f>
        <v/>
      </c>
      <c r="AL61" s="47" t="str">
        <f>IFERROR(VLOOKUP($A$1&amp;"-"&amp;ROW(AO60),基本資料填寫!$A:$DN,COLUMN(基本資料填寫!CM61),0),"")</f>
        <v/>
      </c>
      <c r="AM61" s="47" t="str">
        <f>IFERROR(VLOOKUP($A$1&amp;"-"&amp;ROW(AD60),基本資料填寫!$A:$DN,COLUMN(基本資料填寫!AR61),0),"")</f>
        <v/>
      </c>
      <c r="AN61" s="47" t="str">
        <f>IFERROR(VLOOKUP($A$1&amp;"-"&amp;ROW(K60),基本資料填寫!$A:$DN,COLUMN(基本資料填寫!AP61),0),"")</f>
        <v/>
      </c>
      <c r="AO61" s="47" t="str">
        <f>IFERROR(VLOOKUP($A$1&amp;"-"&amp;ROW(J60),基本資料填寫!$A:$DN,COLUMN(基本資料填寫!AO61),0),"")</f>
        <v/>
      </c>
      <c r="AP61" s="47" t="str">
        <f>IFERROR(VLOOKUP($A$1&amp;"-"&amp;ROW(AE60),基本資料填寫!$A:$DN,COLUMN(基本資料填寫!AS61),0),"")</f>
        <v/>
      </c>
      <c r="AQ61" s="47" t="str">
        <f>IFERROR(VLOOKUP($A$1&amp;"-"&amp;ROW(AF60),基本資料填寫!$A:$DN,COLUMN(基本資料填寫!AT61),0),"")</f>
        <v/>
      </c>
      <c r="AR61" s="47" t="str">
        <f>IFERROR(VLOOKUP($A$1&amp;"-"&amp;ROW(AG60),基本資料填寫!$A:$DN,COLUMN(基本資料填寫!AU61),0),"")</f>
        <v/>
      </c>
      <c r="AS61" s="47" t="str">
        <f>IFERROR(VLOOKUP($A$1&amp;"-"&amp;ROW(AH60),基本資料填寫!$A:$DN,COLUMN(基本資料填寫!AV61),0),"")</f>
        <v/>
      </c>
      <c r="AT61" s="47" t="str">
        <f>IFERROR(VLOOKUP($A$1&amp;"-"&amp;ROW(AI60),基本資料填寫!$A:$DN,COLUMN(基本資料填寫!AW61),0),"")</f>
        <v/>
      </c>
      <c r="AU61" s="47" t="str">
        <f>IFERROR(VLOOKUP($A$1&amp;"-"&amp;ROW(AJ60),基本資料填寫!$A:$DN,COLUMN(基本資料填寫!AX61),0),"")</f>
        <v/>
      </c>
      <c r="AV61" s="47" t="str">
        <f>IFERROR(VLOOKUP($A$1&amp;"-"&amp;ROW(AK60),基本資料填寫!$A:$DN,COLUMN(基本資料填寫!AY61),0),"")</f>
        <v/>
      </c>
      <c r="AW61" s="47" t="str">
        <f>IFERROR(VLOOKUP($A$1&amp;"-"&amp;ROW(AL60),基本資料填寫!$A:$DN,COLUMN(基本資料填寫!AZ61),0),"")</f>
        <v/>
      </c>
      <c r="AX61" s="47" t="str">
        <f>IFERROR(VLOOKUP($A$1&amp;"-"&amp;ROW(AM60),基本資料填寫!$A:$DN,COLUMN(基本資料填寫!BA61),0),"")</f>
        <v/>
      </c>
      <c r="AY61" s="47" t="str">
        <f>IFERROR(VLOOKUP($A$1&amp;"-"&amp;ROW(AN60),基本資料填寫!$A:$DN,COLUMN(基本資料填寫!BB61),0),"")</f>
        <v/>
      </c>
      <c r="AZ61" s="47" t="str">
        <f>IFERROR(VLOOKUP($A$1&amp;"-"&amp;ROW(AO60),基本資料填寫!$A:$DN,COLUMN(基本資料填寫!BC61),0),"")</f>
        <v/>
      </c>
      <c r="BA61" s="47" t="str">
        <f>IFERROR(VLOOKUP($A$1&amp;"-"&amp;ROW(AP60),基本資料填寫!$A:$DN,COLUMN(基本資料填寫!BD61),0),"")</f>
        <v/>
      </c>
      <c r="BB61" s="47" t="str">
        <f>IFERROR(VLOOKUP($A$1&amp;"-"&amp;ROW(AQ60),基本資料填寫!$A:$DN,COLUMN(基本資料填寫!BE61),0),"")</f>
        <v/>
      </c>
      <c r="BC61" s="47" t="str">
        <f>IFERROR(VLOOKUP($A$1&amp;"-"&amp;ROW(AR60),基本資料填寫!$A:$DN,COLUMN(基本資料填寫!BF61),0),"")</f>
        <v/>
      </c>
      <c r="BD61" s="47" t="str">
        <f>IFERROR(VLOOKUP($A$1&amp;"-"&amp;ROW(AS60),基本資料填寫!$A:$DN,COLUMN(基本資料填寫!BG61),0),"")</f>
        <v/>
      </c>
      <c r="BE61" s="47" t="str">
        <f>IFERROR(VLOOKUP($A$1&amp;"-"&amp;ROW(AT60),基本資料填寫!$A:$DN,COLUMN(基本資料填寫!BH61),0),"")</f>
        <v/>
      </c>
      <c r="BF61" s="47" t="str">
        <f>IFERROR(VLOOKUP($A$1&amp;"-"&amp;ROW(AU60),基本資料填寫!$A:$DN,COLUMN(基本資料填寫!BI61),0),"")</f>
        <v/>
      </c>
      <c r="BG61" s="47" t="str">
        <f>IFERROR(VLOOKUP($A$1&amp;"-"&amp;ROW(AV60),基本資料填寫!$A:$DN,COLUMN(基本資料填寫!BJ61),0),"")</f>
        <v/>
      </c>
      <c r="BH61" s="47" t="str">
        <f>IFERROR(VLOOKUP($A$1&amp;"-"&amp;ROW(AW60),基本資料填寫!$A:$DN,COLUMN(基本資料填寫!BK61),0),"")</f>
        <v/>
      </c>
      <c r="BI61" s="47" t="str">
        <f>IFERROR(VLOOKUP($A$1&amp;"-"&amp;ROW(AX60),基本資料填寫!$A:$DN,COLUMN(基本資料填寫!BL61),0),"")</f>
        <v/>
      </c>
      <c r="BJ61" s="47" t="str">
        <f>IFERROR(VLOOKUP($A$1&amp;"-"&amp;ROW(AY60),基本資料填寫!$A:$DN,COLUMN(基本資料填寫!BM61),0),"")</f>
        <v/>
      </c>
      <c r="BK61" s="47" t="str">
        <f>IFERROR(VLOOKUP($A$1&amp;"-"&amp;ROW(AZ60),基本資料填寫!$A:$DN,COLUMN(基本資料填寫!BN61),0),"")</f>
        <v/>
      </c>
      <c r="BL61" s="47" t="str">
        <f>IFERROR(VLOOKUP($A$1&amp;"-"&amp;ROW(BA60),基本資料填寫!$A:$DN,COLUMN(基本資料填寫!BO61),0),"")</f>
        <v/>
      </c>
      <c r="BM61" s="47" t="str">
        <f>IFERROR(VLOOKUP($A$1&amp;"-"&amp;ROW(BB60),基本資料填寫!$A:$DN,COLUMN(基本資料填寫!BP61),0),"")</f>
        <v/>
      </c>
      <c r="BN61" s="47" t="str">
        <f>IFERROR(VLOOKUP($A$1&amp;"-"&amp;ROW(BC60),基本資料填寫!$A:$DN,COLUMN(基本資料填寫!BQ61),0),"")</f>
        <v/>
      </c>
      <c r="BO61" s="47" t="str">
        <f>IFERROR(VLOOKUP($A$1&amp;"-"&amp;ROW(BD60),基本資料填寫!$A:$DN,COLUMN(基本資料填寫!BR61),0),"")</f>
        <v/>
      </c>
    </row>
    <row r="62" spans="2:67" x14ac:dyDescent="0.3">
      <c r="B62" s="47" t="str">
        <f>IFERROR(VLOOKUP($A$1&amp;"-"&amp;ROW(A61),基本資料填寫!$A:$DN,COLUMN(基本資料填寫!K62),0),"")</f>
        <v/>
      </c>
      <c r="C62" s="47" t="str">
        <f>IFERROR(VLOOKUP($A$1&amp;"-"&amp;ROW(B61),基本資料填寫!$A:$DN,COLUMN(基本資料填寫!L62),0),"")</f>
        <v/>
      </c>
      <c r="D62" s="47" t="str">
        <f>IF(E62="","",COUNTA($E$2:E62))</f>
        <v/>
      </c>
      <c r="E62" s="47" t="str">
        <f>IFERROR(VLOOKUP($A$1&amp;"-"&amp;ROW(E61),基本資料填寫!$A:$DN,COLUMN(基本資料填寫!S62),0),"")</f>
        <v/>
      </c>
      <c r="G62" s="47" t="str">
        <f>IFERROR(VLOOKUP($A$1&amp;"-"&amp;ROW(G61),基本資料填寫!$A:$DN,COLUMN(基本資料填寫!V62),0),"")</f>
        <v/>
      </c>
      <c r="H62" s="47" t="str">
        <f>IFERROR(VLOOKUP($A$1&amp;"-"&amp;ROW(BI61),基本資料填寫!$A:$DN,COLUMN(基本資料填寫!BW62),0),"")</f>
        <v/>
      </c>
      <c r="I62" s="47" t="str">
        <f>IFERROR(VLOOKUP($A$1&amp;"-"&amp;ROW(I61),基本資料填寫!$A:$DN,COLUMN(基本資料填寫!AN62),0),"")</f>
        <v/>
      </c>
      <c r="J62" s="47" t="str">
        <f>IFERROR(VLOOKUP($A$1&amp;"-"&amp;ROW(K61),基本資料填寫!$A:$DN,COLUMN(基本資料填寫!R62),0),"")</f>
        <v/>
      </c>
      <c r="K62" s="47" t="str">
        <f>IFERROR(VLOOKUP($A$1&amp;"-"&amp;ROW(AA61),基本資料填寫!$A:$DN,COLUMN(基本資料填寫!BX62),0),"")</f>
        <v/>
      </c>
      <c r="L62" s="47" t="str">
        <f>IFERROR(VLOOKUP($A$1&amp;"-"&amp;ROW(S61),基本資料填寫!$A:$DN,COLUMN(基本資料填寫!Z62),0),"")</f>
        <v/>
      </c>
      <c r="M62" s="47" t="str">
        <f>IFERROR(VLOOKUP($A$1&amp;"-"&amp;ROW(T61),基本資料填寫!$A:$DN,COLUMN(基本資料填寫!AA62),0),"")</f>
        <v/>
      </c>
      <c r="N62" s="47" t="str">
        <f>IFERROR(VLOOKUP($A$1&amp;"-"&amp;ROW(AB61),基本資料填寫!$A:$DN,COLUMN(基本資料填寫!BY62),0),"")</f>
        <v/>
      </c>
      <c r="O62" s="47" t="str">
        <f>IFERROR(VLOOKUP($A$1&amp;"-"&amp;ROW(AC61),基本資料填寫!$A:$DN,COLUMN(基本資料填寫!BZ62),0),"")</f>
        <v/>
      </c>
      <c r="P62" s="47" t="str">
        <f>IFERROR(VLOOKUP($A$1&amp;"-"&amp;ROW(AD61),基本資料填寫!$A:$DN,COLUMN(基本資料填寫!CA62),0),"")</f>
        <v/>
      </c>
      <c r="Q62" s="47" t="str">
        <f>IFERROR(VLOOKUP($A$1&amp;"-"&amp;ROW(J61),基本資料填寫!$A:$DN,COLUMN(基本資料填寫!AO62),0),"")</f>
        <v/>
      </c>
      <c r="R62" s="47" t="str">
        <f>IFERROR(VLOOKUP($A$1&amp;"-"&amp;ROW(AE61),基本資料填寫!$A:$DN,COLUMN(基本資料填寫!CB62),0),"")</f>
        <v/>
      </c>
      <c r="S62" s="47" t="str">
        <f>IFERROR(VLOOKUP($A$1&amp;"-"&amp;ROW(AF61),基本資料填寫!$A:$DN,COLUMN(基本資料填寫!CC62),0),"")</f>
        <v/>
      </c>
      <c r="T62" s="47" t="str">
        <f>IFERROR(VLOOKUP($A$1&amp;"-"&amp;ROW(AG61),基本資料填寫!$A:$DN,COLUMN(基本資料填寫!CD62),0),"")</f>
        <v/>
      </c>
      <c r="U62" s="47" t="str">
        <f>IFERROR(VLOOKUP($A$1&amp;"-"&amp;ROW(AH61),基本資料填寫!$A:$DN,COLUMN(基本資料填寫!CE62),0),"")</f>
        <v/>
      </c>
      <c r="V62" s="47" t="str">
        <f>IFERROR(VLOOKUP($A$1&amp;"-"&amp;ROW(AI61),基本資料填寫!$A:$DN,COLUMN(基本資料填寫!CF62),0),"")</f>
        <v/>
      </c>
      <c r="W62" s="47" t="str">
        <f>IFERROR(VLOOKUP($A$1&amp;"-"&amp;ROW(AJ61),基本資料填寫!$A:$DN,COLUMN(基本資料填寫!CG62),0),"")</f>
        <v/>
      </c>
      <c r="X62" s="47" t="str">
        <f>IFERROR(VLOOKUP($A$1&amp;"-"&amp;ROW(AK61),基本資料填寫!$A:$DN,COLUMN(基本資料填寫!CH62),0),"")</f>
        <v/>
      </c>
      <c r="Y62" s="47" t="str">
        <f>IFERROR(VLOOKUP($A$1&amp;"-"&amp;ROW(AL61),基本資料填寫!$A:$DN,COLUMN(基本資料填寫!CI62),0),"")</f>
        <v/>
      </c>
      <c r="Z62" s="47" t="str">
        <f>IFERROR(VLOOKUP($A$1&amp;"-"&amp;ROW(H61),基本資料填寫!$A:$DN,COLUMN(基本資料填寫!O62),0),"")</f>
        <v/>
      </c>
      <c r="AA62" s="47" t="str">
        <f>IFERROR(VLOOKUP($A$1&amp;"-"&amp;ROW(AM61),基本資料填寫!$A:$DN,COLUMN(基本資料填寫!CJ62),0),"")</f>
        <v/>
      </c>
      <c r="AB62" s="47" t="str">
        <f>IFERROR(VLOOKUP($A$1&amp;"-"&amp;ROW(AN61),基本資料填寫!$A:$DN,COLUMN(基本資料填寫!CK62),0),"")</f>
        <v/>
      </c>
      <c r="AC62" s="47" t="str">
        <f>IFERROR(VLOOKUP($A$1&amp;"-"&amp;ROW(AP61),基本資料填寫!$A:$DN,COLUMN(基本資料填寫!CN62),0),"")</f>
        <v/>
      </c>
      <c r="AD62" s="47" t="str">
        <f>IFERROR(VLOOKUP($A$1&amp;"-"&amp;ROW(AQ61),基本資料填寫!$A:$DN,COLUMN(基本資料填寫!CO62),0),"")</f>
        <v/>
      </c>
      <c r="AE62" s="47" t="str">
        <f>IFERROR(VLOOKUP($A$1&amp;"-"&amp;ROW(AR61),基本資料填寫!$A:$DN,COLUMN(基本資料填寫!CP62),0),"")</f>
        <v/>
      </c>
      <c r="AF62" s="47" t="str">
        <f>IFERROR(VLOOKUP($A$1&amp;"-"&amp;ROW(AS61),基本資料填寫!$A:$DN,COLUMN(基本資料填寫!CQ62),0),"")</f>
        <v/>
      </c>
      <c r="AG62" s="47" t="str">
        <f>IFERROR(VLOOKUP($A$1&amp;"-"&amp;ROW(AT61),基本資料填寫!$A:$DN,COLUMN(基本資料填寫!CR62),0),"")</f>
        <v/>
      </c>
      <c r="AH62" s="47" t="str">
        <f>IFERROR(VLOOKUP($A$1&amp;"-"&amp;ROW(AU61),基本資料填寫!$A:$DN,COLUMN(基本資料填寫!CS62),0),"")</f>
        <v/>
      </c>
      <c r="AI62" s="47" t="str">
        <f>IFERROR(VLOOKUP($A$1&amp;"-"&amp;ROW(P61),基本資料填寫!$A:$DN,COLUMN(基本資料填寫!X62),0),"")</f>
        <v/>
      </c>
      <c r="AJ62" s="47" t="str">
        <f>IFERROR(VLOOKUP($A$1&amp;"-"&amp;ROW(AV61),基本資料填寫!$A:$DN,COLUMN(基本資料填寫!CT62),0),"")</f>
        <v/>
      </c>
      <c r="AK62" s="47" t="str">
        <f>IFERROR(VLOOKUP($A$1&amp;"-"&amp;ROW(AC61),基本資料填寫!$A:$DN,COLUMN(基本資料填寫!AQ62),0),"")</f>
        <v/>
      </c>
      <c r="AL62" s="47" t="str">
        <f>IFERROR(VLOOKUP($A$1&amp;"-"&amp;ROW(AO61),基本資料填寫!$A:$DN,COLUMN(基本資料填寫!CM62),0),"")</f>
        <v/>
      </c>
      <c r="AM62" s="47" t="str">
        <f>IFERROR(VLOOKUP($A$1&amp;"-"&amp;ROW(AD61),基本資料填寫!$A:$DN,COLUMN(基本資料填寫!AR62),0),"")</f>
        <v/>
      </c>
      <c r="AN62" s="47" t="str">
        <f>IFERROR(VLOOKUP($A$1&amp;"-"&amp;ROW(K61),基本資料填寫!$A:$DN,COLUMN(基本資料填寫!AP62),0),"")</f>
        <v/>
      </c>
      <c r="AO62" s="47" t="str">
        <f>IFERROR(VLOOKUP($A$1&amp;"-"&amp;ROW(J61),基本資料填寫!$A:$DN,COLUMN(基本資料填寫!AO62),0),"")</f>
        <v/>
      </c>
      <c r="AP62" s="47" t="str">
        <f>IFERROR(VLOOKUP($A$1&amp;"-"&amp;ROW(AE61),基本資料填寫!$A:$DN,COLUMN(基本資料填寫!AS62),0),"")</f>
        <v/>
      </c>
      <c r="AQ62" s="47" t="str">
        <f>IFERROR(VLOOKUP($A$1&amp;"-"&amp;ROW(AF61),基本資料填寫!$A:$DN,COLUMN(基本資料填寫!AT62),0),"")</f>
        <v/>
      </c>
      <c r="AR62" s="47" t="str">
        <f>IFERROR(VLOOKUP($A$1&amp;"-"&amp;ROW(AG61),基本資料填寫!$A:$DN,COLUMN(基本資料填寫!AU62),0),"")</f>
        <v/>
      </c>
      <c r="AS62" s="47" t="str">
        <f>IFERROR(VLOOKUP($A$1&amp;"-"&amp;ROW(AH61),基本資料填寫!$A:$DN,COLUMN(基本資料填寫!AV62),0),"")</f>
        <v/>
      </c>
      <c r="AT62" s="47" t="str">
        <f>IFERROR(VLOOKUP($A$1&amp;"-"&amp;ROW(AI61),基本資料填寫!$A:$DN,COLUMN(基本資料填寫!AW62),0),"")</f>
        <v/>
      </c>
      <c r="AU62" s="47" t="str">
        <f>IFERROR(VLOOKUP($A$1&amp;"-"&amp;ROW(AJ61),基本資料填寫!$A:$DN,COLUMN(基本資料填寫!AX62),0),"")</f>
        <v/>
      </c>
      <c r="AV62" s="47" t="str">
        <f>IFERROR(VLOOKUP($A$1&amp;"-"&amp;ROW(AK61),基本資料填寫!$A:$DN,COLUMN(基本資料填寫!AY62),0),"")</f>
        <v/>
      </c>
      <c r="AW62" s="47" t="str">
        <f>IFERROR(VLOOKUP($A$1&amp;"-"&amp;ROW(AL61),基本資料填寫!$A:$DN,COLUMN(基本資料填寫!AZ62),0),"")</f>
        <v/>
      </c>
      <c r="AX62" s="47" t="str">
        <f>IFERROR(VLOOKUP($A$1&amp;"-"&amp;ROW(AM61),基本資料填寫!$A:$DN,COLUMN(基本資料填寫!BA62),0),"")</f>
        <v/>
      </c>
      <c r="AY62" s="47" t="str">
        <f>IFERROR(VLOOKUP($A$1&amp;"-"&amp;ROW(AN61),基本資料填寫!$A:$DN,COLUMN(基本資料填寫!BB62),0),"")</f>
        <v/>
      </c>
      <c r="AZ62" s="47" t="str">
        <f>IFERROR(VLOOKUP($A$1&amp;"-"&amp;ROW(AO61),基本資料填寫!$A:$DN,COLUMN(基本資料填寫!BC62),0),"")</f>
        <v/>
      </c>
      <c r="BA62" s="47" t="str">
        <f>IFERROR(VLOOKUP($A$1&amp;"-"&amp;ROW(AP61),基本資料填寫!$A:$DN,COLUMN(基本資料填寫!BD62),0),"")</f>
        <v/>
      </c>
      <c r="BB62" s="47" t="str">
        <f>IFERROR(VLOOKUP($A$1&amp;"-"&amp;ROW(AQ61),基本資料填寫!$A:$DN,COLUMN(基本資料填寫!BE62),0),"")</f>
        <v/>
      </c>
      <c r="BC62" s="47" t="str">
        <f>IFERROR(VLOOKUP($A$1&amp;"-"&amp;ROW(AR61),基本資料填寫!$A:$DN,COLUMN(基本資料填寫!BF62),0),"")</f>
        <v/>
      </c>
      <c r="BD62" s="47" t="str">
        <f>IFERROR(VLOOKUP($A$1&amp;"-"&amp;ROW(AS61),基本資料填寫!$A:$DN,COLUMN(基本資料填寫!BG62),0),"")</f>
        <v/>
      </c>
      <c r="BE62" s="47" t="str">
        <f>IFERROR(VLOOKUP($A$1&amp;"-"&amp;ROW(AT61),基本資料填寫!$A:$DN,COLUMN(基本資料填寫!BH62),0),"")</f>
        <v/>
      </c>
      <c r="BF62" s="47" t="str">
        <f>IFERROR(VLOOKUP($A$1&amp;"-"&amp;ROW(AU61),基本資料填寫!$A:$DN,COLUMN(基本資料填寫!BI62),0),"")</f>
        <v/>
      </c>
      <c r="BG62" s="47" t="str">
        <f>IFERROR(VLOOKUP($A$1&amp;"-"&amp;ROW(AV61),基本資料填寫!$A:$DN,COLUMN(基本資料填寫!BJ62),0),"")</f>
        <v/>
      </c>
      <c r="BH62" s="47" t="str">
        <f>IFERROR(VLOOKUP($A$1&amp;"-"&amp;ROW(AW61),基本資料填寫!$A:$DN,COLUMN(基本資料填寫!BK62),0),"")</f>
        <v/>
      </c>
      <c r="BI62" s="47" t="str">
        <f>IFERROR(VLOOKUP($A$1&amp;"-"&amp;ROW(AX61),基本資料填寫!$A:$DN,COLUMN(基本資料填寫!BL62),0),"")</f>
        <v/>
      </c>
      <c r="BJ62" s="47" t="str">
        <f>IFERROR(VLOOKUP($A$1&amp;"-"&amp;ROW(AY61),基本資料填寫!$A:$DN,COLUMN(基本資料填寫!BM62),0),"")</f>
        <v/>
      </c>
      <c r="BK62" s="47" t="str">
        <f>IFERROR(VLOOKUP($A$1&amp;"-"&amp;ROW(AZ61),基本資料填寫!$A:$DN,COLUMN(基本資料填寫!BN62),0),"")</f>
        <v/>
      </c>
      <c r="BL62" s="47" t="str">
        <f>IFERROR(VLOOKUP($A$1&amp;"-"&amp;ROW(BA61),基本資料填寫!$A:$DN,COLUMN(基本資料填寫!BO62),0),"")</f>
        <v/>
      </c>
      <c r="BM62" s="47" t="str">
        <f>IFERROR(VLOOKUP($A$1&amp;"-"&amp;ROW(BB61),基本資料填寫!$A:$DN,COLUMN(基本資料填寫!BP62),0),"")</f>
        <v/>
      </c>
      <c r="BN62" s="47" t="str">
        <f>IFERROR(VLOOKUP($A$1&amp;"-"&amp;ROW(BC61),基本資料填寫!$A:$DN,COLUMN(基本資料填寫!BQ62),0),"")</f>
        <v/>
      </c>
      <c r="BO62" s="47" t="str">
        <f>IFERROR(VLOOKUP($A$1&amp;"-"&amp;ROW(BD61),基本資料填寫!$A:$DN,COLUMN(基本資料填寫!BR62),0),"")</f>
        <v/>
      </c>
    </row>
    <row r="63" spans="2:67" x14ac:dyDescent="0.3">
      <c r="B63" s="47" t="str">
        <f>IFERROR(VLOOKUP($A$1&amp;"-"&amp;ROW(A62),基本資料填寫!$A:$DN,COLUMN(基本資料填寫!K63),0),"")</f>
        <v/>
      </c>
      <c r="C63" s="47" t="str">
        <f>IFERROR(VLOOKUP($A$1&amp;"-"&amp;ROW(B62),基本資料填寫!$A:$DN,COLUMN(基本資料填寫!L63),0),"")</f>
        <v/>
      </c>
      <c r="D63" s="47" t="str">
        <f>IF(E63="","",COUNTA($E$2:E63))</f>
        <v/>
      </c>
      <c r="E63" s="47" t="str">
        <f>IFERROR(VLOOKUP($A$1&amp;"-"&amp;ROW(E62),基本資料填寫!$A:$DN,COLUMN(基本資料填寫!S63),0),"")</f>
        <v/>
      </c>
      <c r="G63" s="47" t="str">
        <f>IFERROR(VLOOKUP($A$1&amp;"-"&amp;ROW(G62),基本資料填寫!$A:$DN,COLUMN(基本資料填寫!V63),0),"")</f>
        <v/>
      </c>
      <c r="H63" s="47" t="str">
        <f>IFERROR(VLOOKUP($A$1&amp;"-"&amp;ROW(BI62),基本資料填寫!$A:$DN,COLUMN(基本資料填寫!BW63),0),"")</f>
        <v/>
      </c>
      <c r="I63" s="47" t="str">
        <f>IFERROR(VLOOKUP($A$1&amp;"-"&amp;ROW(I62),基本資料填寫!$A:$DN,COLUMN(基本資料填寫!AN63),0),"")</f>
        <v/>
      </c>
      <c r="J63" s="47" t="str">
        <f>IFERROR(VLOOKUP($A$1&amp;"-"&amp;ROW(K62),基本資料填寫!$A:$DN,COLUMN(基本資料填寫!R63),0),"")</f>
        <v/>
      </c>
      <c r="K63" s="47" t="str">
        <f>IFERROR(VLOOKUP($A$1&amp;"-"&amp;ROW(AA62),基本資料填寫!$A:$DN,COLUMN(基本資料填寫!BX63),0),"")</f>
        <v/>
      </c>
      <c r="L63" s="47" t="str">
        <f>IFERROR(VLOOKUP($A$1&amp;"-"&amp;ROW(S62),基本資料填寫!$A:$DN,COLUMN(基本資料填寫!Z63),0),"")</f>
        <v/>
      </c>
      <c r="M63" s="47" t="str">
        <f>IFERROR(VLOOKUP($A$1&amp;"-"&amp;ROW(T62),基本資料填寫!$A:$DN,COLUMN(基本資料填寫!AA63),0),"")</f>
        <v/>
      </c>
      <c r="N63" s="47" t="str">
        <f>IFERROR(VLOOKUP($A$1&amp;"-"&amp;ROW(AB62),基本資料填寫!$A:$DN,COLUMN(基本資料填寫!BY63),0),"")</f>
        <v/>
      </c>
      <c r="O63" s="47" t="str">
        <f>IFERROR(VLOOKUP($A$1&amp;"-"&amp;ROW(AC62),基本資料填寫!$A:$DN,COLUMN(基本資料填寫!BZ63),0),"")</f>
        <v/>
      </c>
      <c r="P63" s="47" t="str">
        <f>IFERROR(VLOOKUP($A$1&amp;"-"&amp;ROW(AD62),基本資料填寫!$A:$DN,COLUMN(基本資料填寫!CA63),0),"")</f>
        <v/>
      </c>
      <c r="Q63" s="47" t="str">
        <f>IFERROR(VLOOKUP($A$1&amp;"-"&amp;ROW(J62),基本資料填寫!$A:$DN,COLUMN(基本資料填寫!AO63),0),"")</f>
        <v/>
      </c>
      <c r="R63" s="47" t="str">
        <f>IFERROR(VLOOKUP($A$1&amp;"-"&amp;ROW(AE62),基本資料填寫!$A:$DN,COLUMN(基本資料填寫!CB63),0),"")</f>
        <v/>
      </c>
      <c r="S63" s="47" t="str">
        <f>IFERROR(VLOOKUP($A$1&amp;"-"&amp;ROW(AF62),基本資料填寫!$A:$DN,COLUMN(基本資料填寫!CC63),0),"")</f>
        <v/>
      </c>
      <c r="T63" s="47" t="str">
        <f>IFERROR(VLOOKUP($A$1&amp;"-"&amp;ROW(AG62),基本資料填寫!$A:$DN,COLUMN(基本資料填寫!CD63),0),"")</f>
        <v/>
      </c>
      <c r="U63" s="47" t="str">
        <f>IFERROR(VLOOKUP($A$1&amp;"-"&amp;ROW(AH62),基本資料填寫!$A:$DN,COLUMN(基本資料填寫!CE63),0),"")</f>
        <v/>
      </c>
      <c r="V63" s="47" t="str">
        <f>IFERROR(VLOOKUP($A$1&amp;"-"&amp;ROW(AI62),基本資料填寫!$A:$DN,COLUMN(基本資料填寫!CF63),0),"")</f>
        <v/>
      </c>
      <c r="W63" s="47" t="str">
        <f>IFERROR(VLOOKUP($A$1&amp;"-"&amp;ROW(AJ62),基本資料填寫!$A:$DN,COLUMN(基本資料填寫!CG63),0),"")</f>
        <v/>
      </c>
      <c r="X63" s="47" t="str">
        <f>IFERROR(VLOOKUP($A$1&amp;"-"&amp;ROW(AK62),基本資料填寫!$A:$DN,COLUMN(基本資料填寫!CH63),0),"")</f>
        <v/>
      </c>
      <c r="Y63" s="47" t="str">
        <f>IFERROR(VLOOKUP($A$1&amp;"-"&amp;ROW(AL62),基本資料填寫!$A:$DN,COLUMN(基本資料填寫!CI63),0),"")</f>
        <v/>
      </c>
      <c r="Z63" s="47" t="str">
        <f>IFERROR(VLOOKUP($A$1&amp;"-"&amp;ROW(H62),基本資料填寫!$A:$DN,COLUMN(基本資料填寫!O63),0),"")</f>
        <v/>
      </c>
      <c r="AA63" s="47" t="str">
        <f>IFERROR(VLOOKUP($A$1&amp;"-"&amp;ROW(AM62),基本資料填寫!$A:$DN,COLUMN(基本資料填寫!CJ63),0),"")</f>
        <v/>
      </c>
      <c r="AB63" s="47" t="str">
        <f>IFERROR(VLOOKUP($A$1&amp;"-"&amp;ROW(AN62),基本資料填寫!$A:$DN,COLUMN(基本資料填寫!CK63),0),"")</f>
        <v/>
      </c>
      <c r="AC63" s="47" t="str">
        <f>IFERROR(VLOOKUP($A$1&amp;"-"&amp;ROW(AP62),基本資料填寫!$A:$DN,COLUMN(基本資料填寫!CN63),0),"")</f>
        <v/>
      </c>
      <c r="AD63" s="47" t="str">
        <f>IFERROR(VLOOKUP($A$1&amp;"-"&amp;ROW(AQ62),基本資料填寫!$A:$DN,COLUMN(基本資料填寫!CO63),0),"")</f>
        <v/>
      </c>
      <c r="AE63" s="47" t="str">
        <f>IFERROR(VLOOKUP($A$1&amp;"-"&amp;ROW(AR62),基本資料填寫!$A:$DN,COLUMN(基本資料填寫!CP63),0),"")</f>
        <v/>
      </c>
      <c r="AF63" s="47" t="str">
        <f>IFERROR(VLOOKUP($A$1&amp;"-"&amp;ROW(AS62),基本資料填寫!$A:$DN,COLUMN(基本資料填寫!CQ63),0),"")</f>
        <v/>
      </c>
      <c r="AG63" s="47" t="str">
        <f>IFERROR(VLOOKUP($A$1&amp;"-"&amp;ROW(AT62),基本資料填寫!$A:$DN,COLUMN(基本資料填寫!CR63),0),"")</f>
        <v/>
      </c>
      <c r="AH63" s="47" t="str">
        <f>IFERROR(VLOOKUP($A$1&amp;"-"&amp;ROW(AU62),基本資料填寫!$A:$DN,COLUMN(基本資料填寫!CS63),0),"")</f>
        <v/>
      </c>
      <c r="AI63" s="47" t="str">
        <f>IFERROR(VLOOKUP($A$1&amp;"-"&amp;ROW(P62),基本資料填寫!$A:$DN,COLUMN(基本資料填寫!X63),0),"")</f>
        <v/>
      </c>
      <c r="AJ63" s="47" t="str">
        <f>IFERROR(VLOOKUP($A$1&amp;"-"&amp;ROW(AV62),基本資料填寫!$A:$DN,COLUMN(基本資料填寫!CT63),0),"")</f>
        <v/>
      </c>
      <c r="AK63" s="47" t="str">
        <f>IFERROR(VLOOKUP($A$1&amp;"-"&amp;ROW(AC62),基本資料填寫!$A:$DN,COLUMN(基本資料填寫!AQ63),0),"")</f>
        <v/>
      </c>
      <c r="AL63" s="47" t="str">
        <f>IFERROR(VLOOKUP($A$1&amp;"-"&amp;ROW(AO62),基本資料填寫!$A:$DN,COLUMN(基本資料填寫!CM63),0),"")</f>
        <v/>
      </c>
      <c r="AM63" s="47" t="str">
        <f>IFERROR(VLOOKUP($A$1&amp;"-"&amp;ROW(AD62),基本資料填寫!$A:$DN,COLUMN(基本資料填寫!AR63),0),"")</f>
        <v/>
      </c>
      <c r="AN63" s="47" t="str">
        <f>IFERROR(VLOOKUP($A$1&amp;"-"&amp;ROW(K62),基本資料填寫!$A:$DN,COLUMN(基本資料填寫!AP63),0),"")</f>
        <v/>
      </c>
      <c r="AO63" s="47" t="str">
        <f>IFERROR(VLOOKUP($A$1&amp;"-"&amp;ROW(J62),基本資料填寫!$A:$DN,COLUMN(基本資料填寫!AO63),0),"")</f>
        <v/>
      </c>
      <c r="AP63" s="47" t="str">
        <f>IFERROR(VLOOKUP($A$1&amp;"-"&amp;ROW(AE62),基本資料填寫!$A:$DN,COLUMN(基本資料填寫!AS63),0),"")</f>
        <v/>
      </c>
      <c r="AQ63" s="47" t="str">
        <f>IFERROR(VLOOKUP($A$1&amp;"-"&amp;ROW(AF62),基本資料填寫!$A:$DN,COLUMN(基本資料填寫!AT63),0),"")</f>
        <v/>
      </c>
      <c r="AR63" s="47" t="str">
        <f>IFERROR(VLOOKUP($A$1&amp;"-"&amp;ROW(AG62),基本資料填寫!$A:$DN,COLUMN(基本資料填寫!AU63),0),"")</f>
        <v/>
      </c>
      <c r="AS63" s="47" t="str">
        <f>IFERROR(VLOOKUP($A$1&amp;"-"&amp;ROW(AH62),基本資料填寫!$A:$DN,COLUMN(基本資料填寫!AV63),0),"")</f>
        <v/>
      </c>
      <c r="AT63" s="47" t="str">
        <f>IFERROR(VLOOKUP($A$1&amp;"-"&amp;ROW(AI62),基本資料填寫!$A:$DN,COLUMN(基本資料填寫!AW63),0),"")</f>
        <v/>
      </c>
      <c r="AU63" s="47" t="str">
        <f>IFERROR(VLOOKUP($A$1&amp;"-"&amp;ROW(AJ62),基本資料填寫!$A:$DN,COLUMN(基本資料填寫!AX63),0),"")</f>
        <v/>
      </c>
      <c r="AV63" s="47" t="str">
        <f>IFERROR(VLOOKUP($A$1&amp;"-"&amp;ROW(AK62),基本資料填寫!$A:$DN,COLUMN(基本資料填寫!AY63),0),"")</f>
        <v/>
      </c>
      <c r="AW63" s="47" t="str">
        <f>IFERROR(VLOOKUP($A$1&amp;"-"&amp;ROW(AL62),基本資料填寫!$A:$DN,COLUMN(基本資料填寫!AZ63),0),"")</f>
        <v/>
      </c>
      <c r="AX63" s="47" t="str">
        <f>IFERROR(VLOOKUP($A$1&amp;"-"&amp;ROW(AM62),基本資料填寫!$A:$DN,COLUMN(基本資料填寫!BA63),0),"")</f>
        <v/>
      </c>
      <c r="AY63" s="47" t="str">
        <f>IFERROR(VLOOKUP($A$1&amp;"-"&amp;ROW(AN62),基本資料填寫!$A:$DN,COLUMN(基本資料填寫!BB63),0),"")</f>
        <v/>
      </c>
      <c r="AZ63" s="47" t="str">
        <f>IFERROR(VLOOKUP($A$1&amp;"-"&amp;ROW(AO62),基本資料填寫!$A:$DN,COLUMN(基本資料填寫!BC63),0),"")</f>
        <v/>
      </c>
      <c r="BA63" s="47" t="str">
        <f>IFERROR(VLOOKUP($A$1&amp;"-"&amp;ROW(AP62),基本資料填寫!$A:$DN,COLUMN(基本資料填寫!BD63),0),"")</f>
        <v/>
      </c>
      <c r="BB63" s="47" t="str">
        <f>IFERROR(VLOOKUP($A$1&amp;"-"&amp;ROW(AQ62),基本資料填寫!$A:$DN,COLUMN(基本資料填寫!BE63),0),"")</f>
        <v/>
      </c>
      <c r="BC63" s="47" t="str">
        <f>IFERROR(VLOOKUP($A$1&amp;"-"&amp;ROW(AR62),基本資料填寫!$A:$DN,COLUMN(基本資料填寫!BF63),0),"")</f>
        <v/>
      </c>
      <c r="BD63" s="47" t="str">
        <f>IFERROR(VLOOKUP($A$1&amp;"-"&amp;ROW(AS62),基本資料填寫!$A:$DN,COLUMN(基本資料填寫!BG63),0),"")</f>
        <v/>
      </c>
      <c r="BE63" s="47" t="str">
        <f>IFERROR(VLOOKUP($A$1&amp;"-"&amp;ROW(AT62),基本資料填寫!$A:$DN,COLUMN(基本資料填寫!BH63),0),"")</f>
        <v/>
      </c>
      <c r="BF63" s="47" t="str">
        <f>IFERROR(VLOOKUP($A$1&amp;"-"&amp;ROW(AU62),基本資料填寫!$A:$DN,COLUMN(基本資料填寫!BI63),0),"")</f>
        <v/>
      </c>
      <c r="BG63" s="47" t="str">
        <f>IFERROR(VLOOKUP($A$1&amp;"-"&amp;ROW(AV62),基本資料填寫!$A:$DN,COLUMN(基本資料填寫!BJ63),0),"")</f>
        <v/>
      </c>
      <c r="BH63" s="47" t="str">
        <f>IFERROR(VLOOKUP($A$1&amp;"-"&amp;ROW(AW62),基本資料填寫!$A:$DN,COLUMN(基本資料填寫!BK63),0),"")</f>
        <v/>
      </c>
      <c r="BI63" s="47" t="str">
        <f>IFERROR(VLOOKUP($A$1&amp;"-"&amp;ROW(AX62),基本資料填寫!$A:$DN,COLUMN(基本資料填寫!BL63),0),"")</f>
        <v/>
      </c>
      <c r="BJ63" s="47" t="str">
        <f>IFERROR(VLOOKUP($A$1&amp;"-"&amp;ROW(AY62),基本資料填寫!$A:$DN,COLUMN(基本資料填寫!BM63),0),"")</f>
        <v/>
      </c>
      <c r="BK63" s="47" t="str">
        <f>IFERROR(VLOOKUP($A$1&amp;"-"&amp;ROW(AZ62),基本資料填寫!$A:$DN,COLUMN(基本資料填寫!BN63),0),"")</f>
        <v/>
      </c>
      <c r="BL63" s="47" t="str">
        <f>IFERROR(VLOOKUP($A$1&amp;"-"&amp;ROW(BA62),基本資料填寫!$A:$DN,COLUMN(基本資料填寫!BO63),0),"")</f>
        <v/>
      </c>
      <c r="BM63" s="47" t="str">
        <f>IFERROR(VLOOKUP($A$1&amp;"-"&amp;ROW(BB62),基本資料填寫!$A:$DN,COLUMN(基本資料填寫!BP63),0),"")</f>
        <v/>
      </c>
      <c r="BN63" s="47" t="str">
        <f>IFERROR(VLOOKUP($A$1&amp;"-"&amp;ROW(BC62),基本資料填寫!$A:$DN,COLUMN(基本資料填寫!BQ63),0),"")</f>
        <v/>
      </c>
      <c r="BO63" s="47" t="str">
        <f>IFERROR(VLOOKUP($A$1&amp;"-"&amp;ROW(BD62),基本資料填寫!$A:$DN,COLUMN(基本資料填寫!BR63),0),"")</f>
        <v/>
      </c>
    </row>
    <row r="64" spans="2:67" x14ac:dyDescent="0.3">
      <c r="B64" s="47" t="str">
        <f>IFERROR(VLOOKUP($A$1&amp;"-"&amp;ROW(A63),基本資料填寫!$A:$DN,COLUMN(基本資料填寫!K64),0),"")</f>
        <v/>
      </c>
      <c r="C64" s="47" t="str">
        <f>IFERROR(VLOOKUP($A$1&amp;"-"&amp;ROW(B63),基本資料填寫!$A:$DN,COLUMN(基本資料填寫!L64),0),"")</f>
        <v/>
      </c>
      <c r="D64" s="47" t="str">
        <f>IF(E64="","",COUNTA($E$2:E64))</f>
        <v/>
      </c>
      <c r="E64" s="47" t="str">
        <f>IFERROR(VLOOKUP($A$1&amp;"-"&amp;ROW(E63),基本資料填寫!$A:$DN,COLUMN(基本資料填寫!S64),0),"")</f>
        <v/>
      </c>
      <c r="G64" s="47" t="str">
        <f>IFERROR(VLOOKUP($A$1&amp;"-"&amp;ROW(G63),基本資料填寫!$A:$DN,COLUMN(基本資料填寫!V64),0),"")</f>
        <v/>
      </c>
      <c r="H64" s="47" t="str">
        <f>IFERROR(VLOOKUP($A$1&amp;"-"&amp;ROW(BI63),基本資料填寫!$A:$DN,COLUMN(基本資料填寫!BW64),0),"")</f>
        <v/>
      </c>
      <c r="I64" s="47" t="str">
        <f>IFERROR(VLOOKUP($A$1&amp;"-"&amp;ROW(I63),基本資料填寫!$A:$DN,COLUMN(基本資料填寫!AN64),0),"")</f>
        <v/>
      </c>
      <c r="J64" s="47" t="str">
        <f>IFERROR(VLOOKUP($A$1&amp;"-"&amp;ROW(K63),基本資料填寫!$A:$DN,COLUMN(基本資料填寫!R64),0),"")</f>
        <v/>
      </c>
      <c r="K64" s="47" t="str">
        <f>IFERROR(VLOOKUP($A$1&amp;"-"&amp;ROW(AA63),基本資料填寫!$A:$DN,COLUMN(基本資料填寫!BX64),0),"")</f>
        <v/>
      </c>
      <c r="L64" s="47" t="str">
        <f>IFERROR(VLOOKUP($A$1&amp;"-"&amp;ROW(S63),基本資料填寫!$A:$DN,COLUMN(基本資料填寫!Z64),0),"")</f>
        <v/>
      </c>
      <c r="M64" s="47" t="str">
        <f>IFERROR(VLOOKUP($A$1&amp;"-"&amp;ROW(T63),基本資料填寫!$A:$DN,COLUMN(基本資料填寫!AA64),0),"")</f>
        <v/>
      </c>
      <c r="N64" s="47" t="str">
        <f>IFERROR(VLOOKUP($A$1&amp;"-"&amp;ROW(AB63),基本資料填寫!$A:$DN,COLUMN(基本資料填寫!BY64),0),"")</f>
        <v/>
      </c>
      <c r="O64" s="47" t="str">
        <f>IFERROR(VLOOKUP($A$1&amp;"-"&amp;ROW(AC63),基本資料填寫!$A:$DN,COLUMN(基本資料填寫!BZ64),0),"")</f>
        <v/>
      </c>
      <c r="P64" s="47" t="str">
        <f>IFERROR(VLOOKUP($A$1&amp;"-"&amp;ROW(AD63),基本資料填寫!$A:$DN,COLUMN(基本資料填寫!CA64),0),"")</f>
        <v/>
      </c>
      <c r="Q64" s="47" t="str">
        <f>IFERROR(VLOOKUP($A$1&amp;"-"&amp;ROW(J63),基本資料填寫!$A:$DN,COLUMN(基本資料填寫!AO64),0),"")</f>
        <v/>
      </c>
      <c r="R64" s="47" t="str">
        <f>IFERROR(VLOOKUP($A$1&amp;"-"&amp;ROW(AE63),基本資料填寫!$A:$DN,COLUMN(基本資料填寫!CB64),0),"")</f>
        <v/>
      </c>
      <c r="S64" s="47" t="str">
        <f>IFERROR(VLOOKUP($A$1&amp;"-"&amp;ROW(AF63),基本資料填寫!$A:$DN,COLUMN(基本資料填寫!CC64),0),"")</f>
        <v/>
      </c>
      <c r="T64" s="47" t="str">
        <f>IFERROR(VLOOKUP($A$1&amp;"-"&amp;ROW(AG63),基本資料填寫!$A:$DN,COLUMN(基本資料填寫!CD64),0),"")</f>
        <v/>
      </c>
      <c r="U64" s="47" t="str">
        <f>IFERROR(VLOOKUP($A$1&amp;"-"&amp;ROW(AH63),基本資料填寫!$A:$DN,COLUMN(基本資料填寫!CE64),0),"")</f>
        <v/>
      </c>
      <c r="V64" s="47" t="str">
        <f>IFERROR(VLOOKUP($A$1&amp;"-"&amp;ROW(AI63),基本資料填寫!$A:$DN,COLUMN(基本資料填寫!CF64),0),"")</f>
        <v/>
      </c>
      <c r="W64" s="47" t="str">
        <f>IFERROR(VLOOKUP($A$1&amp;"-"&amp;ROW(AJ63),基本資料填寫!$A:$DN,COLUMN(基本資料填寫!CG64),0),"")</f>
        <v/>
      </c>
      <c r="X64" s="47" t="str">
        <f>IFERROR(VLOOKUP($A$1&amp;"-"&amp;ROW(AK63),基本資料填寫!$A:$DN,COLUMN(基本資料填寫!CH64),0),"")</f>
        <v/>
      </c>
      <c r="Y64" s="47" t="str">
        <f>IFERROR(VLOOKUP($A$1&amp;"-"&amp;ROW(AL63),基本資料填寫!$A:$DN,COLUMN(基本資料填寫!CI64),0),"")</f>
        <v/>
      </c>
      <c r="Z64" s="47" t="str">
        <f>IFERROR(VLOOKUP($A$1&amp;"-"&amp;ROW(H63),基本資料填寫!$A:$DN,COLUMN(基本資料填寫!O64),0),"")</f>
        <v/>
      </c>
      <c r="AA64" s="47" t="str">
        <f>IFERROR(VLOOKUP($A$1&amp;"-"&amp;ROW(AM63),基本資料填寫!$A:$DN,COLUMN(基本資料填寫!CJ64),0),"")</f>
        <v/>
      </c>
      <c r="AB64" s="47" t="str">
        <f>IFERROR(VLOOKUP($A$1&amp;"-"&amp;ROW(AN63),基本資料填寫!$A:$DN,COLUMN(基本資料填寫!CK64),0),"")</f>
        <v/>
      </c>
      <c r="AC64" s="47" t="str">
        <f>IFERROR(VLOOKUP($A$1&amp;"-"&amp;ROW(AP63),基本資料填寫!$A:$DN,COLUMN(基本資料填寫!CN64),0),"")</f>
        <v/>
      </c>
      <c r="AD64" s="47" t="str">
        <f>IFERROR(VLOOKUP($A$1&amp;"-"&amp;ROW(AQ63),基本資料填寫!$A:$DN,COLUMN(基本資料填寫!CO64),0),"")</f>
        <v/>
      </c>
      <c r="AE64" s="47" t="str">
        <f>IFERROR(VLOOKUP($A$1&amp;"-"&amp;ROW(AR63),基本資料填寫!$A:$DN,COLUMN(基本資料填寫!CP64),0),"")</f>
        <v/>
      </c>
      <c r="AF64" s="47" t="str">
        <f>IFERROR(VLOOKUP($A$1&amp;"-"&amp;ROW(AS63),基本資料填寫!$A:$DN,COLUMN(基本資料填寫!CQ64),0),"")</f>
        <v/>
      </c>
      <c r="AG64" s="47" t="str">
        <f>IFERROR(VLOOKUP($A$1&amp;"-"&amp;ROW(AT63),基本資料填寫!$A:$DN,COLUMN(基本資料填寫!CR64),0),"")</f>
        <v/>
      </c>
      <c r="AH64" s="47" t="str">
        <f>IFERROR(VLOOKUP($A$1&amp;"-"&amp;ROW(AU63),基本資料填寫!$A:$DN,COLUMN(基本資料填寫!CS64),0),"")</f>
        <v/>
      </c>
      <c r="AI64" s="47" t="str">
        <f>IFERROR(VLOOKUP($A$1&amp;"-"&amp;ROW(P63),基本資料填寫!$A:$DN,COLUMN(基本資料填寫!X64),0),"")</f>
        <v/>
      </c>
      <c r="AJ64" s="47" t="str">
        <f>IFERROR(VLOOKUP($A$1&amp;"-"&amp;ROW(AV63),基本資料填寫!$A:$DN,COLUMN(基本資料填寫!CT64),0),"")</f>
        <v/>
      </c>
      <c r="AK64" s="47" t="str">
        <f>IFERROR(VLOOKUP($A$1&amp;"-"&amp;ROW(AC63),基本資料填寫!$A:$DN,COLUMN(基本資料填寫!AQ64),0),"")</f>
        <v/>
      </c>
      <c r="AL64" s="47" t="str">
        <f>IFERROR(VLOOKUP($A$1&amp;"-"&amp;ROW(AO63),基本資料填寫!$A:$DN,COLUMN(基本資料填寫!CM64),0),"")</f>
        <v/>
      </c>
      <c r="AM64" s="47" t="str">
        <f>IFERROR(VLOOKUP($A$1&amp;"-"&amp;ROW(AD63),基本資料填寫!$A:$DN,COLUMN(基本資料填寫!AR64),0),"")</f>
        <v/>
      </c>
      <c r="AN64" s="47" t="str">
        <f>IFERROR(VLOOKUP($A$1&amp;"-"&amp;ROW(K63),基本資料填寫!$A:$DN,COLUMN(基本資料填寫!AP64),0),"")</f>
        <v/>
      </c>
      <c r="AO64" s="47" t="str">
        <f>IFERROR(VLOOKUP($A$1&amp;"-"&amp;ROW(J63),基本資料填寫!$A:$DN,COLUMN(基本資料填寫!AO64),0),"")</f>
        <v/>
      </c>
      <c r="AP64" s="47" t="str">
        <f>IFERROR(VLOOKUP($A$1&amp;"-"&amp;ROW(AE63),基本資料填寫!$A:$DN,COLUMN(基本資料填寫!AS64),0),"")</f>
        <v/>
      </c>
      <c r="AQ64" s="47" t="str">
        <f>IFERROR(VLOOKUP($A$1&amp;"-"&amp;ROW(AF63),基本資料填寫!$A:$DN,COLUMN(基本資料填寫!AT64),0),"")</f>
        <v/>
      </c>
      <c r="AR64" s="47" t="str">
        <f>IFERROR(VLOOKUP($A$1&amp;"-"&amp;ROW(AG63),基本資料填寫!$A:$DN,COLUMN(基本資料填寫!AU64),0),"")</f>
        <v/>
      </c>
      <c r="AS64" s="47" t="str">
        <f>IFERROR(VLOOKUP($A$1&amp;"-"&amp;ROW(AH63),基本資料填寫!$A:$DN,COLUMN(基本資料填寫!AV64),0),"")</f>
        <v/>
      </c>
      <c r="AT64" s="47" t="str">
        <f>IFERROR(VLOOKUP($A$1&amp;"-"&amp;ROW(AI63),基本資料填寫!$A:$DN,COLUMN(基本資料填寫!AW64),0),"")</f>
        <v/>
      </c>
      <c r="AU64" s="47" t="str">
        <f>IFERROR(VLOOKUP($A$1&amp;"-"&amp;ROW(AJ63),基本資料填寫!$A:$DN,COLUMN(基本資料填寫!AX64),0),"")</f>
        <v/>
      </c>
      <c r="AV64" s="47" t="str">
        <f>IFERROR(VLOOKUP($A$1&amp;"-"&amp;ROW(AK63),基本資料填寫!$A:$DN,COLUMN(基本資料填寫!AY64),0),"")</f>
        <v/>
      </c>
      <c r="AW64" s="47" t="str">
        <f>IFERROR(VLOOKUP($A$1&amp;"-"&amp;ROW(AL63),基本資料填寫!$A:$DN,COLUMN(基本資料填寫!AZ64),0),"")</f>
        <v/>
      </c>
      <c r="AX64" s="47" t="str">
        <f>IFERROR(VLOOKUP($A$1&amp;"-"&amp;ROW(AM63),基本資料填寫!$A:$DN,COLUMN(基本資料填寫!BA64),0),"")</f>
        <v/>
      </c>
      <c r="AY64" s="47" t="str">
        <f>IFERROR(VLOOKUP($A$1&amp;"-"&amp;ROW(AN63),基本資料填寫!$A:$DN,COLUMN(基本資料填寫!BB64),0),"")</f>
        <v/>
      </c>
      <c r="AZ64" s="47" t="str">
        <f>IFERROR(VLOOKUP($A$1&amp;"-"&amp;ROW(AO63),基本資料填寫!$A:$DN,COLUMN(基本資料填寫!BC64),0),"")</f>
        <v/>
      </c>
      <c r="BA64" s="47" t="str">
        <f>IFERROR(VLOOKUP($A$1&amp;"-"&amp;ROW(AP63),基本資料填寫!$A:$DN,COLUMN(基本資料填寫!BD64),0),"")</f>
        <v/>
      </c>
      <c r="BB64" s="47" t="str">
        <f>IFERROR(VLOOKUP($A$1&amp;"-"&amp;ROW(AQ63),基本資料填寫!$A:$DN,COLUMN(基本資料填寫!BE64),0),"")</f>
        <v/>
      </c>
      <c r="BC64" s="47" t="str">
        <f>IFERROR(VLOOKUP($A$1&amp;"-"&amp;ROW(AR63),基本資料填寫!$A:$DN,COLUMN(基本資料填寫!BF64),0),"")</f>
        <v/>
      </c>
      <c r="BD64" s="47" t="str">
        <f>IFERROR(VLOOKUP($A$1&amp;"-"&amp;ROW(AS63),基本資料填寫!$A:$DN,COLUMN(基本資料填寫!BG64),0),"")</f>
        <v/>
      </c>
      <c r="BE64" s="47" t="str">
        <f>IFERROR(VLOOKUP($A$1&amp;"-"&amp;ROW(AT63),基本資料填寫!$A:$DN,COLUMN(基本資料填寫!BH64),0),"")</f>
        <v/>
      </c>
      <c r="BF64" s="47" t="str">
        <f>IFERROR(VLOOKUP($A$1&amp;"-"&amp;ROW(AU63),基本資料填寫!$A:$DN,COLUMN(基本資料填寫!BI64),0),"")</f>
        <v/>
      </c>
      <c r="BG64" s="47" t="str">
        <f>IFERROR(VLOOKUP($A$1&amp;"-"&amp;ROW(AV63),基本資料填寫!$A:$DN,COLUMN(基本資料填寫!BJ64),0),"")</f>
        <v/>
      </c>
      <c r="BH64" s="47" t="str">
        <f>IFERROR(VLOOKUP($A$1&amp;"-"&amp;ROW(AW63),基本資料填寫!$A:$DN,COLUMN(基本資料填寫!BK64),0),"")</f>
        <v/>
      </c>
      <c r="BI64" s="47" t="str">
        <f>IFERROR(VLOOKUP($A$1&amp;"-"&amp;ROW(AX63),基本資料填寫!$A:$DN,COLUMN(基本資料填寫!BL64),0),"")</f>
        <v/>
      </c>
      <c r="BJ64" s="47" t="str">
        <f>IFERROR(VLOOKUP($A$1&amp;"-"&amp;ROW(AY63),基本資料填寫!$A:$DN,COLUMN(基本資料填寫!BM64),0),"")</f>
        <v/>
      </c>
      <c r="BK64" s="47" t="str">
        <f>IFERROR(VLOOKUP($A$1&amp;"-"&amp;ROW(AZ63),基本資料填寫!$A:$DN,COLUMN(基本資料填寫!BN64),0),"")</f>
        <v/>
      </c>
      <c r="BL64" s="47" t="str">
        <f>IFERROR(VLOOKUP($A$1&amp;"-"&amp;ROW(BA63),基本資料填寫!$A:$DN,COLUMN(基本資料填寫!BO64),0),"")</f>
        <v/>
      </c>
      <c r="BM64" s="47" t="str">
        <f>IFERROR(VLOOKUP($A$1&amp;"-"&amp;ROW(BB63),基本資料填寫!$A:$DN,COLUMN(基本資料填寫!BP64),0),"")</f>
        <v/>
      </c>
      <c r="BN64" s="47" t="str">
        <f>IFERROR(VLOOKUP($A$1&amp;"-"&amp;ROW(BC63),基本資料填寫!$A:$DN,COLUMN(基本資料填寫!BQ64),0),"")</f>
        <v/>
      </c>
      <c r="BO64" s="47" t="str">
        <f>IFERROR(VLOOKUP($A$1&amp;"-"&amp;ROW(BD63),基本資料填寫!$A:$DN,COLUMN(基本資料填寫!BR64),0),"")</f>
        <v/>
      </c>
    </row>
    <row r="65" spans="2:67" x14ac:dyDescent="0.3">
      <c r="B65" s="47" t="str">
        <f>IFERROR(VLOOKUP($A$1&amp;"-"&amp;ROW(A64),基本資料填寫!$A:$DN,COLUMN(基本資料填寫!K65),0),"")</f>
        <v/>
      </c>
      <c r="C65" s="47" t="str">
        <f>IFERROR(VLOOKUP($A$1&amp;"-"&amp;ROW(B64),基本資料填寫!$A:$DN,COLUMN(基本資料填寫!L65),0),"")</f>
        <v/>
      </c>
      <c r="D65" s="47" t="str">
        <f>IF(E65="","",COUNTA($E$2:E65))</f>
        <v/>
      </c>
      <c r="E65" s="47" t="str">
        <f>IFERROR(VLOOKUP($A$1&amp;"-"&amp;ROW(E64),基本資料填寫!$A:$DN,COLUMN(基本資料填寫!S65),0),"")</f>
        <v/>
      </c>
      <c r="G65" s="47" t="str">
        <f>IFERROR(VLOOKUP($A$1&amp;"-"&amp;ROW(G64),基本資料填寫!$A:$DN,COLUMN(基本資料填寫!V65),0),"")</f>
        <v/>
      </c>
      <c r="H65" s="47" t="str">
        <f>IFERROR(VLOOKUP($A$1&amp;"-"&amp;ROW(BI64),基本資料填寫!$A:$DN,COLUMN(基本資料填寫!BW65),0),"")</f>
        <v/>
      </c>
      <c r="I65" s="47" t="str">
        <f>IFERROR(VLOOKUP($A$1&amp;"-"&amp;ROW(I64),基本資料填寫!$A:$DN,COLUMN(基本資料填寫!AN65),0),"")</f>
        <v/>
      </c>
      <c r="J65" s="47" t="str">
        <f>IFERROR(VLOOKUP($A$1&amp;"-"&amp;ROW(K64),基本資料填寫!$A:$DN,COLUMN(基本資料填寫!R65),0),"")</f>
        <v/>
      </c>
      <c r="K65" s="47" t="str">
        <f>IFERROR(VLOOKUP($A$1&amp;"-"&amp;ROW(AA64),基本資料填寫!$A:$DN,COLUMN(基本資料填寫!BX65),0),"")</f>
        <v/>
      </c>
      <c r="L65" s="47" t="str">
        <f>IFERROR(VLOOKUP($A$1&amp;"-"&amp;ROW(S64),基本資料填寫!$A:$DN,COLUMN(基本資料填寫!Z65),0),"")</f>
        <v/>
      </c>
      <c r="M65" s="47" t="str">
        <f>IFERROR(VLOOKUP($A$1&amp;"-"&amp;ROW(T64),基本資料填寫!$A:$DN,COLUMN(基本資料填寫!AA65),0),"")</f>
        <v/>
      </c>
      <c r="N65" s="47" t="str">
        <f>IFERROR(VLOOKUP($A$1&amp;"-"&amp;ROW(AB64),基本資料填寫!$A:$DN,COLUMN(基本資料填寫!BY65),0),"")</f>
        <v/>
      </c>
      <c r="O65" s="47" t="str">
        <f>IFERROR(VLOOKUP($A$1&amp;"-"&amp;ROW(AC64),基本資料填寫!$A:$DN,COLUMN(基本資料填寫!BZ65),0),"")</f>
        <v/>
      </c>
      <c r="P65" s="47" t="str">
        <f>IFERROR(VLOOKUP($A$1&amp;"-"&amp;ROW(AD64),基本資料填寫!$A:$DN,COLUMN(基本資料填寫!CA65),0),"")</f>
        <v/>
      </c>
      <c r="Q65" s="47" t="str">
        <f>IFERROR(VLOOKUP($A$1&amp;"-"&amp;ROW(J64),基本資料填寫!$A:$DN,COLUMN(基本資料填寫!AO65),0),"")</f>
        <v/>
      </c>
      <c r="R65" s="47" t="str">
        <f>IFERROR(VLOOKUP($A$1&amp;"-"&amp;ROW(AE64),基本資料填寫!$A:$DN,COLUMN(基本資料填寫!CB65),0),"")</f>
        <v/>
      </c>
      <c r="S65" s="47" t="str">
        <f>IFERROR(VLOOKUP($A$1&amp;"-"&amp;ROW(AF64),基本資料填寫!$A:$DN,COLUMN(基本資料填寫!CC65),0),"")</f>
        <v/>
      </c>
      <c r="T65" s="47" t="str">
        <f>IFERROR(VLOOKUP($A$1&amp;"-"&amp;ROW(AG64),基本資料填寫!$A:$DN,COLUMN(基本資料填寫!CD65),0),"")</f>
        <v/>
      </c>
      <c r="U65" s="47" t="str">
        <f>IFERROR(VLOOKUP($A$1&amp;"-"&amp;ROW(AH64),基本資料填寫!$A:$DN,COLUMN(基本資料填寫!CE65),0),"")</f>
        <v/>
      </c>
      <c r="V65" s="47" t="str">
        <f>IFERROR(VLOOKUP($A$1&amp;"-"&amp;ROW(AI64),基本資料填寫!$A:$DN,COLUMN(基本資料填寫!CF65),0),"")</f>
        <v/>
      </c>
      <c r="W65" s="47" t="str">
        <f>IFERROR(VLOOKUP($A$1&amp;"-"&amp;ROW(AJ64),基本資料填寫!$A:$DN,COLUMN(基本資料填寫!CG65),0),"")</f>
        <v/>
      </c>
      <c r="X65" s="47" t="str">
        <f>IFERROR(VLOOKUP($A$1&amp;"-"&amp;ROW(AK64),基本資料填寫!$A:$DN,COLUMN(基本資料填寫!CH65),0),"")</f>
        <v/>
      </c>
      <c r="Y65" s="47" t="str">
        <f>IFERROR(VLOOKUP($A$1&amp;"-"&amp;ROW(AL64),基本資料填寫!$A:$DN,COLUMN(基本資料填寫!CI65),0),"")</f>
        <v/>
      </c>
      <c r="Z65" s="47" t="str">
        <f>IFERROR(VLOOKUP($A$1&amp;"-"&amp;ROW(H64),基本資料填寫!$A:$DN,COLUMN(基本資料填寫!O65),0),"")</f>
        <v/>
      </c>
      <c r="AA65" s="47" t="str">
        <f>IFERROR(VLOOKUP($A$1&amp;"-"&amp;ROW(AM64),基本資料填寫!$A:$DN,COLUMN(基本資料填寫!CJ65),0),"")</f>
        <v/>
      </c>
      <c r="AB65" s="47" t="str">
        <f>IFERROR(VLOOKUP($A$1&amp;"-"&amp;ROW(AN64),基本資料填寫!$A:$DN,COLUMN(基本資料填寫!CK65),0),"")</f>
        <v/>
      </c>
      <c r="AC65" s="47" t="str">
        <f>IFERROR(VLOOKUP($A$1&amp;"-"&amp;ROW(AP64),基本資料填寫!$A:$DN,COLUMN(基本資料填寫!CN65),0),"")</f>
        <v/>
      </c>
      <c r="AD65" s="47" t="str">
        <f>IFERROR(VLOOKUP($A$1&amp;"-"&amp;ROW(AQ64),基本資料填寫!$A:$DN,COLUMN(基本資料填寫!CO65),0),"")</f>
        <v/>
      </c>
      <c r="AE65" s="47" t="str">
        <f>IFERROR(VLOOKUP($A$1&amp;"-"&amp;ROW(AR64),基本資料填寫!$A:$DN,COLUMN(基本資料填寫!CP65),0),"")</f>
        <v/>
      </c>
      <c r="AF65" s="47" t="str">
        <f>IFERROR(VLOOKUP($A$1&amp;"-"&amp;ROW(AS64),基本資料填寫!$A:$DN,COLUMN(基本資料填寫!CQ65),0),"")</f>
        <v/>
      </c>
      <c r="AG65" s="47" t="str">
        <f>IFERROR(VLOOKUP($A$1&amp;"-"&amp;ROW(AT64),基本資料填寫!$A:$DN,COLUMN(基本資料填寫!CR65),0),"")</f>
        <v/>
      </c>
      <c r="AH65" s="47" t="str">
        <f>IFERROR(VLOOKUP($A$1&amp;"-"&amp;ROW(AU64),基本資料填寫!$A:$DN,COLUMN(基本資料填寫!CS65),0),"")</f>
        <v/>
      </c>
      <c r="AI65" s="47" t="str">
        <f>IFERROR(VLOOKUP($A$1&amp;"-"&amp;ROW(P64),基本資料填寫!$A:$DN,COLUMN(基本資料填寫!X65),0),"")</f>
        <v/>
      </c>
      <c r="AJ65" s="47" t="str">
        <f>IFERROR(VLOOKUP($A$1&amp;"-"&amp;ROW(AV64),基本資料填寫!$A:$DN,COLUMN(基本資料填寫!CT65),0),"")</f>
        <v/>
      </c>
      <c r="AK65" s="47" t="str">
        <f>IFERROR(VLOOKUP($A$1&amp;"-"&amp;ROW(AC64),基本資料填寫!$A:$DN,COLUMN(基本資料填寫!AQ65),0),"")</f>
        <v/>
      </c>
      <c r="AL65" s="47" t="str">
        <f>IFERROR(VLOOKUP($A$1&amp;"-"&amp;ROW(AO64),基本資料填寫!$A:$DN,COLUMN(基本資料填寫!CM65),0),"")</f>
        <v/>
      </c>
      <c r="AM65" s="47" t="str">
        <f>IFERROR(VLOOKUP($A$1&amp;"-"&amp;ROW(AD64),基本資料填寫!$A:$DN,COLUMN(基本資料填寫!AR65),0),"")</f>
        <v/>
      </c>
      <c r="AN65" s="47" t="str">
        <f>IFERROR(VLOOKUP($A$1&amp;"-"&amp;ROW(K64),基本資料填寫!$A:$DN,COLUMN(基本資料填寫!AP65),0),"")</f>
        <v/>
      </c>
      <c r="AO65" s="47" t="str">
        <f>IFERROR(VLOOKUP($A$1&amp;"-"&amp;ROW(J64),基本資料填寫!$A:$DN,COLUMN(基本資料填寫!AO65),0),"")</f>
        <v/>
      </c>
      <c r="AP65" s="47" t="str">
        <f>IFERROR(VLOOKUP($A$1&amp;"-"&amp;ROW(AE64),基本資料填寫!$A:$DN,COLUMN(基本資料填寫!AS65),0),"")</f>
        <v/>
      </c>
      <c r="AQ65" s="47" t="str">
        <f>IFERROR(VLOOKUP($A$1&amp;"-"&amp;ROW(AF64),基本資料填寫!$A:$DN,COLUMN(基本資料填寫!AT65),0),"")</f>
        <v/>
      </c>
      <c r="AR65" s="47" t="str">
        <f>IFERROR(VLOOKUP($A$1&amp;"-"&amp;ROW(AG64),基本資料填寫!$A:$DN,COLUMN(基本資料填寫!AU65),0),"")</f>
        <v/>
      </c>
      <c r="AS65" s="47" t="str">
        <f>IFERROR(VLOOKUP($A$1&amp;"-"&amp;ROW(AH64),基本資料填寫!$A:$DN,COLUMN(基本資料填寫!AV65),0),"")</f>
        <v/>
      </c>
      <c r="AT65" s="47" t="str">
        <f>IFERROR(VLOOKUP($A$1&amp;"-"&amp;ROW(AI64),基本資料填寫!$A:$DN,COLUMN(基本資料填寫!AW65),0),"")</f>
        <v/>
      </c>
      <c r="AU65" s="47" t="str">
        <f>IFERROR(VLOOKUP($A$1&amp;"-"&amp;ROW(AJ64),基本資料填寫!$A:$DN,COLUMN(基本資料填寫!AX65),0),"")</f>
        <v/>
      </c>
      <c r="AV65" s="47" t="str">
        <f>IFERROR(VLOOKUP($A$1&amp;"-"&amp;ROW(AK64),基本資料填寫!$A:$DN,COLUMN(基本資料填寫!AY65),0),"")</f>
        <v/>
      </c>
      <c r="AW65" s="47" t="str">
        <f>IFERROR(VLOOKUP($A$1&amp;"-"&amp;ROW(AL64),基本資料填寫!$A:$DN,COLUMN(基本資料填寫!AZ65),0),"")</f>
        <v/>
      </c>
      <c r="AX65" s="47" t="str">
        <f>IFERROR(VLOOKUP($A$1&amp;"-"&amp;ROW(AM64),基本資料填寫!$A:$DN,COLUMN(基本資料填寫!BA65),0),"")</f>
        <v/>
      </c>
      <c r="AY65" s="47" t="str">
        <f>IFERROR(VLOOKUP($A$1&amp;"-"&amp;ROW(AN64),基本資料填寫!$A:$DN,COLUMN(基本資料填寫!BB65),0),"")</f>
        <v/>
      </c>
      <c r="AZ65" s="47" t="str">
        <f>IFERROR(VLOOKUP($A$1&amp;"-"&amp;ROW(AO64),基本資料填寫!$A:$DN,COLUMN(基本資料填寫!BC65),0),"")</f>
        <v/>
      </c>
      <c r="BA65" s="47" t="str">
        <f>IFERROR(VLOOKUP($A$1&amp;"-"&amp;ROW(AP64),基本資料填寫!$A:$DN,COLUMN(基本資料填寫!BD65),0),"")</f>
        <v/>
      </c>
      <c r="BB65" s="47" t="str">
        <f>IFERROR(VLOOKUP($A$1&amp;"-"&amp;ROW(AQ64),基本資料填寫!$A:$DN,COLUMN(基本資料填寫!BE65),0),"")</f>
        <v/>
      </c>
      <c r="BC65" s="47" t="str">
        <f>IFERROR(VLOOKUP($A$1&amp;"-"&amp;ROW(AR64),基本資料填寫!$A:$DN,COLUMN(基本資料填寫!BF65),0),"")</f>
        <v/>
      </c>
      <c r="BD65" s="47" t="str">
        <f>IFERROR(VLOOKUP($A$1&amp;"-"&amp;ROW(AS64),基本資料填寫!$A:$DN,COLUMN(基本資料填寫!BG65),0),"")</f>
        <v/>
      </c>
      <c r="BE65" s="47" t="str">
        <f>IFERROR(VLOOKUP($A$1&amp;"-"&amp;ROW(AT64),基本資料填寫!$A:$DN,COLUMN(基本資料填寫!BH65),0),"")</f>
        <v/>
      </c>
      <c r="BF65" s="47" t="str">
        <f>IFERROR(VLOOKUP($A$1&amp;"-"&amp;ROW(AU64),基本資料填寫!$A:$DN,COLUMN(基本資料填寫!BI65),0),"")</f>
        <v/>
      </c>
      <c r="BG65" s="47" t="str">
        <f>IFERROR(VLOOKUP($A$1&amp;"-"&amp;ROW(AV64),基本資料填寫!$A:$DN,COLUMN(基本資料填寫!BJ65),0),"")</f>
        <v/>
      </c>
      <c r="BH65" s="47" t="str">
        <f>IFERROR(VLOOKUP($A$1&amp;"-"&amp;ROW(AW64),基本資料填寫!$A:$DN,COLUMN(基本資料填寫!BK65),0),"")</f>
        <v/>
      </c>
      <c r="BI65" s="47" t="str">
        <f>IFERROR(VLOOKUP($A$1&amp;"-"&amp;ROW(AX64),基本資料填寫!$A:$DN,COLUMN(基本資料填寫!BL65),0),"")</f>
        <v/>
      </c>
      <c r="BJ65" s="47" t="str">
        <f>IFERROR(VLOOKUP($A$1&amp;"-"&amp;ROW(AY64),基本資料填寫!$A:$DN,COLUMN(基本資料填寫!BM65),0),"")</f>
        <v/>
      </c>
      <c r="BK65" s="47" t="str">
        <f>IFERROR(VLOOKUP($A$1&amp;"-"&amp;ROW(AZ64),基本資料填寫!$A:$DN,COLUMN(基本資料填寫!BN65),0),"")</f>
        <v/>
      </c>
      <c r="BL65" s="47" t="str">
        <f>IFERROR(VLOOKUP($A$1&amp;"-"&amp;ROW(BA64),基本資料填寫!$A:$DN,COLUMN(基本資料填寫!BO65),0),"")</f>
        <v/>
      </c>
      <c r="BM65" s="47" t="str">
        <f>IFERROR(VLOOKUP($A$1&amp;"-"&amp;ROW(BB64),基本資料填寫!$A:$DN,COLUMN(基本資料填寫!BP65),0),"")</f>
        <v/>
      </c>
      <c r="BN65" s="47" t="str">
        <f>IFERROR(VLOOKUP($A$1&amp;"-"&amp;ROW(BC64),基本資料填寫!$A:$DN,COLUMN(基本資料填寫!BQ65),0),"")</f>
        <v/>
      </c>
      <c r="BO65" s="47" t="str">
        <f>IFERROR(VLOOKUP($A$1&amp;"-"&amp;ROW(BD64),基本資料填寫!$A:$DN,COLUMN(基本資料填寫!BR65),0),"")</f>
        <v/>
      </c>
    </row>
    <row r="66" spans="2:67" x14ac:dyDescent="0.3">
      <c r="B66" s="47" t="str">
        <f>IFERROR(VLOOKUP($A$1&amp;"-"&amp;ROW(A65),基本資料填寫!$A:$DN,COLUMN(基本資料填寫!K66),0),"")</f>
        <v/>
      </c>
      <c r="C66" s="47" t="str">
        <f>IFERROR(VLOOKUP($A$1&amp;"-"&amp;ROW(B65),基本資料填寫!$A:$DN,COLUMN(基本資料填寫!L66),0),"")</f>
        <v/>
      </c>
      <c r="D66" s="47" t="str">
        <f>IF(E66="","",COUNTA($E$2:E66))</f>
        <v/>
      </c>
      <c r="E66" s="47" t="str">
        <f>IFERROR(VLOOKUP($A$1&amp;"-"&amp;ROW(E65),基本資料填寫!$A:$DN,COLUMN(基本資料填寫!S66),0),"")</f>
        <v/>
      </c>
      <c r="G66" s="47" t="str">
        <f>IFERROR(VLOOKUP($A$1&amp;"-"&amp;ROW(G65),基本資料填寫!$A:$DN,COLUMN(基本資料填寫!V66),0),"")</f>
        <v/>
      </c>
      <c r="H66" s="47" t="str">
        <f>IFERROR(VLOOKUP($A$1&amp;"-"&amp;ROW(BI65),基本資料填寫!$A:$DN,COLUMN(基本資料填寫!BW66),0),"")</f>
        <v/>
      </c>
      <c r="I66" s="47" t="str">
        <f>IFERROR(VLOOKUP($A$1&amp;"-"&amp;ROW(I65),基本資料填寫!$A:$DN,COLUMN(基本資料填寫!AN66),0),"")</f>
        <v/>
      </c>
      <c r="J66" s="47" t="str">
        <f>IFERROR(VLOOKUP($A$1&amp;"-"&amp;ROW(K65),基本資料填寫!$A:$DN,COLUMN(基本資料填寫!R66),0),"")</f>
        <v/>
      </c>
      <c r="K66" s="47" t="str">
        <f>IFERROR(VLOOKUP($A$1&amp;"-"&amp;ROW(AA65),基本資料填寫!$A:$DN,COLUMN(基本資料填寫!BX66),0),"")</f>
        <v/>
      </c>
      <c r="L66" s="47" t="str">
        <f>IFERROR(VLOOKUP($A$1&amp;"-"&amp;ROW(S65),基本資料填寫!$A:$DN,COLUMN(基本資料填寫!Z66),0),"")</f>
        <v/>
      </c>
      <c r="M66" s="47" t="str">
        <f>IFERROR(VLOOKUP($A$1&amp;"-"&amp;ROW(T65),基本資料填寫!$A:$DN,COLUMN(基本資料填寫!AA66),0),"")</f>
        <v/>
      </c>
      <c r="N66" s="47" t="str">
        <f>IFERROR(VLOOKUP($A$1&amp;"-"&amp;ROW(AB65),基本資料填寫!$A:$DN,COLUMN(基本資料填寫!BY66),0),"")</f>
        <v/>
      </c>
      <c r="O66" s="47" t="str">
        <f>IFERROR(VLOOKUP($A$1&amp;"-"&amp;ROW(AC65),基本資料填寫!$A:$DN,COLUMN(基本資料填寫!BZ66),0),"")</f>
        <v/>
      </c>
      <c r="P66" s="47" t="str">
        <f>IFERROR(VLOOKUP($A$1&amp;"-"&amp;ROW(AD65),基本資料填寫!$A:$DN,COLUMN(基本資料填寫!CA66),0),"")</f>
        <v/>
      </c>
      <c r="Q66" s="47" t="str">
        <f>IFERROR(VLOOKUP($A$1&amp;"-"&amp;ROW(J65),基本資料填寫!$A:$DN,COLUMN(基本資料填寫!AO66),0),"")</f>
        <v/>
      </c>
      <c r="R66" s="47" t="str">
        <f>IFERROR(VLOOKUP($A$1&amp;"-"&amp;ROW(AE65),基本資料填寫!$A:$DN,COLUMN(基本資料填寫!CB66),0),"")</f>
        <v/>
      </c>
      <c r="S66" s="47" t="str">
        <f>IFERROR(VLOOKUP($A$1&amp;"-"&amp;ROW(AF65),基本資料填寫!$A:$DN,COLUMN(基本資料填寫!CC66),0),"")</f>
        <v/>
      </c>
      <c r="T66" s="47" t="str">
        <f>IFERROR(VLOOKUP($A$1&amp;"-"&amp;ROW(AG65),基本資料填寫!$A:$DN,COLUMN(基本資料填寫!CD66),0),"")</f>
        <v/>
      </c>
      <c r="U66" s="47" t="str">
        <f>IFERROR(VLOOKUP($A$1&amp;"-"&amp;ROW(AH65),基本資料填寫!$A:$DN,COLUMN(基本資料填寫!CE66),0),"")</f>
        <v/>
      </c>
      <c r="V66" s="47" t="str">
        <f>IFERROR(VLOOKUP($A$1&amp;"-"&amp;ROW(AI65),基本資料填寫!$A:$DN,COLUMN(基本資料填寫!CF66),0),"")</f>
        <v/>
      </c>
      <c r="W66" s="47" t="str">
        <f>IFERROR(VLOOKUP($A$1&amp;"-"&amp;ROW(AJ65),基本資料填寫!$A:$DN,COLUMN(基本資料填寫!CG66),0),"")</f>
        <v/>
      </c>
      <c r="X66" s="47" t="str">
        <f>IFERROR(VLOOKUP($A$1&amp;"-"&amp;ROW(AK65),基本資料填寫!$A:$DN,COLUMN(基本資料填寫!CH66),0),"")</f>
        <v/>
      </c>
      <c r="Y66" s="47" t="str">
        <f>IFERROR(VLOOKUP($A$1&amp;"-"&amp;ROW(AL65),基本資料填寫!$A:$DN,COLUMN(基本資料填寫!CI66),0),"")</f>
        <v/>
      </c>
      <c r="Z66" s="47" t="str">
        <f>IFERROR(VLOOKUP($A$1&amp;"-"&amp;ROW(H65),基本資料填寫!$A:$DN,COLUMN(基本資料填寫!O66),0),"")</f>
        <v/>
      </c>
      <c r="AA66" s="47" t="str">
        <f>IFERROR(VLOOKUP($A$1&amp;"-"&amp;ROW(AM65),基本資料填寫!$A:$DN,COLUMN(基本資料填寫!CJ66),0),"")</f>
        <v/>
      </c>
      <c r="AB66" s="47" t="str">
        <f>IFERROR(VLOOKUP($A$1&amp;"-"&amp;ROW(AN65),基本資料填寫!$A:$DN,COLUMN(基本資料填寫!CK66),0),"")</f>
        <v/>
      </c>
      <c r="AC66" s="47" t="str">
        <f>IFERROR(VLOOKUP($A$1&amp;"-"&amp;ROW(AP65),基本資料填寫!$A:$DN,COLUMN(基本資料填寫!CN66),0),"")</f>
        <v/>
      </c>
      <c r="AD66" s="47" t="str">
        <f>IFERROR(VLOOKUP($A$1&amp;"-"&amp;ROW(AQ65),基本資料填寫!$A:$DN,COLUMN(基本資料填寫!CO66),0),"")</f>
        <v/>
      </c>
      <c r="AE66" s="47" t="str">
        <f>IFERROR(VLOOKUP($A$1&amp;"-"&amp;ROW(AR65),基本資料填寫!$A:$DN,COLUMN(基本資料填寫!CP66),0),"")</f>
        <v/>
      </c>
      <c r="AF66" s="47" t="str">
        <f>IFERROR(VLOOKUP($A$1&amp;"-"&amp;ROW(AS65),基本資料填寫!$A:$DN,COLUMN(基本資料填寫!CQ66),0),"")</f>
        <v/>
      </c>
      <c r="AG66" s="47" t="str">
        <f>IFERROR(VLOOKUP($A$1&amp;"-"&amp;ROW(AT65),基本資料填寫!$A:$DN,COLUMN(基本資料填寫!CR66),0),"")</f>
        <v/>
      </c>
      <c r="AH66" s="47" t="str">
        <f>IFERROR(VLOOKUP($A$1&amp;"-"&amp;ROW(AU65),基本資料填寫!$A:$DN,COLUMN(基本資料填寫!CS66),0),"")</f>
        <v/>
      </c>
      <c r="AI66" s="47" t="str">
        <f>IFERROR(VLOOKUP($A$1&amp;"-"&amp;ROW(P65),基本資料填寫!$A:$DN,COLUMN(基本資料填寫!X66),0),"")</f>
        <v/>
      </c>
      <c r="AJ66" s="47" t="str">
        <f>IFERROR(VLOOKUP($A$1&amp;"-"&amp;ROW(AV65),基本資料填寫!$A:$DN,COLUMN(基本資料填寫!CT66),0),"")</f>
        <v/>
      </c>
      <c r="AK66" s="47" t="str">
        <f>IFERROR(VLOOKUP($A$1&amp;"-"&amp;ROW(AC65),基本資料填寫!$A:$DN,COLUMN(基本資料填寫!AQ66),0),"")</f>
        <v/>
      </c>
      <c r="AL66" s="47" t="str">
        <f>IFERROR(VLOOKUP($A$1&amp;"-"&amp;ROW(AO65),基本資料填寫!$A:$DN,COLUMN(基本資料填寫!CM66),0),"")</f>
        <v/>
      </c>
      <c r="AM66" s="47" t="str">
        <f>IFERROR(VLOOKUP($A$1&amp;"-"&amp;ROW(AD65),基本資料填寫!$A:$DN,COLUMN(基本資料填寫!AR66),0),"")</f>
        <v/>
      </c>
      <c r="AN66" s="47" t="str">
        <f>IFERROR(VLOOKUP($A$1&amp;"-"&amp;ROW(K65),基本資料填寫!$A:$DN,COLUMN(基本資料填寫!AP66),0),"")</f>
        <v/>
      </c>
      <c r="AO66" s="47" t="str">
        <f>IFERROR(VLOOKUP($A$1&amp;"-"&amp;ROW(J65),基本資料填寫!$A:$DN,COLUMN(基本資料填寫!AO66),0),"")</f>
        <v/>
      </c>
      <c r="AP66" s="47" t="str">
        <f>IFERROR(VLOOKUP($A$1&amp;"-"&amp;ROW(AE65),基本資料填寫!$A:$DN,COLUMN(基本資料填寫!AS66),0),"")</f>
        <v/>
      </c>
      <c r="AQ66" s="47" t="str">
        <f>IFERROR(VLOOKUP($A$1&amp;"-"&amp;ROW(AF65),基本資料填寫!$A:$DN,COLUMN(基本資料填寫!AT66),0),"")</f>
        <v/>
      </c>
      <c r="AR66" s="47" t="str">
        <f>IFERROR(VLOOKUP($A$1&amp;"-"&amp;ROW(AG65),基本資料填寫!$A:$DN,COLUMN(基本資料填寫!AU66),0),"")</f>
        <v/>
      </c>
      <c r="AS66" s="47" t="str">
        <f>IFERROR(VLOOKUP($A$1&amp;"-"&amp;ROW(AH65),基本資料填寫!$A:$DN,COLUMN(基本資料填寫!AV66),0),"")</f>
        <v/>
      </c>
      <c r="AT66" s="47" t="str">
        <f>IFERROR(VLOOKUP($A$1&amp;"-"&amp;ROW(AI65),基本資料填寫!$A:$DN,COLUMN(基本資料填寫!AW66),0),"")</f>
        <v/>
      </c>
      <c r="AU66" s="47" t="str">
        <f>IFERROR(VLOOKUP($A$1&amp;"-"&amp;ROW(AJ65),基本資料填寫!$A:$DN,COLUMN(基本資料填寫!AX66),0),"")</f>
        <v/>
      </c>
      <c r="AV66" s="47" t="str">
        <f>IFERROR(VLOOKUP($A$1&amp;"-"&amp;ROW(AK65),基本資料填寫!$A:$DN,COLUMN(基本資料填寫!AY66),0),"")</f>
        <v/>
      </c>
      <c r="AW66" s="47" t="str">
        <f>IFERROR(VLOOKUP($A$1&amp;"-"&amp;ROW(AL65),基本資料填寫!$A:$DN,COLUMN(基本資料填寫!AZ66),0),"")</f>
        <v/>
      </c>
      <c r="AX66" s="47" t="str">
        <f>IFERROR(VLOOKUP($A$1&amp;"-"&amp;ROW(AM65),基本資料填寫!$A:$DN,COLUMN(基本資料填寫!BA66),0),"")</f>
        <v/>
      </c>
      <c r="AY66" s="47" t="str">
        <f>IFERROR(VLOOKUP($A$1&amp;"-"&amp;ROW(AN65),基本資料填寫!$A:$DN,COLUMN(基本資料填寫!BB66),0),"")</f>
        <v/>
      </c>
      <c r="AZ66" s="47" t="str">
        <f>IFERROR(VLOOKUP($A$1&amp;"-"&amp;ROW(AO65),基本資料填寫!$A:$DN,COLUMN(基本資料填寫!BC66),0),"")</f>
        <v/>
      </c>
      <c r="BA66" s="47" t="str">
        <f>IFERROR(VLOOKUP($A$1&amp;"-"&amp;ROW(AP65),基本資料填寫!$A:$DN,COLUMN(基本資料填寫!BD66),0),"")</f>
        <v/>
      </c>
      <c r="BB66" s="47" t="str">
        <f>IFERROR(VLOOKUP($A$1&amp;"-"&amp;ROW(AQ65),基本資料填寫!$A:$DN,COLUMN(基本資料填寫!BE66),0),"")</f>
        <v/>
      </c>
      <c r="BC66" s="47" t="str">
        <f>IFERROR(VLOOKUP($A$1&amp;"-"&amp;ROW(AR65),基本資料填寫!$A:$DN,COLUMN(基本資料填寫!BF66),0),"")</f>
        <v/>
      </c>
      <c r="BD66" s="47" t="str">
        <f>IFERROR(VLOOKUP($A$1&amp;"-"&amp;ROW(AS65),基本資料填寫!$A:$DN,COLUMN(基本資料填寫!BG66),0),"")</f>
        <v/>
      </c>
      <c r="BE66" s="47" t="str">
        <f>IFERROR(VLOOKUP($A$1&amp;"-"&amp;ROW(AT65),基本資料填寫!$A:$DN,COLUMN(基本資料填寫!BH66),0),"")</f>
        <v/>
      </c>
      <c r="BF66" s="47" t="str">
        <f>IFERROR(VLOOKUP($A$1&amp;"-"&amp;ROW(AU65),基本資料填寫!$A:$DN,COLUMN(基本資料填寫!BI66),0),"")</f>
        <v/>
      </c>
      <c r="BG66" s="47" t="str">
        <f>IFERROR(VLOOKUP($A$1&amp;"-"&amp;ROW(AV65),基本資料填寫!$A:$DN,COLUMN(基本資料填寫!BJ66),0),"")</f>
        <v/>
      </c>
      <c r="BH66" s="47" t="str">
        <f>IFERROR(VLOOKUP($A$1&amp;"-"&amp;ROW(AW65),基本資料填寫!$A:$DN,COLUMN(基本資料填寫!BK66),0),"")</f>
        <v/>
      </c>
      <c r="BI66" s="47" t="str">
        <f>IFERROR(VLOOKUP($A$1&amp;"-"&amp;ROW(AX65),基本資料填寫!$A:$DN,COLUMN(基本資料填寫!BL66),0),"")</f>
        <v/>
      </c>
      <c r="BJ66" s="47" t="str">
        <f>IFERROR(VLOOKUP($A$1&amp;"-"&amp;ROW(AY65),基本資料填寫!$A:$DN,COLUMN(基本資料填寫!BM66),0),"")</f>
        <v/>
      </c>
      <c r="BK66" s="47" t="str">
        <f>IFERROR(VLOOKUP($A$1&amp;"-"&amp;ROW(AZ65),基本資料填寫!$A:$DN,COLUMN(基本資料填寫!BN66),0),"")</f>
        <v/>
      </c>
      <c r="BL66" s="47" t="str">
        <f>IFERROR(VLOOKUP($A$1&amp;"-"&amp;ROW(BA65),基本資料填寫!$A:$DN,COLUMN(基本資料填寫!BO66),0),"")</f>
        <v/>
      </c>
      <c r="BM66" s="47" t="str">
        <f>IFERROR(VLOOKUP($A$1&amp;"-"&amp;ROW(BB65),基本資料填寫!$A:$DN,COLUMN(基本資料填寫!BP66),0),"")</f>
        <v/>
      </c>
      <c r="BN66" s="47" t="str">
        <f>IFERROR(VLOOKUP($A$1&amp;"-"&amp;ROW(BC65),基本資料填寫!$A:$DN,COLUMN(基本資料填寫!BQ66),0),"")</f>
        <v/>
      </c>
      <c r="BO66" s="47" t="str">
        <f>IFERROR(VLOOKUP($A$1&amp;"-"&amp;ROW(BD65),基本資料填寫!$A:$DN,COLUMN(基本資料填寫!BR66),0),"")</f>
        <v/>
      </c>
    </row>
    <row r="67" spans="2:67" x14ac:dyDescent="0.3">
      <c r="B67" s="47" t="str">
        <f>IFERROR(VLOOKUP($A$1&amp;"-"&amp;ROW(A66),基本資料填寫!$A:$DN,COLUMN(基本資料填寫!K67),0),"")</f>
        <v/>
      </c>
      <c r="C67" s="47" t="str">
        <f>IFERROR(VLOOKUP($A$1&amp;"-"&amp;ROW(B66),基本資料填寫!$A:$DN,COLUMN(基本資料填寫!L67),0),"")</f>
        <v/>
      </c>
      <c r="D67" s="47" t="str">
        <f>IF(E67="","",COUNTA($E$2:E67))</f>
        <v/>
      </c>
      <c r="E67" s="47" t="str">
        <f>IFERROR(VLOOKUP($A$1&amp;"-"&amp;ROW(E66),基本資料填寫!$A:$DN,COLUMN(基本資料填寫!S67),0),"")</f>
        <v/>
      </c>
      <c r="G67" s="47" t="str">
        <f>IFERROR(VLOOKUP($A$1&amp;"-"&amp;ROW(G66),基本資料填寫!$A:$DN,COLUMN(基本資料填寫!V67),0),"")</f>
        <v/>
      </c>
      <c r="H67" s="47" t="str">
        <f>IFERROR(VLOOKUP($A$1&amp;"-"&amp;ROW(BI66),基本資料填寫!$A:$DN,COLUMN(基本資料填寫!BW67),0),"")</f>
        <v/>
      </c>
      <c r="I67" s="47" t="str">
        <f>IFERROR(VLOOKUP($A$1&amp;"-"&amp;ROW(I66),基本資料填寫!$A:$DN,COLUMN(基本資料填寫!AN67),0),"")</f>
        <v/>
      </c>
      <c r="J67" s="47" t="str">
        <f>IFERROR(VLOOKUP($A$1&amp;"-"&amp;ROW(K66),基本資料填寫!$A:$DN,COLUMN(基本資料填寫!R67),0),"")</f>
        <v/>
      </c>
      <c r="K67" s="47" t="str">
        <f>IFERROR(VLOOKUP($A$1&amp;"-"&amp;ROW(AA66),基本資料填寫!$A:$DN,COLUMN(基本資料填寫!BX67),0),"")</f>
        <v/>
      </c>
      <c r="L67" s="47" t="str">
        <f>IFERROR(VLOOKUP($A$1&amp;"-"&amp;ROW(S66),基本資料填寫!$A:$DN,COLUMN(基本資料填寫!Z67),0),"")</f>
        <v/>
      </c>
      <c r="M67" s="47" t="str">
        <f>IFERROR(VLOOKUP($A$1&amp;"-"&amp;ROW(T66),基本資料填寫!$A:$DN,COLUMN(基本資料填寫!AA67),0),"")</f>
        <v/>
      </c>
      <c r="N67" s="47" t="str">
        <f>IFERROR(VLOOKUP($A$1&amp;"-"&amp;ROW(AB66),基本資料填寫!$A:$DN,COLUMN(基本資料填寫!BY67),0),"")</f>
        <v/>
      </c>
      <c r="O67" s="47" t="str">
        <f>IFERROR(VLOOKUP($A$1&amp;"-"&amp;ROW(AC66),基本資料填寫!$A:$DN,COLUMN(基本資料填寫!BZ67),0),"")</f>
        <v/>
      </c>
      <c r="P67" s="47" t="str">
        <f>IFERROR(VLOOKUP($A$1&amp;"-"&amp;ROW(AD66),基本資料填寫!$A:$DN,COLUMN(基本資料填寫!CA67),0),"")</f>
        <v/>
      </c>
      <c r="Q67" s="47" t="str">
        <f>IFERROR(VLOOKUP($A$1&amp;"-"&amp;ROW(J66),基本資料填寫!$A:$DN,COLUMN(基本資料填寫!AO67),0),"")</f>
        <v/>
      </c>
      <c r="R67" s="47" t="str">
        <f>IFERROR(VLOOKUP($A$1&amp;"-"&amp;ROW(AE66),基本資料填寫!$A:$DN,COLUMN(基本資料填寫!CB67),0),"")</f>
        <v/>
      </c>
      <c r="S67" s="47" t="str">
        <f>IFERROR(VLOOKUP($A$1&amp;"-"&amp;ROW(AF66),基本資料填寫!$A:$DN,COLUMN(基本資料填寫!CC67),0),"")</f>
        <v/>
      </c>
      <c r="T67" s="47" t="str">
        <f>IFERROR(VLOOKUP($A$1&amp;"-"&amp;ROW(AG66),基本資料填寫!$A:$DN,COLUMN(基本資料填寫!CD67),0),"")</f>
        <v/>
      </c>
      <c r="U67" s="47" t="str">
        <f>IFERROR(VLOOKUP($A$1&amp;"-"&amp;ROW(AH66),基本資料填寫!$A:$DN,COLUMN(基本資料填寫!CE67),0),"")</f>
        <v/>
      </c>
      <c r="V67" s="47" t="str">
        <f>IFERROR(VLOOKUP($A$1&amp;"-"&amp;ROW(AI66),基本資料填寫!$A:$DN,COLUMN(基本資料填寫!CF67),0),"")</f>
        <v/>
      </c>
      <c r="W67" s="47" t="str">
        <f>IFERROR(VLOOKUP($A$1&amp;"-"&amp;ROW(AJ66),基本資料填寫!$A:$DN,COLUMN(基本資料填寫!CG67),0),"")</f>
        <v/>
      </c>
      <c r="X67" s="47" t="str">
        <f>IFERROR(VLOOKUP($A$1&amp;"-"&amp;ROW(AK66),基本資料填寫!$A:$DN,COLUMN(基本資料填寫!CH67),0),"")</f>
        <v/>
      </c>
      <c r="Y67" s="47" t="str">
        <f>IFERROR(VLOOKUP($A$1&amp;"-"&amp;ROW(AL66),基本資料填寫!$A:$DN,COLUMN(基本資料填寫!CI67),0),"")</f>
        <v/>
      </c>
      <c r="Z67" s="47" t="str">
        <f>IFERROR(VLOOKUP($A$1&amp;"-"&amp;ROW(H66),基本資料填寫!$A:$DN,COLUMN(基本資料填寫!O67),0),"")</f>
        <v/>
      </c>
      <c r="AA67" s="47" t="str">
        <f>IFERROR(VLOOKUP($A$1&amp;"-"&amp;ROW(AM66),基本資料填寫!$A:$DN,COLUMN(基本資料填寫!CJ67),0),"")</f>
        <v/>
      </c>
      <c r="AB67" s="47" t="str">
        <f>IFERROR(VLOOKUP($A$1&amp;"-"&amp;ROW(AN66),基本資料填寫!$A:$DN,COLUMN(基本資料填寫!CK67),0),"")</f>
        <v/>
      </c>
      <c r="AC67" s="47" t="str">
        <f>IFERROR(VLOOKUP($A$1&amp;"-"&amp;ROW(AP66),基本資料填寫!$A:$DN,COLUMN(基本資料填寫!CN67),0),"")</f>
        <v/>
      </c>
      <c r="AD67" s="47" t="str">
        <f>IFERROR(VLOOKUP($A$1&amp;"-"&amp;ROW(AQ66),基本資料填寫!$A:$DN,COLUMN(基本資料填寫!CO67),0),"")</f>
        <v/>
      </c>
      <c r="AE67" s="47" t="str">
        <f>IFERROR(VLOOKUP($A$1&amp;"-"&amp;ROW(AR66),基本資料填寫!$A:$DN,COLUMN(基本資料填寫!CP67),0),"")</f>
        <v/>
      </c>
      <c r="AF67" s="47" t="str">
        <f>IFERROR(VLOOKUP($A$1&amp;"-"&amp;ROW(AS66),基本資料填寫!$A:$DN,COLUMN(基本資料填寫!CQ67),0),"")</f>
        <v/>
      </c>
      <c r="AG67" s="47" t="str">
        <f>IFERROR(VLOOKUP($A$1&amp;"-"&amp;ROW(AT66),基本資料填寫!$A:$DN,COLUMN(基本資料填寫!CR67),0),"")</f>
        <v/>
      </c>
      <c r="AH67" s="47" t="str">
        <f>IFERROR(VLOOKUP($A$1&amp;"-"&amp;ROW(AU66),基本資料填寫!$A:$DN,COLUMN(基本資料填寫!CS67),0),"")</f>
        <v/>
      </c>
      <c r="AI67" s="47" t="str">
        <f>IFERROR(VLOOKUP($A$1&amp;"-"&amp;ROW(P66),基本資料填寫!$A:$DN,COLUMN(基本資料填寫!X67),0),"")</f>
        <v/>
      </c>
      <c r="AJ67" s="47" t="str">
        <f>IFERROR(VLOOKUP($A$1&amp;"-"&amp;ROW(AV66),基本資料填寫!$A:$DN,COLUMN(基本資料填寫!CT67),0),"")</f>
        <v/>
      </c>
      <c r="AK67" s="47" t="str">
        <f>IFERROR(VLOOKUP($A$1&amp;"-"&amp;ROW(AC66),基本資料填寫!$A:$DN,COLUMN(基本資料填寫!AQ67),0),"")</f>
        <v/>
      </c>
      <c r="AL67" s="47" t="str">
        <f>IFERROR(VLOOKUP($A$1&amp;"-"&amp;ROW(AO66),基本資料填寫!$A:$DN,COLUMN(基本資料填寫!CM67),0),"")</f>
        <v/>
      </c>
      <c r="AM67" s="47" t="str">
        <f>IFERROR(VLOOKUP($A$1&amp;"-"&amp;ROW(AD66),基本資料填寫!$A:$DN,COLUMN(基本資料填寫!AR67),0),"")</f>
        <v/>
      </c>
      <c r="AN67" s="47" t="str">
        <f>IFERROR(VLOOKUP($A$1&amp;"-"&amp;ROW(K66),基本資料填寫!$A:$DN,COLUMN(基本資料填寫!AP67),0),"")</f>
        <v/>
      </c>
      <c r="AO67" s="47" t="str">
        <f>IFERROR(VLOOKUP($A$1&amp;"-"&amp;ROW(J66),基本資料填寫!$A:$DN,COLUMN(基本資料填寫!AO67),0),"")</f>
        <v/>
      </c>
      <c r="AP67" s="47" t="str">
        <f>IFERROR(VLOOKUP($A$1&amp;"-"&amp;ROW(AE66),基本資料填寫!$A:$DN,COLUMN(基本資料填寫!AS67),0),"")</f>
        <v/>
      </c>
      <c r="AQ67" s="47" t="str">
        <f>IFERROR(VLOOKUP($A$1&amp;"-"&amp;ROW(AF66),基本資料填寫!$A:$DN,COLUMN(基本資料填寫!AT67),0),"")</f>
        <v/>
      </c>
      <c r="AR67" s="47" t="str">
        <f>IFERROR(VLOOKUP($A$1&amp;"-"&amp;ROW(AG66),基本資料填寫!$A:$DN,COLUMN(基本資料填寫!AU67),0),"")</f>
        <v/>
      </c>
      <c r="AS67" s="47" t="str">
        <f>IFERROR(VLOOKUP($A$1&amp;"-"&amp;ROW(AH66),基本資料填寫!$A:$DN,COLUMN(基本資料填寫!AV67),0),"")</f>
        <v/>
      </c>
      <c r="AT67" s="47" t="str">
        <f>IFERROR(VLOOKUP($A$1&amp;"-"&amp;ROW(AI66),基本資料填寫!$A:$DN,COLUMN(基本資料填寫!AW67),0),"")</f>
        <v/>
      </c>
      <c r="AU67" s="47" t="str">
        <f>IFERROR(VLOOKUP($A$1&amp;"-"&amp;ROW(AJ66),基本資料填寫!$A:$DN,COLUMN(基本資料填寫!AX67),0),"")</f>
        <v/>
      </c>
      <c r="AV67" s="47" t="str">
        <f>IFERROR(VLOOKUP($A$1&amp;"-"&amp;ROW(AK66),基本資料填寫!$A:$DN,COLUMN(基本資料填寫!AY67),0),"")</f>
        <v/>
      </c>
      <c r="AW67" s="47" t="str">
        <f>IFERROR(VLOOKUP($A$1&amp;"-"&amp;ROW(AL66),基本資料填寫!$A:$DN,COLUMN(基本資料填寫!AZ67),0),"")</f>
        <v/>
      </c>
      <c r="AX67" s="47" t="str">
        <f>IFERROR(VLOOKUP($A$1&amp;"-"&amp;ROW(AM66),基本資料填寫!$A:$DN,COLUMN(基本資料填寫!BA67),0),"")</f>
        <v/>
      </c>
      <c r="AY67" s="47" t="str">
        <f>IFERROR(VLOOKUP($A$1&amp;"-"&amp;ROW(AN66),基本資料填寫!$A:$DN,COLUMN(基本資料填寫!BB67),0),"")</f>
        <v/>
      </c>
      <c r="AZ67" s="47" t="str">
        <f>IFERROR(VLOOKUP($A$1&amp;"-"&amp;ROW(AO66),基本資料填寫!$A:$DN,COLUMN(基本資料填寫!BC67),0),"")</f>
        <v/>
      </c>
      <c r="BA67" s="47" t="str">
        <f>IFERROR(VLOOKUP($A$1&amp;"-"&amp;ROW(AP66),基本資料填寫!$A:$DN,COLUMN(基本資料填寫!BD67),0),"")</f>
        <v/>
      </c>
      <c r="BB67" s="47" t="str">
        <f>IFERROR(VLOOKUP($A$1&amp;"-"&amp;ROW(AQ66),基本資料填寫!$A:$DN,COLUMN(基本資料填寫!BE67),0),"")</f>
        <v/>
      </c>
      <c r="BC67" s="47" t="str">
        <f>IFERROR(VLOOKUP($A$1&amp;"-"&amp;ROW(AR66),基本資料填寫!$A:$DN,COLUMN(基本資料填寫!BF67),0),"")</f>
        <v/>
      </c>
      <c r="BD67" s="47" t="str">
        <f>IFERROR(VLOOKUP($A$1&amp;"-"&amp;ROW(AS66),基本資料填寫!$A:$DN,COLUMN(基本資料填寫!BG67),0),"")</f>
        <v/>
      </c>
      <c r="BE67" s="47" t="str">
        <f>IFERROR(VLOOKUP($A$1&amp;"-"&amp;ROW(AT66),基本資料填寫!$A:$DN,COLUMN(基本資料填寫!BH67),0),"")</f>
        <v/>
      </c>
      <c r="BF67" s="47" t="str">
        <f>IFERROR(VLOOKUP($A$1&amp;"-"&amp;ROW(AU66),基本資料填寫!$A:$DN,COLUMN(基本資料填寫!BI67),0),"")</f>
        <v/>
      </c>
      <c r="BG67" s="47" t="str">
        <f>IFERROR(VLOOKUP($A$1&amp;"-"&amp;ROW(AV66),基本資料填寫!$A:$DN,COLUMN(基本資料填寫!BJ67),0),"")</f>
        <v/>
      </c>
      <c r="BH67" s="47" t="str">
        <f>IFERROR(VLOOKUP($A$1&amp;"-"&amp;ROW(AW66),基本資料填寫!$A:$DN,COLUMN(基本資料填寫!BK67),0),"")</f>
        <v/>
      </c>
      <c r="BI67" s="47" t="str">
        <f>IFERROR(VLOOKUP($A$1&amp;"-"&amp;ROW(AX66),基本資料填寫!$A:$DN,COLUMN(基本資料填寫!BL67),0),"")</f>
        <v/>
      </c>
      <c r="BJ67" s="47" t="str">
        <f>IFERROR(VLOOKUP($A$1&amp;"-"&amp;ROW(AY66),基本資料填寫!$A:$DN,COLUMN(基本資料填寫!BM67),0),"")</f>
        <v/>
      </c>
      <c r="BK67" s="47" t="str">
        <f>IFERROR(VLOOKUP($A$1&amp;"-"&amp;ROW(AZ66),基本資料填寫!$A:$DN,COLUMN(基本資料填寫!BN67),0),"")</f>
        <v/>
      </c>
      <c r="BL67" s="47" t="str">
        <f>IFERROR(VLOOKUP($A$1&amp;"-"&amp;ROW(BA66),基本資料填寫!$A:$DN,COLUMN(基本資料填寫!BO67),0),"")</f>
        <v/>
      </c>
      <c r="BM67" s="47" t="str">
        <f>IFERROR(VLOOKUP($A$1&amp;"-"&amp;ROW(BB66),基本資料填寫!$A:$DN,COLUMN(基本資料填寫!BP67),0),"")</f>
        <v/>
      </c>
      <c r="BN67" s="47" t="str">
        <f>IFERROR(VLOOKUP($A$1&amp;"-"&amp;ROW(BC66),基本資料填寫!$A:$DN,COLUMN(基本資料填寫!BQ67),0),"")</f>
        <v/>
      </c>
      <c r="BO67" s="47" t="str">
        <f>IFERROR(VLOOKUP($A$1&amp;"-"&amp;ROW(BD66),基本資料填寫!$A:$DN,COLUMN(基本資料填寫!BR67),0),"")</f>
        <v/>
      </c>
    </row>
    <row r="68" spans="2:67" x14ac:dyDescent="0.3">
      <c r="B68" s="47" t="str">
        <f>IFERROR(VLOOKUP($A$1&amp;"-"&amp;ROW(A67),基本資料填寫!$A:$DN,COLUMN(基本資料填寫!K68),0),"")</f>
        <v/>
      </c>
      <c r="C68" s="47" t="str">
        <f>IFERROR(VLOOKUP($A$1&amp;"-"&amp;ROW(B67),基本資料填寫!$A:$DN,COLUMN(基本資料填寫!L68),0),"")</f>
        <v/>
      </c>
      <c r="D68" s="47" t="str">
        <f>IF(E68="","",COUNTA($E$2:E68))</f>
        <v/>
      </c>
      <c r="E68" s="47" t="str">
        <f>IFERROR(VLOOKUP($A$1&amp;"-"&amp;ROW(E67),基本資料填寫!$A:$DN,COLUMN(基本資料填寫!S68),0),"")</f>
        <v/>
      </c>
      <c r="G68" s="47" t="str">
        <f>IFERROR(VLOOKUP($A$1&amp;"-"&amp;ROW(G67),基本資料填寫!$A:$DN,COLUMN(基本資料填寫!V68),0),"")</f>
        <v/>
      </c>
      <c r="H68" s="47" t="str">
        <f>IFERROR(VLOOKUP($A$1&amp;"-"&amp;ROW(BI67),基本資料填寫!$A:$DN,COLUMN(基本資料填寫!BW68),0),"")</f>
        <v/>
      </c>
      <c r="I68" s="47" t="str">
        <f>IFERROR(VLOOKUP($A$1&amp;"-"&amp;ROW(I67),基本資料填寫!$A:$DN,COLUMN(基本資料填寫!AN68),0),"")</f>
        <v/>
      </c>
      <c r="J68" s="47" t="str">
        <f>IFERROR(VLOOKUP($A$1&amp;"-"&amp;ROW(K67),基本資料填寫!$A:$DN,COLUMN(基本資料填寫!R68),0),"")</f>
        <v/>
      </c>
      <c r="K68" s="47" t="str">
        <f>IFERROR(VLOOKUP($A$1&amp;"-"&amp;ROW(AA67),基本資料填寫!$A:$DN,COLUMN(基本資料填寫!BX68),0),"")</f>
        <v/>
      </c>
      <c r="L68" s="47" t="str">
        <f>IFERROR(VLOOKUP($A$1&amp;"-"&amp;ROW(S67),基本資料填寫!$A:$DN,COLUMN(基本資料填寫!Z68),0),"")</f>
        <v/>
      </c>
      <c r="M68" s="47" t="str">
        <f>IFERROR(VLOOKUP($A$1&amp;"-"&amp;ROW(T67),基本資料填寫!$A:$DN,COLUMN(基本資料填寫!AA68),0),"")</f>
        <v/>
      </c>
      <c r="N68" s="47" t="str">
        <f>IFERROR(VLOOKUP($A$1&amp;"-"&amp;ROW(AB67),基本資料填寫!$A:$DN,COLUMN(基本資料填寫!BY68),0),"")</f>
        <v/>
      </c>
      <c r="O68" s="47" t="str">
        <f>IFERROR(VLOOKUP($A$1&amp;"-"&amp;ROW(AC67),基本資料填寫!$A:$DN,COLUMN(基本資料填寫!BZ68),0),"")</f>
        <v/>
      </c>
      <c r="P68" s="47" t="str">
        <f>IFERROR(VLOOKUP($A$1&amp;"-"&amp;ROW(AD67),基本資料填寫!$A:$DN,COLUMN(基本資料填寫!CA68),0),"")</f>
        <v/>
      </c>
      <c r="Q68" s="47" t="str">
        <f>IFERROR(VLOOKUP($A$1&amp;"-"&amp;ROW(J67),基本資料填寫!$A:$DN,COLUMN(基本資料填寫!AO68),0),"")</f>
        <v/>
      </c>
      <c r="R68" s="47" t="str">
        <f>IFERROR(VLOOKUP($A$1&amp;"-"&amp;ROW(AE67),基本資料填寫!$A:$DN,COLUMN(基本資料填寫!CB68),0),"")</f>
        <v/>
      </c>
      <c r="S68" s="47" t="str">
        <f>IFERROR(VLOOKUP($A$1&amp;"-"&amp;ROW(AF67),基本資料填寫!$A:$DN,COLUMN(基本資料填寫!CC68),0),"")</f>
        <v/>
      </c>
      <c r="T68" s="47" t="str">
        <f>IFERROR(VLOOKUP($A$1&amp;"-"&amp;ROW(AG67),基本資料填寫!$A:$DN,COLUMN(基本資料填寫!CD68),0),"")</f>
        <v/>
      </c>
      <c r="U68" s="47" t="str">
        <f>IFERROR(VLOOKUP($A$1&amp;"-"&amp;ROW(AH67),基本資料填寫!$A:$DN,COLUMN(基本資料填寫!CE68),0),"")</f>
        <v/>
      </c>
      <c r="V68" s="47" t="str">
        <f>IFERROR(VLOOKUP($A$1&amp;"-"&amp;ROW(AI67),基本資料填寫!$A:$DN,COLUMN(基本資料填寫!CF68),0),"")</f>
        <v/>
      </c>
      <c r="W68" s="47" t="str">
        <f>IFERROR(VLOOKUP($A$1&amp;"-"&amp;ROW(AJ67),基本資料填寫!$A:$DN,COLUMN(基本資料填寫!CG68),0),"")</f>
        <v/>
      </c>
      <c r="X68" s="47" t="str">
        <f>IFERROR(VLOOKUP($A$1&amp;"-"&amp;ROW(AK67),基本資料填寫!$A:$DN,COLUMN(基本資料填寫!CH68),0),"")</f>
        <v/>
      </c>
      <c r="Y68" s="47" t="str">
        <f>IFERROR(VLOOKUP($A$1&amp;"-"&amp;ROW(AL67),基本資料填寫!$A:$DN,COLUMN(基本資料填寫!CI68),0),"")</f>
        <v/>
      </c>
      <c r="Z68" s="47" t="str">
        <f>IFERROR(VLOOKUP($A$1&amp;"-"&amp;ROW(H67),基本資料填寫!$A:$DN,COLUMN(基本資料填寫!O68),0),"")</f>
        <v/>
      </c>
      <c r="AA68" s="47" t="str">
        <f>IFERROR(VLOOKUP($A$1&amp;"-"&amp;ROW(AM67),基本資料填寫!$A:$DN,COLUMN(基本資料填寫!CJ68),0),"")</f>
        <v/>
      </c>
      <c r="AB68" s="47" t="str">
        <f>IFERROR(VLOOKUP($A$1&amp;"-"&amp;ROW(AN67),基本資料填寫!$A:$DN,COLUMN(基本資料填寫!CK68),0),"")</f>
        <v/>
      </c>
      <c r="AC68" s="47" t="str">
        <f>IFERROR(VLOOKUP($A$1&amp;"-"&amp;ROW(AP67),基本資料填寫!$A:$DN,COLUMN(基本資料填寫!CN68),0),"")</f>
        <v/>
      </c>
      <c r="AD68" s="47" t="str">
        <f>IFERROR(VLOOKUP($A$1&amp;"-"&amp;ROW(AQ67),基本資料填寫!$A:$DN,COLUMN(基本資料填寫!CO68),0),"")</f>
        <v/>
      </c>
      <c r="AE68" s="47" t="str">
        <f>IFERROR(VLOOKUP($A$1&amp;"-"&amp;ROW(AR67),基本資料填寫!$A:$DN,COLUMN(基本資料填寫!CP68),0),"")</f>
        <v/>
      </c>
      <c r="AF68" s="47" t="str">
        <f>IFERROR(VLOOKUP($A$1&amp;"-"&amp;ROW(AS67),基本資料填寫!$A:$DN,COLUMN(基本資料填寫!CQ68),0),"")</f>
        <v/>
      </c>
      <c r="AG68" s="47" t="str">
        <f>IFERROR(VLOOKUP($A$1&amp;"-"&amp;ROW(AT67),基本資料填寫!$A:$DN,COLUMN(基本資料填寫!CR68),0),"")</f>
        <v/>
      </c>
      <c r="AH68" s="47" t="str">
        <f>IFERROR(VLOOKUP($A$1&amp;"-"&amp;ROW(AU67),基本資料填寫!$A:$DN,COLUMN(基本資料填寫!CS68),0),"")</f>
        <v/>
      </c>
      <c r="AI68" s="47" t="str">
        <f>IFERROR(VLOOKUP($A$1&amp;"-"&amp;ROW(P67),基本資料填寫!$A:$DN,COLUMN(基本資料填寫!X68),0),"")</f>
        <v/>
      </c>
      <c r="AJ68" s="47" t="str">
        <f>IFERROR(VLOOKUP($A$1&amp;"-"&amp;ROW(AV67),基本資料填寫!$A:$DN,COLUMN(基本資料填寫!CT68),0),"")</f>
        <v/>
      </c>
      <c r="AK68" s="47" t="str">
        <f>IFERROR(VLOOKUP($A$1&amp;"-"&amp;ROW(AC67),基本資料填寫!$A:$DN,COLUMN(基本資料填寫!AQ68),0),"")</f>
        <v/>
      </c>
      <c r="AL68" s="47" t="str">
        <f>IFERROR(VLOOKUP($A$1&amp;"-"&amp;ROW(AO67),基本資料填寫!$A:$DN,COLUMN(基本資料填寫!CM68),0),"")</f>
        <v/>
      </c>
      <c r="AM68" s="47" t="str">
        <f>IFERROR(VLOOKUP($A$1&amp;"-"&amp;ROW(AD67),基本資料填寫!$A:$DN,COLUMN(基本資料填寫!AR68),0),"")</f>
        <v/>
      </c>
      <c r="AN68" s="47" t="str">
        <f>IFERROR(VLOOKUP($A$1&amp;"-"&amp;ROW(K67),基本資料填寫!$A:$DN,COLUMN(基本資料填寫!AP68),0),"")</f>
        <v/>
      </c>
      <c r="AO68" s="47" t="str">
        <f>IFERROR(VLOOKUP($A$1&amp;"-"&amp;ROW(J67),基本資料填寫!$A:$DN,COLUMN(基本資料填寫!AO68),0),"")</f>
        <v/>
      </c>
      <c r="AP68" s="47" t="str">
        <f>IFERROR(VLOOKUP($A$1&amp;"-"&amp;ROW(AE67),基本資料填寫!$A:$DN,COLUMN(基本資料填寫!AS68),0),"")</f>
        <v/>
      </c>
      <c r="AQ68" s="47" t="str">
        <f>IFERROR(VLOOKUP($A$1&amp;"-"&amp;ROW(AF67),基本資料填寫!$A:$DN,COLUMN(基本資料填寫!AT68),0),"")</f>
        <v/>
      </c>
      <c r="AR68" s="47" t="str">
        <f>IFERROR(VLOOKUP($A$1&amp;"-"&amp;ROW(AG67),基本資料填寫!$A:$DN,COLUMN(基本資料填寫!AU68),0),"")</f>
        <v/>
      </c>
      <c r="AS68" s="47" t="str">
        <f>IFERROR(VLOOKUP($A$1&amp;"-"&amp;ROW(AH67),基本資料填寫!$A:$DN,COLUMN(基本資料填寫!AV68),0),"")</f>
        <v/>
      </c>
      <c r="AT68" s="47" t="str">
        <f>IFERROR(VLOOKUP($A$1&amp;"-"&amp;ROW(AI67),基本資料填寫!$A:$DN,COLUMN(基本資料填寫!AW68),0),"")</f>
        <v/>
      </c>
      <c r="AU68" s="47" t="str">
        <f>IFERROR(VLOOKUP($A$1&amp;"-"&amp;ROW(AJ67),基本資料填寫!$A:$DN,COLUMN(基本資料填寫!AX68),0),"")</f>
        <v/>
      </c>
      <c r="AV68" s="47" t="str">
        <f>IFERROR(VLOOKUP($A$1&amp;"-"&amp;ROW(AK67),基本資料填寫!$A:$DN,COLUMN(基本資料填寫!AY68),0),"")</f>
        <v/>
      </c>
      <c r="AW68" s="47" t="str">
        <f>IFERROR(VLOOKUP($A$1&amp;"-"&amp;ROW(AL67),基本資料填寫!$A:$DN,COLUMN(基本資料填寫!AZ68),0),"")</f>
        <v/>
      </c>
      <c r="AX68" s="47" t="str">
        <f>IFERROR(VLOOKUP($A$1&amp;"-"&amp;ROW(AM67),基本資料填寫!$A:$DN,COLUMN(基本資料填寫!BA68),0),"")</f>
        <v/>
      </c>
      <c r="AY68" s="47" t="str">
        <f>IFERROR(VLOOKUP($A$1&amp;"-"&amp;ROW(AN67),基本資料填寫!$A:$DN,COLUMN(基本資料填寫!BB68),0),"")</f>
        <v/>
      </c>
      <c r="AZ68" s="47" t="str">
        <f>IFERROR(VLOOKUP($A$1&amp;"-"&amp;ROW(AO67),基本資料填寫!$A:$DN,COLUMN(基本資料填寫!BC68),0),"")</f>
        <v/>
      </c>
      <c r="BA68" s="47" t="str">
        <f>IFERROR(VLOOKUP($A$1&amp;"-"&amp;ROW(AP67),基本資料填寫!$A:$DN,COLUMN(基本資料填寫!BD68),0),"")</f>
        <v/>
      </c>
      <c r="BB68" s="47" t="str">
        <f>IFERROR(VLOOKUP($A$1&amp;"-"&amp;ROW(AQ67),基本資料填寫!$A:$DN,COLUMN(基本資料填寫!BE68),0),"")</f>
        <v/>
      </c>
      <c r="BC68" s="47" t="str">
        <f>IFERROR(VLOOKUP($A$1&amp;"-"&amp;ROW(AR67),基本資料填寫!$A:$DN,COLUMN(基本資料填寫!BF68),0),"")</f>
        <v/>
      </c>
      <c r="BD68" s="47" t="str">
        <f>IFERROR(VLOOKUP($A$1&amp;"-"&amp;ROW(AS67),基本資料填寫!$A:$DN,COLUMN(基本資料填寫!BG68),0),"")</f>
        <v/>
      </c>
      <c r="BE68" s="47" t="str">
        <f>IFERROR(VLOOKUP($A$1&amp;"-"&amp;ROW(AT67),基本資料填寫!$A:$DN,COLUMN(基本資料填寫!BH68),0),"")</f>
        <v/>
      </c>
      <c r="BF68" s="47" t="str">
        <f>IFERROR(VLOOKUP($A$1&amp;"-"&amp;ROW(AU67),基本資料填寫!$A:$DN,COLUMN(基本資料填寫!BI68),0),"")</f>
        <v/>
      </c>
      <c r="BG68" s="47" t="str">
        <f>IFERROR(VLOOKUP($A$1&amp;"-"&amp;ROW(AV67),基本資料填寫!$A:$DN,COLUMN(基本資料填寫!BJ68),0),"")</f>
        <v/>
      </c>
      <c r="BH68" s="47" t="str">
        <f>IFERROR(VLOOKUP($A$1&amp;"-"&amp;ROW(AW67),基本資料填寫!$A:$DN,COLUMN(基本資料填寫!BK68),0),"")</f>
        <v/>
      </c>
      <c r="BI68" s="47" t="str">
        <f>IFERROR(VLOOKUP($A$1&amp;"-"&amp;ROW(AX67),基本資料填寫!$A:$DN,COLUMN(基本資料填寫!BL68),0),"")</f>
        <v/>
      </c>
      <c r="BJ68" s="47" t="str">
        <f>IFERROR(VLOOKUP($A$1&amp;"-"&amp;ROW(AY67),基本資料填寫!$A:$DN,COLUMN(基本資料填寫!BM68),0),"")</f>
        <v/>
      </c>
      <c r="BK68" s="47" t="str">
        <f>IFERROR(VLOOKUP($A$1&amp;"-"&amp;ROW(AZ67),基本資料填寫!$A:$DN,COLUMN(基本資料填寫!BN68),0),"")</f>
        <v/>
      </c>
      <c r="BL68" s="47" t="str">
        <f>IFERROR(VLOOKUP($A$1&amp;"-"&amp;ROW(BA67),基本資料填寫!$A:$DN,COLUMN(基本資料填寫!BO68),0),"")</f>
        <v/>
      </c>
      <c r="BM68" s="47" t="str">
        <f>IFERROR(VLOOKUP($A$1&amp;"-"&amp;ROW(BB67),基本資料填寫!$A:$DN,COLUMN(基本資料填寫!BP68),0),"")</f>
        <v/>
      </c>
      <c r="BN68" s="47" t="str">
        <f>IFERROR(VLOOKUP($A$1&amp;"-"&amp;ROW(BC67),基本資料填寫!$A:$DN,COLUMN(基本資料填寫!BQ68),0),"")</f>
        <v/>
      </c>
      <c r="BO68" s="47" t="str">
        <f>IFERROR(VLOOKUP($A$1&amp;"-"&amp;ROW(BD67),基本資料填寫!$A:$DN,COLUMN(基本資料填寫!BR68),0),"")</f>
        <v/>
      </c>
    </row>
    <row r="69" spans="2:67" x14ac:dyDescent="0.3">
      <c r="B69" s="47" t="str">
        <f>IFERROR(VLOOKUP($A$1&amp;"-"&amp;ROW(A68),基本資料填寫!$A:$DN,COLUMN(基本資料填寫!K69),0),"")</f>
        <v/>
      </c>
      <c r="C69" s="47" t="str">
        <f>IFERROR(VLOOKUP($A$1&amp;"-"&amp;ROW(B68),基本資料填寫!$A:$DN,COLUMN(基本資料填寫!L69),0),"")</f>
        <v/>
      </c>
      <c r="D69" s="47" t="str">
        <f>IF(E69="","",COUNTA($E$2:E69))</f>
        <v/>
      </c>
      <c r="E69" s="47" t="str">
        <f>IFERROR(VLOOKUP($A$1&amp;"-"&amp;ROW(E68),基本資料填寫!$A:$DN,COLUMN(基本資料填寫!S69),0),"")</f>
        <v/>
      </c>
      <c r="G69" s="47" t="str">
        <f>IFERROR(VLOOKUP($A$1&amp;"-"&amp;ROW(G68),基本資料填寫!$A:$DN,COLUMN(基本資料填寫!V69),0),"")</f>
        <v/>
      </c>
      <c r="H69" s="47" t="str">
        <f>IFERROR(VLOOKUP($A$1&amp;"-"&amp;ROW(BI68),基本資料填寫!$A:$DN,COLUMN(基本資料填寫!BW69),0),"")</f>
        <v/>
      </c>
      <c r="I69" s="47" t="str">
        <f>IFERROR(VLOOKUP($A$1&amp;"-"&amp;ROW(I68),基本資料填寫!$A:$DN,COLUMN(基本資料填寫!AN69),0),"")</f>
        <v/>
      </c>
      <c r="J69" s="47" t="str">
        <f>IFERROR(VLOOKUP($A$1&amp;"-"&amp;ROW(K68),基本資料填寫!$A:$DN,COLUMN(基本資料填寫!R69),0),"")</f>
        <v/>
      </c>
      <c r="K69" s="47" t="str">
        <f>IFERROR(VLOOKUP($A$1&amp;"-"&amp;ROW(AA68),基本資料填寫!$A:$DN,COLUMN(基本資料填寫!BX69),0),"")</f>
        <v/>
      </c>
      <c r="L69" s="47" t="str">
        <f>IFERROR(VLOOKUP($A$1&amp;"-"&amp;ROW(S68),基本資料填寫!$A:$DN,COLUMN(基本資料填寫!Z69),0),"")</f>
        <v/>
      </c>
      <c r="M69" s="47" t="str">
        <f>IFERROR(VLOOKUP($A$1&amp;"-"&amp;ROW(T68),基本資料填寫!$A:$DN,COLUMN(基本資料填寫!AA69),0),"")</f>
        <v/>
      </c>
      <c r="N69" s="47" t="str">
        <f>IFERROR(VLOOKUP($A$1&amp;"-"&amp;ROW(AB68),基本資料填寫!$A:$DN,COLUMN(基本資料填寫!BY69),0),"")</f>
        <v/>
      </c>
      <c r="O69" s="47" t="str">
        <f>IFERROR(VLOOKUP($A$1&amp;"-"&amp;ROW(AC68),基本資料填寫!$A:$DN,COLUMN(基本資料填寫!BZ69),0),"")</f>
        <v/>
      </c>
      <c r="P69" s="47" t="str">
        <f>IFERROR(VLOOKUP($A$1&amp;"-"&amp;ROW(AD68),基本資料填寫!$A:$DN,COLUMN(基本資料填寫!CA69),0),"")</f>
        <v/>
      </c>
      <c r="Q69" s="47" t="str">
        <f>IFERROR(VLOOKUP($A$1&amp;"-"&amp;ROW(J68),基本資料填寫!$A:$DN,COLUMN(基本資料填寫!AO69),0),"")</f>
        <v/>
      </c>
      <c r="R69" s="47" t="str">
        <f>IFERROR(VLOOKUP($A$1&amp;"-"&amp;ROW(AE68),基本資料填寫!$A:$DN,COLUMN(基本資料填寫!CB69),0),"")</f>
        <v/>
      </c>
      <c r="S69" s="47" t="str">
        <f>IFERROR(VLOOKUP($A$1&amp;"-"&amp;ROW(AF68),基本資料填寫!$A:$DN,COLUMN(基本資料填寫!CC69),0),"")</f>
        <v/>
      </c>
      <c r="T69" s="47" t="str">
        <f>IFERROR(VLOOKUP($A$1&amp;"-"&amp;ROW(AG68),基本資料填寫!$A:$DN,COLUMN(基本資料填寫!CD69),0),"")</f>
        <v/>
      </c>
      <c r="U69" s="47" t="str">
        <f>IFERROR(VLOOKUP($A$1&amp;"-"&amp;ROW(AH68),基本資料填寫!$A:$DN,COLUMN(基本資料填寫!CE69),0),"")</f>
        <v/>
      </c>
      <c r="V69" s="47" t="str">
        <f>IFERROR(VLOOKUP($A$1&amp;"-"&amp;ROW(AI68),基本資料填寫!$A:$DN,COLUMN(基本資料填寫!CF69),0),"")</f>
        <v/>
      </c>
      <c r="W69" s="47" t="str">
        <f>IFERROR(VLOOKUP($A$1&amp;"-"&amp;ROW(AJ68),基本資料填寫!$A:$DN,COLUMN(基本資料填寫!CG69),0),"")</f>
        <v/>
      </c>
      <c r="X69" s="47" t="str">
        <f>IFERROR(VLOOKUP($A$1&amp;"-"&amp;ROW(AK68),基本資料填寫!$A:$DN,COLUMN(基本資料填寫!CH69),0),"")</f>
        <v/>
      </c>
      <c r="Y69" s="47" t="str">
        <f>IFERROR(VLOOKUP($A$1&amp;"-"&amp;ROW(AL68),基本資料填寫!$A:$DN,COLUMN(基本資料填寫!CI69),0),"")</f>
        <v/>
      </c>
      <c r="Z69" s="47" t="str">
        <f>IFERROR(VLOOKUP($A$1&amp;"-"&amp;ROW(H68),基本資料填寫!$A:$DN,COLUMN(基本資料填寫!O69),0),"")</f>
        <v/>
      </c>
      <c r="AA69" s="47" t="str">
        <f>IFERROR(VLOOKUP($A$1&amp;"-"&amp;ROW(AM68),基本資料填寫!$A:$DN,COLUMN(基本資料填寫!CJ69),0),"")</f>
        <v/>
      </c>
      <c r="AB69" s="47" t="str">
        <f>IFERROR(VLOOKUP($A$1&amp;"-"&amp;ROW(AN68),基本資料填寫!$A:$DN,COLUMN(基本資料填寫!CK69),0),"")</f>
        <v/>
      </c>
      <c r="AC69" s="47" t="str">
        <f>IFERROR(VLOOKUP($A$1&amp;"-"&amp;ROW(AP68),基本資料填寫!$A:$DN,COLUMN(基本資料填寫!CN69),0),"")</f>
        <v/>
      </c>
      <c r="AD69" s="47" t="str">
        <f>IFERROR(VLOOKUP($A$1&amp;"-"&amp;ROW(AQ68),基本資料填寫!$A:$DN,COLUMN(基本資料填寫!CO69),0),"")</f>
        <v/>
      </c>
      <c r="AE69" s="47" t="str">
        <f>IFERROR(VLOOKUP($A$1&amp;"-"&amp;ROW(AR68),基本資料填寫!$A:$DN,COLUMN(基本資料填寫!CP69),0),"")</f>
        <v/>
      </c>
      <c r="AF69" s="47" t="str">
        <f>IFERROR(VLOOKUP($A$1&amp;"-"&amp;ROW(AS68),基本資料填寫!$A:$DN,COLUMN(基本資料填寫!CQ69),0),"")</f>
        <v/>
      </c>
      <c r="AG69" s="47" t="str">
        <f>IFERROR(VLOOKUP($A$1&amp;"-"&amp;ROW(AT68),基本資料填寫!$A:$DN,COLUMN(基本資料填寫!CR69),0),"")</f>
        <v/>
      </c>
      <c r="AH69" s="47" t="str">
        <f>IFERROR(VLOOKUP($A$1&amp;"-"&amp;ROW(AU68),基本資料填寫!$A:$DN,COLUMN(基本資料填寫!CS69),0),"")</f>
        <v/>
      </c>
      <c r="AI69" s="47" t="str">
        <f>IFERROR(VLOOKUP($A$1&amp;"-"&amp;ROW(P68),基本資料填寫!$A:$DN,COLUMN(基本資料填寫!X69),0),"")</f>
        <v/>
      </c>
      <c r="AJ69" s="47" t="str">
        <f>IFERROR(VLOOKUP($A$1&amp;"-"&amp;ROW(AV68),基本資料填寫!$A:$DN,COLUMN(基本資料填寫!CT69),0),"")</f>
        <v/>
      </c>
      <c r="AK69" s="47" t="str">
        <f>IFERROR(VLOOKUP($A$1&amp;"-"&amp;ROW(AC68),基本資料填寫!$A:$DN,COLUMN(基本資料填寫!AQ69),0),"")</f>
        <v/>
      </c>
      <c r="AL69" s="47" t="str">
        <f>IFERROR(VLOOKUP($A$1&amp;"-"&amp;ROW(AO68),基本資料填寫!$A:$DN,COLUMN(基本資料填寫!CM69),0),"")</f>
        <v/>
      </c>
      <c r="AM69" s="47" t="str">
        <f>IFERROR(VLOOKUP($A$1&amp;"-"&amp;ROW(AD68),基本資料填寫!$A:$DN,COLUMN(基本資料填寫!AR69),0),"")</f>
        <v/>
      </c>
      <c r="AN69" s="47" t="str">
        <f>IFERROR(VLOOKUP($A$1&amp;"-"&amp;ROW(K68),基本資料填寫!$A:$DN,COLUMN(基本資料填寫!AP69),0),"")</f>
        <v/>
      </c>
      <c r="AO69" s="47" t="str">
        <f>IFERROR(VLOOKUP($A$1&amp;"-"&amp;ROW(J68),基本資料填寫!$A:$DN,COLUMN(基本資料填寫!AO69),0),"")</f>
        <v/>
      </c>
      <c r="AP69" s="47" t="str">
        <f>IFERROR(VLOOKUP($A$1&amp;"-"&amp;ROW(AE68),基本資料填寫!$A:$DN,COLUMN(基本資料填寫!AS69),0),"")</f>
        <v/>
      </c>
      <c r="AQ69" s="47" t="str">
        <f>IFERROR(VLOOKUP($A$1&amp;"-"&amp;ROW(AF68),基本資料填寫!$A:$DN,COLUMN(基本資料填寫!AT69),0),"")</f>
        <v/>
      </c>
      <c r="AR69" s="47" t="str">
        <f>IFERROR(VLOOKUP($A$1&amp;"-"&amp;ROW(AG68),基本資料填寫!$A:$DN,COLUMN(基本資料填寫!AU69),0),"")</f>
        <v/>
      </c>
      <c r="AS69" s="47" t="str">
        <f>IFERROR(VLOOKUP($A$1&amp;"-"&amp;ROW(AH68),基本資料填寫!$A:$DN,COLUMN(基本資料填寫!AV69),0),"")</f>
        <v/>
      </c>
      <c r="AT69" s="47" t="str">
        <f>IFERROR(VLOOKUP($A$1&amp;"-"&amp;ROW(AI68),基本資料填寫!$A:$DN,COLUMN(基本資料填寫!AW69),0),"")</f>
        <v/>
      </c>
      <c r="AU69" s="47" t="str">
        <f>IFERROR(VLOOKUP($A$1&amp;"-"&amp;ROW(AJ68),基本資料填寫!$A:$DN,COLUMN(基本資料填寫!AX69),0),"")</f>
        <v/>
      </c>
      <c r="AV69" s="47" t="str">
        <f>IFERROR(VLOOKUP($A$1&amp;"-"&amp;ROW(AK68),基本資料填寫!$A:$DN,COLUMN(基本資料填寫!AY69),0),"")</f>
        <v/>
      </c>
      <c r="AW69" s="47" t="str">
        <f>IFERROR(VLOOKUP($A$1&amp;"-"&amp;ROW(AL68),基本資料填寫!$A:$DN,COLUMN(基本資料填寫!AZ69),0),"")</f>
        <v/>
      </c>
      <c r="AX69" s="47" t="str">
        <f>IFERROR(VLOOKUP($A$1&amp;"-"&amp;ROW(AM68),基本資料填寫!$A:$DN,COLUMN(基本資料填寫!BA69),0),"")</f>
        <v/>
      </c>
      <c r="AY69" s="47" t="str">
        <f>IFERROR(VLOOKUP($A$1&amp;"-"&amp;ROW(AN68),基本資料填寫!$A:$DN,COLUMN(基本資料填寫!BB69),0),"")</f>
        <v/>
      </c>
      <c r="AZ69" s="47" t="str">
        <f>IFERROR(VLOOKUP($A$1&amp;"-"&amp;ROW(AO68),基本資料填寫!$A:$DN,COLUMN(基本資料填寫!BC69),0),"")</f>
        <v/>
      </c>
      <c r="BA69" s="47" t="str">
        <f>IFERROR(VLOOKUP($A$1&amp;"-"&amp;ROW(AP68),基本資料填寫!$A:$DN,COLUMN(基本資料填寫!BD69),0),"")</f>
        <v/>
      </c>
      <c r="BB69" s="47" t="str">
        <f>IFERROR(VLOOKUP($A$1&amp;"-"&amp;ROW(AQ68),基本資料填寫!$A:$DN,COLUMN(基本資料填寫!BE69),0),"")</f>
        <v/>
      </c>
      <c r="BC69" s="47" t="str">
        <f>IFERROR(VLOOKUP($A$1&amp;"-"&amp;ROW(AR68),基本資料填寫!$A:$DN,COLUMN(基本資料填寫!BF69),0),"")</f>
        <v/>
      </c>
      <c r="BD69" s="47" t="str">
        <f>IFERROR(VLOOKUP($A$1&amp;"-"&amp;ROW(AS68),基本資料填寫!$A:$DN,COLUMN(基本資料填寫!BG69),0),"")</f>
        <v/>
      </c>
      <c r="BE69" s="47" t="str">
        <f>IFERROR(VLOOKUP($A$1&amp;"-"&amp;ROW(AT68),基本資料填寫!$A:$DN,COLUMN(基本資料填寫!BH69),0),"")</f>
        <v/>
      </c>
      <c r="BF69" s="47" t="str">
        <f>IFERROR(VLOOKUP($A$1&amp;"-"&amp;ROW(AU68),基本資料填寫!$A:$DN,COLUMN(基本資料填寫!BI69),0),"")</f>
        <v/>
      </c>
      <c r="BG69" s="47" t="str">
        <f>IFERROR(VLOOKUP($A$1&amp;"-"&amp;ROW(AV68),基本資料填寫!$A:$DN,COLUMN(基本資料填寫!BJ69),0),"")</f>
        <v/>
      </c>
      <c r="BH69" s="47" t="str">
        <f>IFERROR(VLOOKUP($A$1&amp;"-"&amp;ROW(AW68),基本資料填寫!$A:$DN,COLUMN(基本資料填寫!BK69),0),"")</f>
        <v/>
      </c>
      <c r="BI69" s="47" t="str">
        <f>IFERROR(VLOOKUP($A$1&amp;"-"&amp;ROW(AX68),基本資料填寫!$A:$DN,COLUMN(基本資料填寫!BL69),0),"")</f>
        <v/>
      </c>
      <c r="BJ69" s="47" t="str">
        <f>IFERROR(VLOOKUP($A$1&amp;"-"&amp;ROW(AY68),基本資料填寫!$A:$DN,COLUMN(基本資料填寫!BM69),0),"")</f>
        <v/>
      </c>
      <c r="BK69" s="47" t="str">
        <f>IFERROR(VLOOKUP($A$1&amp;"-"&amp;ROW(AZ68),基本資料填寫!$A:$DN,COLUMN(基本資料填寫!BN69),0),"")</f>
        <v/>
      </c>
      <c r="BL69" s="47" t="str">
        <f>IFERROR(VLOOKUP($A$1&amp;"-"&amp;ROW(BA68),基本資料填寫!$A:$DN,COLUMN(基本資料填寫!BO69),0),"")</f>
        <v/>
      </c>
      <c r="BM69" s="47" t="str">
        <f>IFERROR(VLOOKUP($A$1&amp;"-"&amp;ROW(BB68),基本資料填寫!$A:$DN,COLUMN(基本資料填寫!BP69),0),"")</f>
        <v/>
      </c>
      <c r="BN69" s="47" t="str">
        <f>IFERROR(VLOOKUP($A$1&amp;"-"&amp;ROW(BC68),基本資料填寫!$A:$DN,COLUMN(基本資料填寫!BQ69),0),"")</f>
        <v/>
      </c>
      <c r="BO69" s="47" t="str">
        <f>IFERROR(VLOOKUP($A$1&amp;"-"&amp;ROW(BD68),基本資料填寫!$A:$DN,COLUMN(基本資料填寫!BR69),0),"")</f>
        <v/>
      </c>
    </row>
    <row r="70" spans="2:67" x14ac:dyDescent="0.3">
      <c r="B70" s="47" t="str">
        <f>IFERROR(VLOOKUP($A$1&amp;"-"&amp;ROW(A69),基本資料填寫!$A:$DN,COLUMN(基本資料填寫!K70),0),"")</f>
        <v/>
      </c>
      <c r="C70" s="47" t="str">
        <f>IFERROR(VLOOKUP($A$1&amp;"-"&amp;ROW(B69),基本資料填寫!$A:$DN,COLUMN(基本資料填寫!L70),0),"")</f>
        <v/>
      </c>
      <c r="D70" s="47" t="str">
        <f>IF(E70="","",COUNTA($E$2:E70))</f>
        <v/>
      </c>
      <c r="E70" s="47" t="str">
        <f>IFERROR(VLOOKUP($A$1&amp;"-"&amp;ROW(E69),基本資料填寫!$A:$DN,COLUMN(基本資料填寫!S70),0),"")</f>
        <v/>
      </c>
      <c r="G70" s="47" t="str">
        <f>IFERROR(VLOOKUP($A$1&amp;"-"&amp;ROW(G69),基本資料填寫!$A:$DN,COLUMN(基本資料填寫!V70),0),"")</f>
        <v/>
      </c>
      <c r="H70" s="47" t="str">
        <f>IFERROR(VLOOKUP($A$1&amp;"-"&amp;ROW(BI69),基本資料填寫!$A:$DN,COLUMN(基本資料填寫!BW70),0),"")</f>
        <v/>
      </c>
      <c r="I70" s="47" t="str">
        <f>IFERROR(VLOOKUP($A$1&amp;"-"&amp;ROW(I69),基本資料填寫!$A:$DN,COLUMN(基本資料填寫!AN70),0),"")</f>
        <v/>
      </c>
      <c r="J70" s="47" t="str">
        <f>IFERROR(VLOOKUP($A$1&amp;"-"&amp;ROW(K69),基本資料填寫!$A:$DN,COLUMN(基本資料填寫!R70),0),"")</f>
        <v/>
      </c>
      <c r="K70" s="47" t="str">
        <f>IFERROR(VLOOKUP($A$1&amp;"-"&amp;ROW(AA69),基本資料填寫!$A:$DN,COLUMN(基本資料填寫!BX70),0),"")</f>
        <v/>
      </c>
      <c r="L70" s="47" t="str">
        <f>IFERROR(VLOOKUP($A$1&amp;"-"&amp;ROW(S69),基本資料填寫!$A:$DN,COLUMN(基本資料填寫!Z70),0),"")</f>
        <v/>
      </c>
      <c r="M70" s="47" t="str">
        <f>IFERROR(VLOOKUP($A$1&amp;"-"&amp;ROW(T69),基本資料填寫!$A:$DN,COLUMN(基本資料填寫!AA70),0),"")</f>
        <v/>
      </c>
      <c r="N70" s="47" t="str">
        <f>IFERROR(VLOOKUP($A$1&amp;"-"&amp;ROW(AB69),基本資料填寫!$A:$DN,COLUMN(基本資料填寫!BY70),0),"")</f>
        <v/>
      </c>
      <c r="O70" s="47" t="str">
        <f>IFERROR(VLOOKUP($A$1&amp;"-"&amp;ROW(AC69),基本資料填寫!$A:$DN,COLUMN(基本資料填寫!BZ70),0),"")</f>
        <v/>
      </c>
      <c r="P70" s="47" t="str">
        <f>IFERROR(VLOOKUP($A$1&amp;"-"&amp;ROW(AD69),基本資料填寫!$A:$DN,COLUMN(基本資料填寫!CA70),0),"")</f>
        <v/>
      </c>
      <c r="Q70" s="47" t="str">
        <f>IFERROR(VLOOKUP($A$1&amp;"-"&amp;ROW(J69),基本資料填寫!$A:$DN,COLUMN(基本資料填寫!AO70),0),"")</f>
        <v/>
      </c>
      <c r="R70" s="47" t="str">
        <f>IFERROR(VLOOKUP($A$1&amp;"-"&amp;ROW(AE69),基本資料填寫!$A:$DN,COLUMN(基本資料填寫!CB70),0),"")</f>
        <v/>
      </c>
      <c r="S70" s="47" t="str">
        <f>IFERROR(VLOOKUP($A$1&amp;"-"&amp;ROW(AF69),基本資料填寫!$A:$DN,COLUMN(基本資料填寫!CC70),0),"")</f>
        <v/>
      </c>
      <c r="T70" s="47" t="str">
        <f>IFERROR(VLOOKUP($A$1&amp;"-"&amp;ROW(AG69),基本資料填寫!$A:$DN,COLUMN(基本資料填寫!CD70),0),"")</f>
        <v/>
      </c>
      <c r="U70" s="47" t="str">
        <f>IFERROR(VLOOKUP($A$1&amp;"-"&amp;ROW(AH69),基本資料填寫!$A:$DN,COLUMN(基本資料填寫!CE70),0),"")</f>
        <v/>
      </c>
      <c r="V70" s="47" t="str">
        <f>IFERROR(VLOOKUP($A$1&amp;"-"&amp;ROW(AI69),基本資料填寫!$A:$DN,COLUMN(基本資料填寫!CF70),0),"")</f>
        <v/>
      </c>
      <c r="W70" s="47" t="str">
        <f>IFERROR(VLOOKUP($A$1&amp;"-"&amp;ROW(AJ69),基本資料填寫!$A:$DN,COLUMN(基本資料填寫!CG70),0),"")</f>
        <v/>
      </c>
      <c r="X70" s="47" t="str">
        <f>IFERROR(VLOOKUP($A$1&amp;"-"&amp;ROW(AK69),基本資料填寫!$A:$DN,COLUMN(基本資料填寫!CH70),0),"")</f>
        <v/>
      </c>
      <c r="Y70" s="47" t="str">
        <f>IFERROR(VLOOKUP($A$1&amp;"-"&amp;ROW(AL69),基本資料填寫!$A:$DN,COLUMN(基本資料填寫!CI70),0),"")</f>
        <v/>
      </c>
      <c r="Z70" s="47" t="str">
        <f>IFERROR(VLOOKUP($A$1&amp;"-"&amp;ROW(H69),基本資料填寫!$A:$DN,COLUMN(基本資料填寫!O70),0),"")</f>
        <v/>
      </c>
      <c r="AA70" s="47" t="str">
        <f>IFERROR(VLOOKUP($A$1&amp;"-"&amp;ROW(AM69),基本資料填寫!$A:$DN,COLUMN(基本資料填寫!CJ70),0),"")</f>
        <v/>
      </c>
      <c r="AB70" s="47" t="str">
        <f>IFERROR(VLOOKUP($A$1&amp;"-"&amp;ROW(AN69),基本資料填寫!$A:$DN,COLUMN(基本資料填寫!CK70),0),"")</f>
        <v/>
      </c>
      <c r="AC70" s="47" t="str">
        <f>IFERROR(VLOOKUP($A$1&amp;"-"&amp;ROW(AP69),基本資料填寫!$A:$DN,COLUMN(基本資料填寫!CN70),0),"")</f>
        <v/>
      </c>
      <c r="AD70" s="47" t="str">
        <f>IFERROR(VLOOKUP($A$1&amp;"-"&amp;ROW(AQ69),基本資料填寫!$A:$DN,COLUMN(基本資料填寫!CO70),0),"")</f>
        <v/>
      </c>
      <c r="AE70" s="47" t="str">
        <f>IFERROR(VLOOKUP($A$1&amp;"-"&amp;ROW(AR69),基本資料填寫!$A:$DN,COLUMN(基本資料填寫!CP70),0),"")</f>
        <v/>
      </c>
      <c r="AF70" s="47" t="str">
        <f>IFERROR(VLOOKUP($A$1&amp;"-"&amp;ROW(AS69),基本資料填寫!$A:$DN,COLUMN(基本資料填寫!CQ70),0),"")</f>
        <v/>
      </c>
      <c r="AG70" s="47" t="str">
        <f>IFERROR(VLOOKUP($A$1&amp;"-"&amp;ROW(AT69),基本資料填寫!$A:$DN,COLUMN(基本資料填寫!CR70),0),"")</f>
        <v/>
      </c>
      <c r="AH70" s="47" t="str">
        <f>IFERROR(VLOOKUP($A$1&amp;"-"&amp;ROW(AU69),基本資料填寫!$A:$DN,COLUMN(基本資料填寫!CS70),0),"")</f>
        <v/>
      </c>
      <c r="AI70" s="47" t="str">
        <f>IFERROR(VLOOKUP($A$1&amp;"-"&amp;ROW(P69),基本資料填寫!$A:$DN,COLUMN(基本資料填寫!X70),0),"")</f>
        <v/>
      </c>
      <c r="AJ70" s="47" t="str">
        <f>IFERROR(VLOOKUP($A$1&amp;"-"&amp;ROW(AV69),基本資料填寫!$A:$DN,COLUMN(基本資料填寫!CT70),0),"")</f>
        <v/>
      </c>
      <c r="AK70" s="47" t="str">
        <f>IFERROR(VLOOKUP($A$1&amp;"-"&amp;ROW(AC69),基本資料填寫!$A:$DN,COLUMN(基本資料填寫!AQ70),0),"")</f>
        <v/>
      </c>
      <c r="AL70" s="47" t="str">
        <f>IFERROR(VLOOKUP($A$1&amp;"-"&amp;ROW(AO69),基本資料填寫!$A:$DN,COLUMN(基本資料填寫!CM70),0),"")</f>
        <v/>
      </c>
      <c r="AM70" s="47" t="str">
        <f>IFERROR(VLOOKUP($A$1&amp;"-"&amp;ROW(AD69),基本資料填寫!$A:$DN,COLUMN(基本資料填寫!AR70),0),"")</f>
        <v/>
      </c>
      <c r="AN70" s="47" t="str">
        <f>IFERROR(VLOOKUP($A$1&amp;"-"&amp;ROW(K69),基本資料填寫!$A:$DN,COLUMN(基本資料填寫!AP70),0),"")</f>
        <v/>
      </c>
      <c r="AO70" s="47" t="str">
        <f>IFERROR(VLOOKUP($A$1&amp;"-"&amp;ROW(J69),基本資料填寫!$A:$DN,COLUMN(基本資料填寫!AO70),0),"")</f>
        <v/>
      </c>
      <c r="AP70" s="47" t="str">
        <f>IFERROR(VLOOKUP($A$1&amp;"-"&amp;ROW(AE69),基本資料填寫!$A:$DN,COLUMN(基本資料填寫!AS70),0),"")</f>
        <v/>
      </c>
      <c r="AQ70" s="47" t="str">
        <f>IFERROR(VLOOKUP($A$1&amp;"-"&amp;ROW(AF69),基本資料填寫!$A:$DN,COLUMN(基本資料填寫!AT70),0),"")</f>
        <v/>
      </c>
      <c r="AR70" s="47" t="str">
        <f>IFERROR(VLOOKUP($A$1&amp;"-"&amp;ROW(AG69),基本資料填寫!$A:$DN,COLUMN(基本資料填寫!AU70),0),"")</f>
        <v/>
      </c>
      <c r="AS70" s="47" t="str">
        <f>IFERROR(VLOOKUP($A$1&amp;"-"&amp;ROW(AH69),基本資料填寫!$A:$DN,COLUMN(基本資料填寫!AV70),0),"")</f>
        <v/>
      </c>
      <c r="AT70" s="47" t="str">
        <f>IFERROR(VLOOKUP($A$1&amp;"-"&amp;ROW(AI69),基本資料填寫!$A:$DN,COLUMN(基本資料填寫!AW70),0),"")</f>
        <v/>
      </c>
      <c r="AU70" s="47" t="str">
        <f>IFERROR(VLOOKUP($A$1&amp;"-"&amp;ROW(AJ69),基本資料填寫!$A:$DN,COLUMN(基本資料填寫!AX70),0),"")</f>
        <v/>
      </c>
      <c r="AV70" s="47" t="str">
        <f>IFERROR(VLOOKUP($A$1&amp;"-"&amp;ROW(AK69),基本資料填寫!$A:$DN,COLUMN(基本資料填寫!AY70),0),"")</f>
        <v/>
      </c>
      <c r="AW70" s="47" t="str">
        <f>IFERROR(VLOOKUP($A$1&amp;"-"&amp;ROW(AL69),基本資料填寫!$A:$DN,COLUMN(基本資料填寫!AZ70),0),"")</f>
        <v/>
      </c>
      <c r="AX70" s="47" t="str">
        <f>IFERROR(VLOOKUP($A$1&amp;"-"&amp;ROW(AM69),基本資料填寫!$A:$DN,COLUMN(基本資料填寫!BA70),0),"")</f>
        <v/>
      </c>
      <c r="AY70" s="47" t="str">
        <f>IFERROR(VLOOKUP($A$1&amp;"-"&amp;ROW(AN69),基本資料填寫!$A:$DN,COLUMN(基本資料填寫!BB70),0),"")</f>
        <v/>
      </c>
      <c r="AZ70" s="47" t="str">
        <f>IFERROR(VLOOKUP($A$1&amp;"-"&amp;ROW(AO69),基本資料填寫!$A:$DN,COLUMN(基本資料填寫!BC70),0),"")</f>
        <v/>
      </c>
      <c r="BA70" s="47" t="str">
        <f>IFERROR(VLOOKUP($A$1&amp;"-"&amp;ROW(AP69),基本資料填寫!$A:$DN,COLUMN(基本資料填寫!BD70),0),"")</f>
        <v/>
      </c>
      <c r="BB70" s="47" t="str">
        <f>IFERROR(VLOOKUP($A$1&amp;"-"&amp;ROW(AQ69),基本資料填寫!$A:$DN,COLUMN(基本資料填寫!BE70),0),"")</f>
        <v/>
      </c>
      <c r="BC70" s="47" t="str">
        <f>IFERROR(VLOOKUP($A$1&amp;"-"&amp;ROW(AR69),基本資料填寫!$A:$DN,COLUMN(基本資料填寫!BF70),0),"")</f>
        <v/>
      </c>
      <c r="BD70" s="47" t="str">
        <f>IFERROR(VLOOKUP($A$1&amp;"-"&amp;ROW(AS69),基本資料填寫!$A:$DN,COLUMN(基本資料填寫!BG70),0),"")</f>
        <v/>
      </c>
      <c r="BE70" s="47" t="str">
        <f>IFERROR(VLOOKUP($A$1&amp;"-"&amp;ROW(AT69),基本資料填寫!$A:$DN,COLUMN(基本資料填寫!BH70),0),"")</f>
        <v/>
      </c>
      <c r="BF70" s="47" t="str">
        <f>IFERROR(VLOOKUP($A$1&amp;"-"&amp;ROW(AU69),基本資料填寫!$A:$DN,COLUMN(基本資料填寫!BI70),0),"")</f>
        <v/>
      </c>
      <c r="BG70" s="47" t="str">
        <f>IFERROR(VLOOKUP($A$1&amp;"-"&amp;ROW(AV69),基本資料填寫!$A:$DN,COLUMN(基本資料填寫!BJ70),0),"")</f>
        <v/>
      </c>
      <c r="BH70" s="47" t="str">
        <f>IFERROR(VLOOKUP($A$1&amp;"-"&amp;ROW(AW69),基本資料填寫!$A:$DN,COLUMN(基本資料填寫!BK70),0),"")</f>
        <v/>
      </c>
      <c r="BI70" s="47" t="str">
        <f>IFERROR(VLOOKUP($A$1&amp;"-"&amp;ROW(AX69),基本資料填寫!$A:$DN,COLUMN(基本資料填寫!BL70),0),"")</f>
        <v/>
      </c>
      <c r="BJ70" s="47" t="str">
        <f>IFERROR(VLOOKUP($A$1&amp;"-"&amp;ROW(AY69),基本資料填寫!$A:$DN,COLUMN(基本資料填寫!BM70),0),"")</f>
        <v/>
      </c>
      <c r="BK70" s="47" t="str">
        <f>IFERROR(VLOOKUP($A$1&amp;"-"&amp;ROW(AZ69),基本資料填寫!$A:$DN,COLUMN(基本資料填寫!BN70),0),"")</f>
        <v/>
      </c>
      <c r="BL70" s="47" t="str">
        <f>IFERROR(VLOOKUP($A$1&amp;"-"&amp;ROW(BA69),基本資料填寫!$A:$DN,COLUMN(基本資料填寫!BO70),0),"")</f>
        <v/>
      </c>
      <c r="BM70" s="47" t="str">
        <f>IFERROR(VLOOKUP($A$1&amp;"-"&amp;ROW(BB69),基本資料填寫!$A:$DN,COLUMN(基本資料填寫!BP70),0),"")</f>
        <v/>
      </c>
      <c r="BN70" s="47" t="str">
        <f>IFERROR(VLOOKUP($A$1&amp;"-"&amp;ROW(BC69),基本資料填寫!$A:$DN,COLUMN(基本資料填寫!BQ70),0),"")</f>
        <v/>
      </c>
      <c r="BO70" s="47" t="str">
        <f>IFERROR(VLOOKUP($A$1&amp;"-"&amp;ROW(BD69),基本資料填寫!$A:$DN,COLUMN(基本資料填寫!BR70),0),"")</f>
        <v/>
      </c>
    </row>
    <row r="71" spans="2:67" x14ac:dyDescent="0.3">
      <c r="B71" s="47" t="str">
        <f>IFERROR(VLOOKUP($A$1&amp;"-"&amp;ROW(A70),基本資料填寫!$A:$DN,COLUMN(基本資料填寫!K71),0),"")</f>
        <v/>
      </c>
      <c r="C71" s="47" t="str">
        <f>IFERROR(VLOOKUP($A$1&amp;"-"&amp;ROW(B70),基本資料填寫!$A:$DN,COLUMN(基本資料填寫!L71),0),"")</f>
        <v/>
      </c>
      <c r="D71" s="47" t="str">
        <f>IF(E71="","",COUNTA($E$2:E71))</f>
        <v/>
      </c>
      <c r="E71" s="47" t="str">
        <f>IFERROR(VLOOKUP($A$1&amp;"-"&amp;ROW(E70),基本資料填寫!$A:$DN,COLUMN(基本資料填寫!S71),0),"")</f>
        <v/>
      </c>
      <c r="G71" s="47" t="str">
        <f>IFERROR(VLOOKUP($A$1&amp;"-"&amp;ROW(G70),基本資料填寫!$A:$DN,COLUMN(基本資料填寫!V71),0),"")</f>
        <v/>
      </c>
      <c r="H71" s="47" t="str">
        <f>IFERROR(VLOOKUP($A$1&amp;"-"&amp;ROW(BI70),基本資料填寫!$A:$DN,COLUMN(基本資料填寫!BW71),0),"")</f>
        <v/>
      </c>
      <c r="I71" s="47" t="str">
        <f>IFERROR(VLOOKUP($A$1&amp;"-"&amp;ROW(I70),基本資料填寫!$A:$DN,COLUMN(基本資料填寫!AN71),0),"")</f>
        <v/>
      </c>
      <c r="J71" s="47" t="str">
        <f>IFERROR(VLOOKUP($A$1&amp;"-"&amp;ROW(K70),基本資料填寫!$A:$DN,COLUMN(基本資料填寫!R71),0),"")</f>
        <v/>
      </c>
      <c r="K71" s="47" t="str">
        <f>IFERROR(VLOOKUP($A$1&amp;"-"&amp;ROW(AA70),基本資料填寫!$A:$DN,COLUMN(基本資料填寫!BX71),0),"")</f>
        <v/>
      </c>
      <c r="L71" s="47" t="str">
        <f>IFERROR(VLOOKUP($A$1&amp;"-"&amp;ROW(S70),基本資料填寫!$A:$DN,COLUMN(基本資料填寫!Z71),0),"")</f>
        <v/>
      </c>
      <c r="M71" s="47" t="str">
        <f>IFERROR(VLOOKUP($A$1&amp;"-"&amp;ROW(T70),基本資料填寫!$A:$DN,COLUMN(基本資料填寫!AA71),0),"")</f>
        <v/>
      </c>
      <c r="N71" s="47" t="str">
        <f>IFERROR(VLOOKUP($A$1&amp;"-"&amp;ROW(AB70),基本資料填寫!$A:$DN,COLUMN(基本資料填寫!BY71),0),"")</f>
        <v/>
      </c>
      <c r="O71" s="47" t="str">
        <f>IFERROR(VLOOKUP($A$1&amp;"-"&amp;ROW(AC70),基本資料填寫!$A:$DN,COLUMN(基本資料填寫!BZ71),0),"")</f>
        <v/>
      </c>
      <c r="P71" s="47" t="str">
        <f>IFERROR(VLOOKUP($A$1&amp;"-"&amp;ROW(AD70),基本資料填寫!$A:$DN,COLUMN(基本資料填寫!CA71),0),"")</f>
        <v/>
      </c>
      <c r="Q71" s="47" t="str">
        <f>IFERROR(VLOOKUP($A$1&amp;"-"&amp;ROW(J70),基本資料填寫!$A:$DN,COLUMN(基本資料填寫!AO71),0),"")</f>
        <v/>
      </c>
      <c r="R71" s="47" t="str">
        <f>IFERROR(VLOOKUP($A$1&amp;"-"&amp;ROW(AE70),基本資料填寫!$A:$DN,COLUMN(基本資料填寫!CB71),0),"")</f>
        <v/>
      </c>
      <c r="S71" s="47" t="str">
        <f>IFERROR(VLOOKUP($A$1&amp;"-"&amp;ROW(AF70),基本資料填寫!$A:$DN,COLUMN(基本資料填寫!CC71),0),"")</f>
        <v/>
      </c>
      <c r="T71" s="47" t="str">
        <f>IFERROR(VLOOKUP($A$1&amp;"-"&amp;ROW(AG70),基本資料填寫!$A:$DN,COLUMN(基本資料填寫!CD71),0),"")</f>
        <v/>
      </c>
      <c r="U71" s="47" t="str">
        <f>IFERROR(VLOOKUP($A$1&amp;"-"&amp;ROW(AH70),基本資料填寫!$A:$DN,COLUMN(基本資料填寫!CE71),0),"")</f>
        <v/>
      </c>
      <c r="V71" s="47" t="str">
        <f>IFERROR(VLOOKUP($A$1&amp;"-"&amp;ROW(AI70),基本資料填寫!$A:$DN,COLUMN(基本資料填寫!CF71),0),"")</f>
        <v/>
      </c>
      <c r="W71" s="47" t="str">
        <f>IFERROR(VLOOKUP($A$1&amp;"-"&amp;ROW(AJ70),基本資料填寫!$A:$DN,COLUMN(基本資料填寫!CG71),0),"")</f>
        <v/>
      </c>
      <c r="X71" s="47" t="str">
        <f>IFERROR(VLOOKUP($A$1&amp;"-"&amp;ROW(AK70),基本資料填寫!$A:$DN,COLUMN(基本資料填寫!CH71),0),"")</f>
        <v/>
      </c>
      <c r="Y71" s="47" t="str">
        <f>IFERROR(VLOOKUP($A$1&amp;"-"&amp;ROW(AL70),基本資料填寫!$A:$DN,COLUMN(基本資料填寫!CI71),0),"")</f>
        <v/>
      </c>
      <c r="Z71" s="47" t="str">
        <f>IFERROR(VLOOKUP($A$1&amp;"-"&amp;ROW(H70),基本資料填寫!$A:$DN,COLUMN(基本資料填寫!O71),0),"")</f>
        <v/>
      </c>
      <c r="AA71" s="47" t="str">
        <f>IFERROR(VLOOKUP($A$1&amp;"-"&amp;ROW(AM70),基本資料填寫!$A:$DN,COLUMN(基本資料填寫!CJ71),0),"")</f>
        <v/>
      </c>
      <c r="AB71" s="47" t="str">
        <f>IFERROR(VLOOKUP($A$1&amp;"-"&amp;ROW(AN70),基本資料填寫!$A:$DN,COLUMN(基本資料填寫!CK71),0),"")</f>
        <v/>
      </c>
      <c r="AC71" s="47" t="str">
        <f>IFERROR(VLOOKUP($A$1&amp;"-"&amp;ROW(AP70),基本資料填寫!$A:$DN,COLUMN(基本資料填寫!CN71),0),"")</f>
        <v/>
      </c>
      <c r="AD71" s="47" t="str">
        <f>IFERROR(VLOOKUP($A$1&amp;"-"&amp;ROW(AQ70),基本資料填寫!$A:$DN,COLUMN(基本資料填寫!CO71),0),"")</f>
        <v/>
      </c>
      <c r="AE71" s="47" t="str">
        <f>IFERROR(VLOOKUP($A$1&amp;"-"&amp;ROW(AR70),基本資料填寫!$A:$DN,COLUMN(基本資料填寫!CP71),0),"")</f>
        <v/>
      </c>
      <c r="AF71" s="47" t="str">
        <f>IFERROR(VLOOKUP($A$1&amp;"-"&amp;ROW(AS70),基本資料填寫!$A:$DN,COLUMN(基本資料填寫!CQ71),0),"")</f>
        <v/>
      </c>
      <c r="AG71" s="47" t="str">
        <f>IFERROR(VLOOKUP($A$1&amp;"-"&amp;ROW(AT70),基本資料填寫!$A:$DN,COLUMN(基本資料填寫!CR71),0),"")</f>
        <v/>
      </c>
      <c r="AH71" s="47" t="str">
        <f>IFERROR(VLOOKUP($A$1&amp;"-"&amp;ROW(AU70),基本資料填寫!$A:$DN,COLUMN(基本資料填寫!CS71),0),"")</f>
        <v/>
      </c>
      <c r="AI71" s="47" t="str">
        <f>IFERROR(VLOOKUP($A$1&amp;"-"&amp;ROW(P70),基本資料填寫!$A:$DN,COLUMN(基本資料填寫!X71),0),"")</f>
        <v/>
      </c>
      <c r="AJ71" s="47" t="str">
        <f>IFERROR(VLOOKUP($A$1&amp;"-"&amp;ROW(AV70),基本資料填寫!$A:$DN,COLUMN(基本資料填寫!CT71),0),"")</f>
        <v/>
      </c>
      <c r="AK71" s="47" t="str">
        <f>IFERROR(VLOOKUP($A$1&amp;"-"&amp;ROW(AC70),基本資料填寫!$A:$DN,COLUMN(基本資料填寫!AQ71),0),"")</f>
        <v/>
      </c>
      <c r="AL71" s="47" t="str">
        <f>IFERROR(VLOOKUP($A$1&amp;"-"&amp;ROW(AO70),基本資料填寫!$A:$DN,COLUMN(基本資料填寫!CM71),0),"")</f>
        <v/>
      </c>
      <c r="AM71" s="47" t="str">
        <f>IFERROR(VLOOKUP($A$1&amp;"-"&amp;ROW(AD70),基本資料填寫!$A:$DN,COLUMN(基本資料填寫!AR71),0),"")</f>
        <v/>
      </c>
      <c r="AN71" s="47" t="str">
        <f>IFERROR(VLOOKUP($A$1&amp;"-"&amp;ROW(K70),基本資料填寫!$A:$DN,COLUMN(基本資料填寫!AP71),0),"")</f>
        <v/>
      </c>
      <c r="AO71" s="47" t="str">
        <f>IFERROR(VLOOKUP($A$1&amp;"-"&amp;ROW(J70),基本資料填寫!$A:$DN,COLUMN(基本資料填寫!AO71),0),"")</f>
        <v/>
      </c>
      <c r="AP71" s="47" t="str">
        <f>IFERROR(VLOOKUP($A$1&amp;"-"&amp;ROW(AE70),基本資料填寫!$A:$DN,COLUMN(基本資料填寫!AS71),0),"")</f>
        <v/>
      </c>
      <c r="AQ71" s="47" t="str">
        <f>IFERROR(VLOOKUP($A$1&amp;"-"&amp;ROW(AF70),基本資料填寫!$A:$DN,COLUMN(基本資料填寫!AT71),0),"")</f>
        <v/>
      </c>
      <c r="AR71" s="47" t="str">
        <f>IFERROR(VLOOKUP($A$1&amp;"-"&amp;ROW(AG70),基本資料填寫!$A:$DN,COLUMN(基本資料填寫!AU71),0),"")</f>
        <v/>
      </c>
      <c r="AS71" s="47" t="str">
        <f>IFERROR(VLOOKUP($A$1&amp;"-"&amp;ROW(AH70),基本資料填寫!$A:$DN,COLUMN(基本資料填寫!AV71),0),"")</f>
        <v/>
      </c>
      <c r="AT71" s="47" t="str">
        <f>IFERROR(VLOOKUP($A$1&amp;"-"&amp;ROW(AI70),基本資料填寫!$A:$DN,COLUMN(基本資料填寫!AW71),0),"")</f>
        <v/>
      </c>
      <c r="AU71" s="47" t="str">
        <f>IFERROR(VLOOKUP($A$1&amp;"-"&amp;ROW(AJ70),基本資料填寫!$A:$DN,COLUMN(基本資料填寫!AX71),0),"")</f>
        <v/>
      </c>
      <c r="AV71" s="47" t="str">
        <f>IFERROR(VLOOKUP($A$1&amp;"-"&amp;ROW(AK70),基本資料填寫!$A:$DN,COLUMN(基本資料填寫!AY71),0),"")</f>
        <v/>
      </c>
      <c r="AW71" s="47" t="str">
        <f>IFERROR(VLOOKUP($A$1&amp;"-"&amp;ROW(AL70),基本資料填寫!$A:$DN,COLUMN(基本資料填寫!AZ71),0),"")</f>
        <v/>
      </c>
      <c r="AX71" s="47" t="str">
        <f>IFERROR(VLOOKUP($A$1&amp;"-"&amp;ROW(AM70),基本資料填寫!$A:$DN,COLUMN(基本資料填寫!BA71),0),"")</f>
        <v/>
      </c>
      <c r="AY71" s="47" t="str">
        <f>IFERROR(VLOOKUP($A$1&amp;"-"&amp;ROW(AN70),基本資料填寫!$A:$DN,COLUMN(基本資料填寫!BB71),0),"")</f>
        <v/>
      </c>
      <c r="AZ71" s="47" t="str">
        <f>IFERROR(VLOOKUP($A$1&amp;"-"&amp;ROW(AO70),基本資料填寫!$A:$DN,COLUMN(基本資料填寫!BC71),0),"")</f>
        <v/>
      </c>
      <c r="BA71" s="47" t="str">
        <f>IFERROR(VLOOKUP($A$1&amp;"-"&amp;ROW(AP70),基本資料填寫!$A:$DN,COLUMN(基本資料填寫!BD71),0),"")</f>
        <v/>
      </c>
      <c r="BB71" s="47" t="str">
        <f>IFERROR(VLOOKUP($A$1&amp;"-"&amp;ROW(AQ70),基本資料填寫!$A:$DN,COLUMN(基本資料填寫!BE71),0),"")</f>
        <v/>
      </c>
      <c r="BC71" s="47" t="str">
        <f>IFERROR(VLOOKUP($A$1&amp;"-"&amp;ROW(AR70),基本資料填寫!$A:$DN,COLUMN(基本資料填寫!BF71),0),"")</f>
        <v/>
      </c>
      <c r="BD71" s="47" t="str">
        <f>IFERROR(VLOOKUP($A$1&amp;"-"&amp;ROW(AS70),基本資料填寫!$A:$DN,COLUMN(基本資料填寫!BG71),0),"")</f>
        <v/>
      </c>
      <c r="BE71" s="47" t="str">
        <f>IFERROR(VLOOKUP($A$1&amp;"-"&amp;ROW(AT70),基本資料填寫!$A:$DN,COLUMN(基本資料填寫!BH71),0),"")</f>
        <v/>
      </c>
      <c r="BF71" s="47" t="str">
        <f>IFERROR(VLOOKUP($A$1&amp;"-"&amp;ROW(AU70),基本資料填寫!$A:$DN,COLUMN(基本資料填寫!BI71),0),"")</f>
        <v/>
      </c>
      <c r="BG71" s="47" t="str">
        <f>IFERROR(VLOOKUP($A$1&amp;"-"&amp;ROW(AV70),基本資料填寫!$A:$DN,COLUMN(基本資料填寫!BJ71),0),"")</f>
        <v/>
      </c>
      <c r="BH71" s="47" t="str">
        <f>IFERROR(VLOOKUP($A$1&amp;"-"&amp;ROW(AW70),基本資料填寫!$A:$DN,COLUMN(基本資料填寫!BK71),0),"")</f>
        <v/>
      </c>
      <c r="BI71" s="47" t="str">
        <f>IFERROR(VLOOKUP($A$1&amp;"-"&amp;ROW(AX70),基本資料填寫!$A:$DN,COLUMN(基本資料填寫!BL71),0),"")</f>
        <v/>
      </c>
      <c r="BJ71" s="47" t="str">
        <f>IFERROR(VLOOKUP($A$1&amp;"-"&amp;ROW(AY70),基本資料填寫!$A:$DN,COLUMN(基本資料填寫!BM71),0),"")</f>
        <v/>
      </c>
      <c r="BK71" s="47" t="str">
        <f>IFERROR(VLOOKUP($A$1&amp;"-"&amp;ROW(AZ70),基本資料填寫!$A:$DN,COLUMN(基本資料填寫!BN71),0),"")</f>
        <v/>
      </c>
      <c r="BL71" s="47" t="str">
        <f>IFERROR(VLOOKUP($A$1&amp;"-"&amp;ROW(BA70),基本資料填寫!$A:$DN,COLUMN(基本資料填寫!BO71),0),"")</f>
        <v/>
      </c>
      <c r="BM71" s="47" t="str">
        <f>IFERROR(VLOOKUP($A$1&amp;"-"&amp;ROW(BB70),基本資料填寫!$A:$DN,COLUMN(基本資料填寫!BP71),0),"")</f>
        <v/>
      </c>
      <c r="BN71" s="47" t="str">
        <f>IFERROR(VLOOKUP($A$1&amp;"-"&amp;ROW(BC70),基本資料填寫!$A:$DN,COLUMN(基本資料填寫!BQ71),0),"")</f>
        <v/>
      </c>
      <c r="BO71" s="47" t="str">
        <f>IFERROR(VLOOKUP($A$1&amp;"-"&amp;ROW(BD70),基本資料填寫!$A:$DN,COLUMN(基本資料填寫!BR71),0),"")</f>
        <v/>
      </c>
    </row>
    <row r="72" spans="2:67" x14ac:dyDescent="0.3">
      <c r="B72" s="47" t="str">
        <f>IFERROR(VLOOKUP($A$1&amp;"-"&amp;ROW(A71),基本資料填寫!$A:$DN,COLUMN(基本資料填寫!K72),0),"")</f>
        <v/>
      </c>
      <c r="C72" s="47" t="str">
        <f>IFERROR(VLOOKUP($A$1&amp;"-"&amp;ROW(B71),基本資料填寫!$A:$DN,COLUMN(基本資料填寫!L72),0),"")</f>
        <v/>
      </c>
      <c r="D72" s="47" t="str">
        <f>IF(E72="","",COUNTA($E$2:E72))</f>
        <v/>
      </c>
      <c r="E72" s="47" t="str">
        <f>IFERROR(VLOOKUP($A$1&amp;"-"&amp;ROW(E71),基本資料填寫!$A:$DN,COLUMN(基本資料填寫!S72),0),"")</f>
        <v/>
      </c>
      <c r="G72" s="47" t="str">
        <f>IFERROR(VLOOKUP($A$1&amp;"-"&amp;ROW(G71),基本資料填寫!$A:$DN,COLUMN(基本資料填寫!V72),0),"")</f>
        <v/>
      </c>
      <c r="H72" s="47" t="str">
        <f>IFERROR(VLOOKUP($A$1&amp;"-"&amp;ROW(BI71),基本資料填寫!$A:$DN,COLUMN(基本資料填寫!BW72),0),"")</f>
        <v/>
      </c>
      <c r="I72" s="47" t="str">
        <f>IFERROR(VLOOKUP($A$1&amp;"-"&amp;ROW(I71),基本資料填寫!$A:$DN,COLUMN(基本資料填寫!AN72),0),"")</f>
        <v/>
      </c>
      <c r="J72" s="47" t="str">
        <f>IFERROR(VLOOKUP($A$1&amp;"-"&amp;ROW(K71),基本資料填寫!$A:$DN,COLUMN(基本資料填寫!R72),0),"")</f>
        <v/>
      </c>
      <c r="K72" s="47" t="str">
        <f>IFERROR(VLOOKUP($A$1&amp;"-"&amp;ROW(AA71),基本資料填寫!$A:$DN,COLUMN(基本資料填寫!BX72),0),"")</f>
        <v/>
      </c>
      <c r="L72" s="47" t="str">
        <f>IFERROR(VLOOKUP($A$1&amp;"-"&amp;ROW(S71),基本資料填寫!$A:$DN,COLUMN(基本資料填寫!Z72),0),"")</f>
        <v/>
      </c>
      <c r="M72" s="47" t="str">
        <f>IFERROR(VLOOKUP($A$1&amp;"-"&amp;ROW(T71),基本資料填寫!$A:$DN,COLUMN(基本資料填寫!AA72),0),"")</f>
        <v/>
      </c>
      <c r="N72" s="47" t="str">
        <f>IFERROR(VLOOKUP($A$1&amp;"-"&amp;ROW(AB71),基本資料填寫!$A:$DN,COLUMN(基本資料填寫!BY72),0),"")</f>
        <v/>
      </c>
      <c r="O72" s="47" t="str">
        <f>IFERROR(VLOOKUP($A$1&amp;"-"&amp;ROW(AC71),基本資料填寫!$A:$DN,COLUMN(基本資料填寫!BZ72),0),"")</f>
        <v/>
      </c>
      <c r="P72" s="47" t="str">
        <f>IFERROR(VLOOKUP($A$1&amp;"-"&amp;ROW(AD71),基本資料填寫!$A:$DN,COLUMN(基本資料填寫!CA72),0),"")</f>
        <v/>
      </c>
      <c r="Q72" s="47" t="str">
        <f>IFERROR(VLOOKUP($A$1&amp;"-"&amp;ROW(J71),基本資料填寫!$A:$DN,COLUMN(基本資料填寫!AO72),0),"")</f>
        <v/>
      </c>
      <c r="R72" s="47" t="str">
        <f>IFERROR(VLOOKUP($A$1&amp;"-"&amp;ROW(AE71),基本資料填寫!$A:$DN,COLUMN(基本資料填寫!CB72),0),"")</f>
        <v/>
      </c>
      <c r="S72" s="47" t="str">
        <f>IFERROR(VLOOKUP($A$1&amp;"-"&amp;ROW(AF71),基本資料填寫!$A:$DN,COLUMN(基本資料填寫!CC72),0),"")</f>
        <v/>
      </c>
      <c r="T72" s="47" t="str">
        <f>IFERROR(VLOOKUP($A$1&amp;"-"&amp;ROW(AG71),基本資料填寫!$A:$DN,COLUMN(基本資料填寫!CD72),0),"")</f>
        <v/>
      </c>
      <c r="U72" s="47" t="str">
        <f>IFERROR(VLOOKUP($A$1&amp;"-"&amp;ROW(AH71),基本資料填寫!$A:$DN,COLUMN(基本資料填寫!CE72),0),"")</f>
        <v/>
      </c>
      <c r="V72" s="47" t="str">
        <f>IFERROR(VLOOKUP($A$1&amp;"-"&amp;ROW(AI71),基本資料填寫!$A:$DN,COLUMN(基本資料填寫!CF72),0),"")</f>
        <v/>
      </c>
      <c r="W72" s="47" t="str">
        <f>IFERROR(VLOOKUP($A$1&amp;"-"&amp;ROW(AJ71),基本資料填寫!$A:$DN,COLUMN(基本資料填寫!CG72),0),"")</f>
        <v/>
      </c>
      <c r="X72" s="47" t="str">
        <f>IFERROR(VLOOKUP($A$1&amp;"-"&amp;ROW(AK71),基本資料填寫!$A:$DN,COLUMN(基本資料填寫!CH72),0),"")</f>
        <v/>
      </c>
      <c r="Y72" s="47" t="str">
        <f>IFERROR(VLOOKUP($A$1&amp;"-"&amp;ROW(AL71),基本資料填寫!$A:$DN,COLUMN(基本資料填寫!CI72),0),"")</f>
        <v/>
      </c>
      <c r="Z72" s="47" t="str">
        <f>IFERROR(VLOOKUP($A$1&amp;"-"&amp;ROW(H71),基本資料填寫!$A:$DN,COLUMN(基本資料填寫!O72),0),"")</f>
        <v/>
      </c>
      <c r="AA72" s="47" t="str">
        <f>IFERROR(VLOOKUP($A$1&amp;"-"&amp;ROW(AM71),基本資料填寫!$A:$DN,COLUMN(基本資料填寫!CJ72),0),"")</f>
        <v/>
      </c>
      <c r="AB72" s="47" t="str">
        <f>IFERROR(VLOOKUP($A$1&amp;"-"&amp;ROW(AN71),基本資料填寫!$A:$DN,COLUMN(基本資料填寫!CK72),0),"")</f>
        <v/>
      </c>
      <c r="AC72" s="47" t="str">
        <f>IFERROR(VLOOKUP($A$1&amp;"-"&amp;ROW(AP71),基本資料填寫!$A:$DN,COLUMN(基本資料填寫!CN72),0),"")</f>
        <v/>
      </c>
      <c r="AD72" s="47" t="str">
        <f>IFERROR(VLOOKUP($A$1&amp;"-"&amp;ROW(AQ71),基本資料填寫!$A:$DN,COLUMN(基本資料填寫!CO72),0),"")</f>
        <v/>
      </c>
      <c r="AE72" s="47" t="str">
        <f>IFERROR(VLOOKUP($A$1&amp;"-"&amp;ROW(AR71),基本資料填寫!$A:$DN,COLUMN(基本資料填寫!CP72),0),"")</f>
        <v/>
      </c>
      <c r="AF72" s="47" t="str">
        <f>IFERROR(VLOOKUP($A$1&amp;"-"&amp;ROW(AS71),基本資料填寫!$A:$DN,COLUMN(基本資料填寫!CQ72),0),"")</f>
        <v/>
      </c>
      <c r="AG72" s="47" t="str">
        <f>IFERROR(VLOOKUP($A$1&amp;"-"&amp;ROW(AT71),基本資料填寫!$A:$DN,COLUMN(基本資料填寫!CR72),0),"")</f>
        <v/>
      </c>
      <c r="AH72" s="47" t="str">
        <f>IFERROR(VLOOKUP($A$1&amp;"-"&amp;ROW(AU71),基本資料填寫!$A:$DN,COLUMN(基本資料填寫!CS72),0),"")</f>
        <v/>
      </c>
      <c r="AI72" s="47" t="str">
        <f>IFERROR(VLOOKUP($A$1&amp;"-"&amp;ROW(P71),基本資料填寫!$A:$DN,COLUMN(基本資料填寫!X72),0),"")</f>
        <v/>
      </c>
      <c r="AJ72" s="47" t="str">
        <f>IFERROR(VLOOKUP($A$1&amp;"-"&amp;ROW(AV71),基本資料填寫!$A:$DN,COLUMN(基本資料填寫!CT72),0),"")</f>
        <v/>
      </c>
      <c r="AK72" s="47" t="str">
        <f>IFERROR(VLOOKUP($A$1&amp;"-"&amp;ROW(AC71),基本資料填寫!$A:$DN,COLUMN(基本資料填寫!AQ72),0),"")</f>
        <v/>
      </c>
      <c r="AL72" s="47" t="str">
        <f>IFERROR(VLOOKUP($A$1&amp;"-"&amp;ROW(AO71),基本資料填寫!$A:$DN,COLUMN(基本資料填寫!CM72),0),"")</f>
        <v/>
      </c>
      <c r="AM72" s="47" t="str">
        <f>IFERROR(VLOOKUP($A$1&amp;"-"&amp;ROW(AD71),基本資料填寫!$A:$DN,COLUMN(基本資料填寫!AR72),0),"")</f>
        <v/>
      </c>
      <c r="AN72" s="47" t="str">
        <f>IFERROR(VLOOKUP($A$1&amp;"-"&amp;ROW(K71),基本資料填寫!$A:$DN,COLUMN(基本資料填寫!AP72),0),"")</f>
        <v/>
      </c>
      <c r="AO72" s="47" t="str">
        <f>IFERROR(VLOOKUP($A$1&amp;"-"&amp;ROW(J71),基本資料填寫!$A:$DN,COLUMN(基本資料填寫!AO72),0),"")</f>
        <v/>
      </c>
      <c r="AP72" s="47" t="str">
        <f>IFERROR(VLOOKUP($A$1&amp;"-"&amp;ROW(AE71),基本資料填寫!$A:$DN,COLUMN(基本資料填寫!AS72),0),"")</f>
        <v/>
      </c>
      <c r="AQ72" s="47" t="str">
        <f>IFERROR(VLOOKUP($A$1&amp;"-"&amp;ROW(AF71),基本資料填寫!$A:$DN,COLUMN(基本資料填寫!AT72),0),"")</f>
        <v/>
      </c>
      <c r="AR72" s="47" t="str">
        <f>IFERROR(VLOOKUP($A$1&amp;"-"&amp;ROW(AG71),基本資料填寫!$A:$DN,COLUMN(基本資料填寫!AU72),0),"")</f>
        <v/>
      </c>
      <c r="AS72" s="47" t="str">
        <f>IFERROR(VLOOKUP($A$1&amp;"-"&amp;ROW(AH71),基本資料填寫!$A:$DN,COLUMN(基本資料填寫!AV72),0),"")</f>
        <v/>
      </c>
      <c r="AT72" s="47" t="str">
        <f>IFERROR(VLOOKUP($A$1&amp;"-"&amp;ROW(AI71),基本資料填寫!$A:$DN,COLUMN(基本資料填寫!AW72),0),"")</f>
        <v/>
      </c>
      <c r="AU72" s="47" t="str">
        <f>IFERROR(VLOOKUP($A$1&amp;"-"&amp;ROW(AJ71),基本資料填寫!$A:$DN,COLUMN(基本資料填寫!AX72),0),"")</f>
        <v/>
      </c>
      <c r="AV72" s="47" t="str">
        <f>IFERROR(VLOOKUP($A$1&amp;"-"&amp;ROW(AK71),基本資料填寫!$A:$DN,COLUMN(基本資料填寫!AY72),0),"")</f>
        <v/>
      </c>
      <c r="AW72" s="47" t="str">
        <f>IFERROR(VLOOKUP($A$1&amp;"-"&amp;ROW(AL71),基本資料填寫!$A:$DN,COLUMN(基本資料填寫!AZ72),0),"")</f>
        <v/>
      </c>
      <c r="AX72" s="47" t="str">
        <f>IFERROR(VLOOKUP($A$1&amp;"-"&amp;ROW(AM71),基本資料填寫!$A:$DN,COLUMN(基本資料填寫!BA72),0),"")</f>
        <v/>
      </c>
      <c r="AY72" s="47" t="str">
        <f>IFERROR(VLOOKUP($A$1&amp;"-"&amp;ROW(AN71),基本資料填寫!$A:$DN,COLUMN(基本資料填寫!BB72),0),"")</f>
        <v/>
      </c>
      <c r="AZ72" s="47" t="str">
        <f>IFERROR(VLOOKUP($A$1&amp;"-"&amp;ROW(AO71),基本資料填寫!$A:$DN,COLUMN(基本資料填寫!BC72),0),"")</f>
        <v/>
      </c>
      <c r="BA72" s="47" t="str">
        <f>IFERROR(VLOOKUP($A$1&amp;"-"&amp;ROW(AP71),基本資料填寫!$A:$DN,COLUMN(基本資料填寫!BD72),0),"")</f>
        <v/>
      </c>
      <c r="BB72" s="47" t="str">
        <f>IFERROR(VLOOKUP($A$1&amp;"-"&amp;ROW(AQ71),基本資料填寫!$A:$DN,COLUMN(基本資料填寫!BE72),0),"")</f>
        <v/>
      </c>
      <c r="BC72" s="47" t="str">
        <f>IFERROR(VLOOKUP($A$1&amp;"-"&amp;ROW(AR71),基本資料填寫!$A:$DN,COLUMN(基本資料填寫!BF72),0),"")</f>
        <v/>
      </c>
      <c r="BD72" s="47" t="str">
        <f>IFERROR(VLOOKUP($A$1&amp;"-"&amp;ROW(AS71),基本資料填寫!$A:$DN,COLUMN(基本資料填寫!BG72),0),"")</f>
        <v/>
      </c>
      <c r="BE72" s="47" t="str">
        <f>IFERROR(VLOOKUP($A$1&amp;"-"&amp;ROW(AT71),基本資料填寫!$A:$DN,COLUMN(基本資料填寫!BH72),0),"")</f>
        <v/>
      </c>
      <c r="BF72" s="47" t="str">
        <f>IFERROR(VLOOKUP($A$1&amp;"-"&amp;ROW(AU71),基本資料填寫!$A:$DN,COLUMN(基本資料填寫!BI72),0),"")</f>
        <v/>
      </c>
      <c r="BG72" s="47" t="str">
        <f>IFERROR(VLOOKUP($A$1&amp;"-"&amp;ROW(AV71),基本資料填寫!$A:$DN,COLUMN(基本資料填寫!BJ72),0),"")</f>
        <v/>
      </c>
      <c r="BH72" s="47" t="str">
        <f>IFERROR(VLOOKUP($A$1&amp;"-"&amp;ROW(AW71),基本資料填寫!$A:$DN,COLUMN(基本資料填寫!BK72),0),"")</f>
        <v/>
      </c>
      <c r="BI72" s="47" t="str">
        <f>IFERROR(VLOOKUP($A$1&amp;"-"&amp;ROW(AX71),基本資料填寫!$A:$DN,COLUMN(基本資料填寫!BL72),0),"")</f>
        <v/>
      </c>
      <c r="BJ72" s="47" t="str">
        <f>IFERROR(VLOOKUP($A$1&amp;"-"&amp;ROW(AY71),基本資料填寫!$A:$DN,COLUMN(基本資料填寫!BM72),0),"")</f>
        <v/>
      </c>
      <c r="BK72" s="47" t="str">
        <f>IFERROR(VLOOKUP($A$1&amp;"-"&amp;ROW(AZ71),基本資料填寫!$A:$DN,COLUMN(基本資料填寫!BN72),0),"")</f>
        <v/>
      </c>
      <c r="BL72" s="47" t="str">
        <f>IFERROR(VLOOKUP($A$1&amp;"-"&amp;ROW(BA71),基本資料填寫!$A:$DN,COLUMN(基本資料填寫!BO72),0),"")</f>
        <v/>
      </c>
      <c r="BM72" s="47" t="str">
        <f>IFERROR(VLOOKUP($A$1&amp;"-"&amp;ROW(BB71),基本資料填寫!$A:$DN,COLUMN(基本資料填寫!BP72),0),"")</f>
        <v/>
      </c>
      <c r="BN72" s="47" t="str">
        <f>IFERROR(VLOOKUP($A$1&amp;"-"&amp;ROW(BC71),基本資料填寫!$A:$DN,COLUMN(基本資料填寫!BQ72),0),"")</f>
        <v/>
      </c>
      <c r="BO72" s="47" t="str">
        <f>IFERROR(VLOOKUP($A$1&amp;"-"&amp;ROW(BD71),基本資料填寫!$A:$DN,COLUMN(基本資料填寫!BR72),0),"")</f>
        <v/>
      </c>
    </row>
    <row r="73" spans="2:67" x14ac:dyDescent="0.3">
      <c r="B73" s="47" t="str">
        <f>IFERROR(VLOOKUP($A$1&amp;"-"&amp;ROW(A72),基本資料填寫!$A:$DN,COLUMN(基本資料填寫!K73),0),"")</f>
        <v/>
      </c>
      <c r="C73" s="47" t="str">
        <f>IFERROR(VLOOKUP($A$1&amp;"-"&amp;ROW(B72),基本資料填寫!$A:$DN,COLUMN(基本資料填寫!L73),0),"")</f>
        <v/>
      </c>
      <c r="D73" s="47" t="str">
        <f>IF(E73="","",COUNTA($E$2:E73))</f>
        <v/>
      </c>
      <c r="E73" s="47" t="str">
        <f>IFERROR(VLOOKUP($A$1&amp;"-"&amp;ROW(E72),基本資料填寫!$A:$DN,COLUMN(基本資料填寫!S73),0),"")</f>
        <v/>
      </c>
      <c r="G73" s="47" t="str">
        <f>IFERROR(VLOOKUP($A$1&amp;"-"&amp;ROW(G72),基本資料填寫!$A:$DN,COLUMN(基本資料填寫!V73),0),"")</f>
        <v/>
      </c>
      <c r="H73" s="47" t="str">
        <f>IFERROR(VLOOKUP($A$1&amp;"-"&amp;ROW(BI72),基本資料填寫!$A:$DN,COLUMN(基本資料填寫!BW73),0),"")</f>
        <v/>
      </c>
      <c r="I73" s="47" t="str">
        <f>IFERROR(VLOOKUP($A$1&amp;"-"&amp;ROW(I72),基本資料填寫!$A:$DN,COLUMN(基本資料填寫!AN73),0),"")</f>
        <v/>
      </c>
      <c r="J73" s="47" t="str">
        <f>IFERROR(VLOOKUP($A$1&amp;"-"&amp;ROW(K72),基本資料填寫!$A:$DN,COLUMN(基本資料填寫!R73),0),"")</f>
        <v/>
      </c>
      <c r="K73" s="47" t="str">
        <f>IFERROR(VLOOKUP($A$1&amp;"-"&amp;ROW(AA72),基本資料填寫!$A:$DN,COLUMN(基本資料填寫!BX73),0),"")</f>
        <v/>
      </c>
      <c r="L73" s="47" t="str">
        <f>IFERROR(VLOOKUP($A$1&amp;"-"&amp;ROW(S72),基本資料填寫!$A:$DN,COLUMN(基本資料填寫!Z73),0),"")</f>
        <v/>
      </c>
      <c r="M73" s="47" t="str">
        <f>IFERROR(VLOOKUP($A$1&amp;"-"&amp;ROW(T72),基本資料填寫!$A:$DN,COLUMN(基本資料填寫!AA73),0),"")</f>
        <v/>
      </c>
      <c r="N73" s="47" t="str">
        <f>IFERROR(VLOOKUP($A$1&amp;"-"&amp;ROW(AB72),基本資料填寫!$A:$DN,COLUMN(基本資料填寫!BY73),0),"")</f>
        <v/>
      </c>
      <c r="O73" s="47" t="str">
        <f>IFERROR(VLOOKUP($A$1&amp;"-"&amp;ROW(AC72),基本資料填寫!$A:$DN,COLUMN(基本資料填寫!BZ73),0),"")</f>
        <v/>
      </c>
      <c r="P73" s="47" t="str">
        <f>IFERROR(VLOOKUP($A$1&amp;"-"&amp;ROW(AD72),基本資料填寫!$A:$DN,COLUMN(基本資料填寫!CA73),0),"")</f>
        <v/>
      </c>
      <c r="Q73" s="47" t="str">
        <f>IFERROR(VLOOKUP($A$1&amp;"-"&amp;ROW(J72),基本資料填寫!$A:$DN,COLUMN(基本資料填寫!AO73),0),"")</f>
        <v/>
      </c>
      <c r="R73" s="47" t="str">
        <f>IFERROR(VLOOKUP($A$1&amp;"-"&amp;ROW(AE72),基本資料填寫!$A:$DN,COLUMN(基本資料填寫!CB73),0),"")</f>
        <v/>
      </c>
      <c r="S73" s="47" t="str">
        <f>IFERROR(VLOOKUP($A$1&amp;"-"&amp;ROW(AF72),基本資料填寫!$A:$DN,COLUMN(基本資料填寫!CC73),0),"")</f>
        <v/>
      </c>
      <c r="T73" s="47" t="str">
        <f>IFERROR(VLOOKUP($A$1&amp;"-"&amp;ROW(AG72),基本資料填寫!$A:$DN,COLUMN(基本資料填寫!CD73),0),"")</f>
        <v/>
      </c>
      <c r="U73" s="47" t="str">
        <f>IFERROR(VLOOKUP($A$1&amp;"-"&amp;ROW(AH72),基本資料填寫!$A:$DN,COLUMN(基本資料填寫!CE73),0),"")</f>
        <v/>
      </c>
      <c r="V73" s="47" t="str">
        <f>IFERROR(VLOOKUP($A$1&amp;"-"&amp;ROW(AI72),基本資料填寫!$A:$DN,COLUMN(基本資料填寫!CF73),0),"")</f>
        <v/>
      </c>
      <c r="W73" s="47" t="str">
        <f>IFERROR(VLOOKUP($A$1&amp;"-"&amp;ROW(AJ72),基本資料填寫!$A:$DN,COLUMN(基本資料填寫!CG73),0),"")</f>
        <v/>
      </c>
      <c r="X73" s="47" t="str">
        <f>IFERROR(VLOOKUP($A$1&amp;"-"&amp;ROW(AK72),基本資料填寫!$A:$DN,COLUMN(基本資料填寫!CH73),0),"")</f>
        <v/>
      </c>
      <c r="Y73" s="47" t="str">
        <f>IFERROR(VLOOKUP($A$1&amp;"-"&amp;ROW(AL72),基本資料填寫!$A:$DN,COLUMN(基本資料填寫!CI73),0),"")</f>
        <v/>
      </c>
      <c r="Z73" s="47" t="str">
        <f>IFERROR(VLOOKUP($A$1&amp;"-"&amp;ROW(H72),基本資料填寫!$A:$DN,COLUMN(基本資料填寫!O73),0),"")</f>
        <v/>
      </c>
      <c r="AA73" s="47" t="str">
        <f>IFERROR(VLOOKUP($A$1&amp;"-"&amp;ROW(AM72),基本資料填寫!$A:$DN,COLUMN(基本資料填寫!CJ73),0),"")</f>
        <v/>
      </c>
      <c r="AB73" s="47" t="str">
        <f>IFERROR(VLOOKUP($A$1&amp;"-"&amp;ROW(AN72),基本資料填寫!$A:$DN,COLUMN(基本資料填寫!CK73),0),"")</f>
        <v/>
      </c>
      <c r="AC73" s="47" t="str">
        <f>IFERROR(VLOOKUP($A$1&amp;"-"&amp;ROW(AP72),基本資料填寫!$A:$DN,COLUMN(基本資料填寫!CN73),0),"")</f>
        <v/>
      </c>
      <c r="AD73" s="47" t="str">
        <f>IFERROR(VLOOKUP($A$1&amp;"-"&amp;ROW(AQ72),基本資料填寫!$A:$DN,COLUMN(基本資料填寫!CO73),0),"")</f>
        <v/>
      </c>
      <c r="AE73" s="47" t="str">
        <f>IFERROR(VLOOKUP($A$1&amp;"-"&amp;ROW(AR72),基本資料填寫!$A:$DN,COLUMN(基本資料填寫!CP73),0),"")</f>
        <v/>
      </c>
      <c r="AF73" s="47" t="str">
        <f>IFERROR(VLOOKUP($A$1&amp;"-"&amp;ROW(AS72),基本資料填寫!$A:$DN,COLUMN(基本資料填寫!CQ73),0),"")</f>
        <v/>
      </c>
      <c r="AG73" s="47" t="str">
        <f>IFERROR(VLOOKUP($A$1&amp;"-"&amp;ROW(AT72),基本資料填寫!$A:$DN,COLUMN(基本資料填寫!CR73),0),"")</f>
        <v/>
      </c>
      <c r="AH73" s="47" t="str">
        <f>IFERROR(VLOOKUP($A$1&amp;"-"&amp;ROW(AU72),基本資料填寫!$A:$DN,COLUMN(基本資料填寫!CS73),0),"")</f>
        <v/>
      </c>
      <c r="AI73" s="47" t="str">
        <f>IFERROR(VLOOKUP($A$1&amp;"-"&amp;ROW(P72),基本資料填寫!$A:$DN,COLUMN(基本資料填寫!X73),0),"")</f>
        <v/>
      </c>
      <c r="AJ73" s="47" t="str">
        <f>IFERROR(VLOOKUP($A$1&amp;"-"&amp;ROW(AV72),基本資料填寫!$A:$DN,COLUMN(基本資料填寫!CT73),0),"")</f>
        <v/>
      </c>
      <c r="AK73" s="47" t="str">
        <f>IFERROR(VLOOKUP($A$1&amp;"-"&amp;ROW(AC72),基本資料填寫!$A:$DN,COLUMN(基本資料填寫!AQ73),0),"")</f>
        <v/>
      </c>
      <c r="AL73" s="47" t="str">
        <f>IFERROR(VLOOKUP($A$1&amp;"-"&amp;ROW(AO72),基本資料填寫!$A:$DN,COLUMN(基本資料填寫!CM73),0),"")</f>
        <v/>
      </c>
      <c r="AM73" s="47" t="str">
        <f>IFERROR(VLOOKUP($A$1&amp;"-"&amp;ROW(AD72),基本資料填寫!$A:$DN,COLUMN(基本資料填寫!AR73),0),"")</f>
        <v/>
      </c>
      <c r="AN73" s="47" t="str">
        <f>IFERROR(VLOOKUP($A$1&amp;"-"&amp;ROW(K72),基本資料填寫!$A:$DN,COLUMN(基本資料填寫!AP73),0),"")</f>
        <v/>
      </c>
      <c r="AO73" s="47" t="str">
        <f>IFERROR(VLOOKUP($A$1&amp;"-"&amp;ROW(J72),基本資料填寫!$A:$DN,COLUMN(基本資料填寫!AO73),0),"")</f>
        <v/>
      </c>
      <c r="AP73" s="47" t="str">
        <f>IFERROR(VLOOKUP($A$1&amp;"-"&amp;ROW(AE72),基本資料填寫!$A:$DN,COLUMN(基本資料填寫!AS73),0),"")</f>
        <v/>
      </c>
      <c r="AQ73" s="47" t="str">
        <f>IFERROR(VLOOKUP($A$1&amp;"-"&amp;ROW(AF72),基本資料填寫!$A:$DN,COLUMN(基本資料填寫!AT73),0),"")</f>
        <v/>
      </c>
      <c r="AR73" s="47" t="str">
        <f>IFERROR(VLOOKUP($A$1&amp;"-"&amp;ROW(AG72),基本資料填寫!$A:$DN,COLUMN(基本資料填寫!AU73),0),"")</f>
        <v/>
      </c>
      <c r="AS73" s="47" t="str">
        <f>IFERROR(VLOOKUP($A$1&amp;"-"&amp;ROW(AH72),基本資料填寫!$A:$DN,COLUMN(基本資料填寫!AV73),0),"")</f>
        <v/>
      </c>
      <c r="AT73" s="47" t="str">
        <f>IFERROR(VLOOKUP($A$1&amp;"-"&amp;ROW(AI72),基本資料填寫!$A:$DN,COLUMN(基本資料填寫!AW73),0),"")</f>
        <v/>
      </c>
      <c r="AU73" s="47" t="str">
        <f>IFERROR(VLOOKUP($A$1&amp;"-"&amp;ROW(AJ72),基本資料填寫!$A:$DN,COLUMN(基本資料填寫!AX73),0),"")</f>
        <v/>
      </c>
      <c r="AV73" s="47" t="str">
        <f>IFERROR(VLOOKUP($A$1&amp;"-"&amp;ROW(AK72),基本資料填寫!$A:$DN,COLUMN(基本資料填寫!AY73),0),"")</f>
        <v/>
      </c>
      <c r="AW73" s="47" t="str">
        <f>IFERROR(VLOOKUP($A$1&amp;"-"&amp;ROW(AL72),基本資料填寫!$A:$DN,COLUMN(基本資料填寫!AZ73),0),"")</f>
        <v/>
      </c>
      <c r="AX73" s="47" t="str">
        <f>IFERROR(VLOOKUP($A$1&amp;"-"&amp;ROW(AM72),基本資料填寫!$A:$DN,COLUMN(基本資料填寫!BA73),0),"")</f>
        <v/>
      </c>
      <c r="AY73" s="47" t="str">
        <f>IFERROR(VLOOKUP($A$1&amp;"-"&amp;ROW(AN72),基本資料填寫!$A:$DN,COLUMN(基本資料填寫!BB73),0),"")</f>
        <v/>
      </c>
      <c r="AZ73" s="47" t="str">
        <f>IFERROR(VLOOKUP($A$1&amp;"-"&amp;ROW(AO72),基本資料填寫!$A:$DN,COLUMN(基本資料填寫!BC73),0),"")</f>
        <v/>
      </c>
      <c r="BA73" s="47" t="str">
        <f>IFERROR(VLOOKUP($A$1&amp;"-"&amp;ROW(AP72),基本資料填寫!$A:$DN,COLUMN(基本資料填寫!BD73),0),"")</f>
        <v/>
      </c>
      <c r="BB73" s="47" t="str">
        <f>IFERROR(VLOOKUP($A$1&amp;"-"&amp;ROW(AQ72),基本資料填寫!$A:$DN,COLUMN(基本資料填寫!BE73),0),"")</f>
        <v/>
      </c>
      <c r="BC73" s="47" t="str">
        <f>IFERROR(VLOOKUP($A$1&amp;"-"&amp;ROW(AR72),基本資料填寫!$A:$DN,COLUMN(基本資料填寫!BF73),0),"")</f>
        <v/>
      </c>
      <c r="BD73" s="47" t="str">
        <f>IFERROR(VLOOKUP($A$1&amp;"-"&amp;ROW(AS72),基本資料填寫!$A:$DN,COLUMN(基本資料填寫!BG73),0),"")</f>
        <v/>
      </c>
      <c r="BE73" s="47" t="str">
        <f>IFERROR(VLOOKUP($A$1&amp;"-"&amp;ROW(AT72),基本資料填寫!$A:$DN,COLUMN(基本資料填寫!BH73),0),"")</f>
        <v/>
      </c>
      <c r="BF73" s="47" t="str">
        <f>IFERROR(VLOOKUP($A$1&amp;"-"&amp;ROW(AU72),基本資料填寫!$A:$DN,COLUMN(基本資料填寫!BI73),0),"")</f>
        <v/>
      </c>
      <c r="BG73" s="47" t="str">
        <f>IFERROR(VLOOKUP($A$1&amp;"-"&amp;ROW(AV72),基本資料填寫!$A:$DN,COLUMN(基本資料填寫!BJ73),0),"")</f>
        <v/>
      </c>
      <c r="BH73" s="47" t="str">
        <f>IFERROR(VLOOKUP($A$1&amp;"-"&amp;ROW(AW72),基本資料填寫!$A:$DN,COLUMN(基本資料填寫!BK73),0),"")</f>
        <v/>
      </c>
      <c r="BI73" s="47" t="str">
        <f>IFERROR(VLOOKUP($A$1&amp;"-"&amp;ROW(AX72),基本資料填寫!$A:$DN,COLUMN(基本資料填寫!BL73),0),"")</f>
        <v/>
      </c>
      <c r="BJ73" s="47" t="str">
        <f>IFERROR(VLOOKUP($A$1&amp;"-"&amp;ROW(AY72),基本資料填寫!$A:$DN,COLUMN(基本資料填寫!BM73),0),"")</f>
        <v/>
      </c>
      <c r="BK73" s="47" t="str">
        <f>IFERROR(VLOOKUP($A$1&amp;"-"&amp;ROW(AZ72),基本資料填寫!$A:$DN,COLUMN(基本資料填寫!BN73),0),"")</f>
        <v/>
      </c>
      <c r="BL73" s="47" t="str">
        <f>IFERROR(VLOOKUP($A$1&amp;"-"&amp;ROW(BA72),基本資料填寫!$A:$DN,COLUMN(基本資料填寫!BO73),0),"")</f>
        <v/>
      </c>
      <c r="BM73" s="47" t="str">
        <f>IFERROR(VLOOKUP($A$1&amp;"-"&amp;ROW(BB72),基本資料填寫!$A:$DN,COLUMN(基本資料填寫!BP73),0),"")</f>
        <v/>
      </c>
      <c r="BN73" s="47" t="str">
        <f>IFERROR(VLOOKUP($A$1&amp;"-"&amp;ROW(BC72),基本資料填寫!$A:$DN,COLUMN(基本資料填寫!BQ73),0),"")</f>
        <v/>
      </c>
      <c r="BO73" s="47" t="str">
        <f>IFERROR(VLOOKUP($A$1&amp;"-"&amp;ROW(BD72),基本資料填寫!$A:$DN,COLUMN(基本資料填寫!BR73),0),"")</f>
        <v/>
      </c>
    </row>
    <row r="74" spans="2:67" x14ac:dyDescent="0.3">
      <c r="B74" s="47" t="str">
        <f>IFERROR(VLOOKUP($A$1&amp;"-"&amp;ROW(A73),基本資料填寫!$A:$DN,COLUMN(基本資料填寫!K74),0),"")</f>
        <v/>
      </c>
      <c r="C74" s="47" t="str">
        <f>IFERROR(VLOOKUP($A$1&amp;"-"&amp;ROW(B73),基本資料填寫!$A:$DN,COLUMN(基本資料填寫!L74),0),"")</f>
        <v/>
      </c>
      <c r="D74" s="47" t="str">
        <f>IF(E74="","",COUNTA($E$2:E74))</f>
        <v/>
      </c>
      <c r="E74" s="47" t="str">
        <f>IFERROR(VLOOKUP($A$1&amp;"-"&amp;ROW(E73),基本資料填寫!$A:$DN,COLUMN(基本資料填寫!S74),0),"")</f>
        <v/>
      </c>
      <c r="G74" s="47" t="str">
        <f>IFERROR(VLOOKUP($A$1&amp;"-"&amp;ROW(G73),基本資料填寫!$A:$DN,COLUMN(基本資料填寫!V74),0),"")</f>
        <v/>
      </c>
      <c r="H74" s="47" t="str">
        <f>IFERROR(VLOOKUP($A$1&amp;"-"&amp;ROW(BI73),基本資料填寫!$A:$DN,COLUMN(基本資料填寫!BW74),0),"")</f>
        <v/>
      </c>
      <c r="I74" s="47" t="str">
        <f>IFERROR(VLOOKUP($A$1&amp;"-"&amp;ROW(I73),基本資料填寫!$A:$DN,COLUMN(基本資料填寫!AN74),0),"")</f>
        <v/>
      </c>
      <c r="J74" s="47" t="str">
        <f>IFERROR(VLOOKUP($A$1&amp;"-"&amp;ROW(K73),基本資料填寫!$A:$DN,COLUMN(基本資料填寫!R74),0),"")</f>
        <v/>
      </c>
      <c r="K74" s="47" t="str">
        <f>IFERROR(VLOOKUP($A$1&amp;"-"&amp;ROW(AA73),基本資料填寫!$A:$DN,COLUMN(基本資料填寫!BX74),0),"")</f>
        <v/>
      </c>
      <c r="L74" s="47" t="str">
        <f>IFERROR(VLOOKUP($A$1&amp;"-"&amp;ROW(S73),基本資料填寫!$A:$DN,COLUMN(基本資料填寫!Z74),0),"")</f>
        <v/>
      </c>
      <c r="M74" s="47" t="str">
        <f>IFERROR(VLOOKUP($A$1&amp;"-"&amp;ROW(T73),基本資料填寫!$A:$DN,COLUMN(基本資料填寫!AA74),0),"")</f>
        <v/>
      </c>
      <c r="N74" s="47" t="str">
        <f>IFERROR(VLOOKUP($A$1&amp;"-"&amp;ROW(AB73),基本資料填寫!$A:$DN,COLUMN(基本資料填寫!BY74),0),"")</f>
        <v/>
      </c>
      <c r="O74" s="47" t="str">
        <f>IFERROR(VLOOKUP($A$1&amp;"-"&amp;ROW(AC73),基本資料填寫!$A:$DN,COLUMN(基本資料填寫!BZ74),0),"")</f>
        <v/>
      </c>
      <c r="P74" s="47" t="str">
        <f>IFERROR(VLOOKUP($A$1&amp;"-"&amp;ROW(AD73),基本資料填寫!$A:$DN,COLUMN(基本資料填寫!CA74),0),"")</f>
        <v/>
      </c>
      <c r="Q74" s="47" t="str">
        <f>IFERROR(VLOOKUP($A$1&amp;"-"&amp;ROW(J73),基本資料填寫!$A:$DN,COLUMN(基本資料填寫!AO74),0),"")</f>
        <v/>
      </c>
      <c r="R74" s="47" t="str">
        <f>IFERROR(VLOOKUP($A$1&amp;"-"&amp;ROW(AE73),基本資料填寫!$A:$DN,COLUMN(基本資料填寫!CB74),0),"")</f>
        <v/>
      </c>
      <c r="S74" s="47" t="str">
        <f>IFERROR(VLOOKUP($A$1&amp;"-"&amp;ROW(AF73),基本資料填寫!$A:$DN,COLUMN(基本資料填寫!CC74),0),"")</f>
        <v/>
      </c>
      <c r="T74" s="47" t="str">
        <f>IFERROR(VLOOKUP($A$1&amp;"-"&amp;ROW(AG73),基本資料填寫!$A:$DN,COLUMN(基本資料填寫!CD74),0),"")</f>
        <v/>
      </c>
      <c r="U74" s="47" t="str">
        <f>IFERROR(VLOOKUP($A$1&amp;"-"&amp;ROW(AH73),基本資料填寫!$A:$DN,COLUMN(基本資料填寫!CE74),0),"")</f>
        <v/>
      </c>
      <c r="V74" s="47" t="str">
        <f>IFERROR(VLOOKUP($A$1&amp;"-"&amp;ROW(AI73),基本資料填寫!$A:$DN,COLUMN(基本資料填寫!CF74),0),"")</f>
        <v/>
      </c>
      <c r="W74" s="47" t="str">
        <f>IFERROR(VLOOKUP($A$1&amp;"-"&amp;ROW(AJ73),基本資料填寫!$A:$DN,COLUMN(基本資料填寫!CG74),0),"")</f>
        <v/>
      </c>
      <c r="X74" s="47" t="str">
        <f>IFERROR(VLOOKUP($A$1&amp;"-"&amp;ROW(AK73),基本資料填寫!$A:$DN,COLUMN(基本資料填寫!CH74),0),"")</f>
        <v/>
      </c>
      <c r="Y74" s="47" t="str">
        <f>IFERROR(VLOOKUP($A$1&amp;"-"&amp;ROW(AL73),基本資料填寫!$A:$DN,COLUMN(基本資料填寫!CI74),0),"")</f>
        <v/>
      </c>
      <c r="Z74" s="47" t="str">
        <f>IFERROR(VLOOKUP($A$1&amp;"-"&amp;ROW(H73),基本資料填寫!$A:$DN,COLUMN(基本資料填寫!O74),0),"")</f>
        <v/>
      </c>
      <c r="AA74" s="47" t="str">
        <f>IFERROR(VLOOKUP($A$1&amp;"-"&amp;ROW(AM73),基本資料填寫!$A:$DN,COLUMN(基本資料填寫!CJ74),0),"")</f>
        <v/>
      </c>
      <c r="AB74" s="47" t="str">
        <f>IFERROR(VLOOKUP($A$1&amp;"-"&amp;ROW(AN73),基本資料填寫!$A:$DN,COLUMN(基本資料填寫!CK74),0),"")</f>
        <v/>
      </c>
      <c r="AC74" s="47" t="str">
        <f>IFERROR(VLOOKUP($A$1&amp;"-"&amp;ROW(AP73),基本資料填寫!$A:$DN,COLUMN(基本資料填寫!CN74),0),"")</f>
        <v/>
      </c>
      <c r="AD74" s="47" t="str">
        <f>IFERROR(VLOOKUP($A$1&amp;"-"&amp;ROW(AQ73),基本資料填寫!$A:$DN,COLUMN(基本資料填寫!CO74),0),"")</f>
        <v/>
      </c>
      <c r="AE74" s="47" t="str">
        <f>IFERROR(VLOOKUP($A$1&amp;"-"&amp;ROW(AR73),基本資料填寫!$A:$DN,COLUMN(基本資料填寫!CP74),0),"")</f>
        <v/>
      </c>
      <c r="AF74" s="47" t="str">
        <f>IFERROR(VLOOKUP($A$1&amp;"-"&amp;ROW(AS73),基本資料填寫!$A:$DN,COLUMN(基本資料填寫!CQ74),0),"")</f>
        <v/>
      </c>
      <c r="AG74" s="47" t="str">
        <f>IFERROR(VLOOKUP($A$1&amp;"-"&amp;ROW(AT73),基本資料填寫!$A:$DN,COLUMN(基本資料填寫!CR74),0),"")</f>
        <v/>
      </c>
      <c r="AH74" s="47" t="str">
        <f>IFERROR(VLOOKUP($A$1&amp;"-"&amp;ROW(AU73),基本資料填寫!$A:$DN,COLUMN(基本資料填寫!CS74),0),"")</f>
        <v/>
      </c>
      <c r="AI74" s="47" t="str">
        <f>IFERROR(VLOOKUP($A$1&amp;"-"&amp;ROW(P73),基本資料填寫!$A:$DN,COLUMN(基本資料填寫!X74),0),"")</f>
        <v/>
      </c>
      <c r="AJ74" s="47" t="str">
        <f>IFERROR(VLOOKUP($A$1&amp;"-"&amp;ROW(AV73),基本資料填寫!$A:$DN,COLUMN(基本資料填寫!CT74),0),"")</f>
        <v/>
      </c>
      <c r="AK74" s="47" t="str">
        <f>IFERROR(VLOOKUP($A$1&amp;"-"&amp;ROW(AC73),基本資料填寫!$A:$DN,COLUMN(基本資料填寫!AQ74),0),"")</f>
        <v/>
      </c>
      <c r="AL74" s="47" t="str">
        <f>IFERROR(VLOOKUP($A$1&amp;"-"&amp;ROW(AO73),基本資料填寫!$A:$DN,COLUMN(基本資料填寫!CM74),0),"")</f>
        <v/>
      </c>
      <c r="AM74" s="47" t="str">
        <f>IFERROR(VLOOKUP($A$1&amp;"-"&amp;ROW(AD73),基本資料填寫!$A:$DN,COLUMN(基本資料填寫!AR74),0),"")</f>
        <v/>
      </c>
      <c r="AN74" s="47" t="str">
        <f>IFERROR(VLOOKUP($A$1&amp;"-"&amp;ROW(K73),基本資料填寫!$A:$DN,COLUMN(基本資料填寫!AP74),0),"")</f>
        <v/>
      </c>
      <c r="AO74" s="47" t="str">
        <f>IFERROR(VLOOKUP($A$1&amp;"-"&amp;ROW(J73),基本資料填寫!$A:$DN,COLUMN(基本資料填寫!AO74),0),"")</f>
        <v/>
      </c>
      <c r="AP74" s="47" t="str">
        <f>IFERROR(VLOOKUP($A$1&amp;"-"&amp;ROW(AE73),基本資料填寫!$A:$DN,COLUMN(基本資料填寫!AS74),0),"")</f>
        <v/>
      </c>
      <c r="AQ74" s="47" t="str">
        <f>IFERROR(VLOOKUP($A$1&amp;"-"&amp;ROW(AF73),基本資料填寫!$A:$DN,COLUMN(基本資料填寫!AT74),0),"")</f>
        <v/>
      </c>
      <c r="AR74" s="47" t="str">
        <f>IFERROR(VLOOKUP($A$1&amp;"-"&amp;ROW(AG73),基本資料填寫!$A:$DN,COLUMN(基本資料填寫!AU74),0),"")</f>
        <v/>
      </c>
      <c r="AS74" s="47" t="str">
        <f>IFERROR(VLOOKUP($A$1&amp;"-"&amp;ROW(AH73),基本資料填寫!$A:$DN,COLUMN(基本資料填寫!AV74),0),"")</f>
        <v/>
      </c>
      <c r="AT74" s="47" t="str">
        <f>IFERROR(VLOOKUP($A$1&amp;"-"&amp;ROW(AI73),基本資料填寫!$A:$DN,COLUMN(基本資料填寫!AW74),0),"")</f>
        <v/>
      </c>
      <c r="AU74" s="47" t="str">
        <f>IFERROR(VLOOKUP($A$1&amp;"-"&amp;ROW(AJ73),基本資料填寫!$A:$DN,COLUMN(基本資料填寫!AX74),0),"")</f>
        <v/>
      </c>
      <c r="AV74" s="47" t="str">
        <f>IFERROR(VLOOKUP($A$1&amp;"-"&amp;ROW(AK73),基本資料填寫!$A:$DN,COLUMN(基本資料填寫!AY74),0),"")</f>
        <v/>
      </c>
      <c r="AW74" s="47" t="str">
        <f>IFERROR(VLOOKUP($A$1&amp;"-"&amp;ROW(AL73),基本資料填寫!$A:$DN,COLUMN(基本資料填寫!AZ74),0),"")</f>
        <v/>
      </c>
      <c r="AX74" s="47" t="str">
        <f>IFERROR(VLOOKUP($A$1&amp;"-"&amp;ROW(AM73),基本資料填寫!$A:$DN,COLUMN(基本資料填寫!BA74),0),"")</f>
        <v/>
      </c>
      <c r="AY74" s="47" t="str">
        <f>IFERROR(VLOOKUP($A$1&amp;"-"&amp;ROW(AN73),基本資料填寫!$A:$DN,COLUMN(基本資料填寫!BB74),0),"")</f>
        <v/>
      </c>
      <c r="AZ74" s="47" t="str">
        <f>IFERROR(VLOOKUP($A$1&amp;"-"&amp;ROW(AO73),基本資料填寫!$A:$DN,COLUMN(基本資料填寫!BC74),0),"")</f>
        <v/>
      </c>
      <c r="BA74" s="47" t="str">
        <f>IFERROR(VLOOKUP($A$1&amp;"-"&amp;ROW(AP73),基本資料填寫!$A:$DN,COLUMN(基本資料填寫!BD74),0),"")</f>
        <v/>
      </c>
      <c r="BB74" s="47" t="str">
        <f>IFERROR(VLOOKUP($A$1&amp;"-"&amp;ROW(AQ73),基本資料填寫!$A:$DN,COLUMN(基本資料填寫!BE74),0),"")</f>
        <v/>
      </c>
      <c r="BC74" s="47" t="str">
        <f>IFERROR(VLOOKUP($A$1&amp;"-"&amp;ROW(AR73),基本資料填寫!$A:$DN,COLUMN(基本資料填寫!BF74),0),"")</f>
        <v/>
      </c>
      <c r="BD74" s="47" t="str">
        <f>IFERROR(VLOOKUP($A$1&amp;"-"&amp;ROW(AS73),基本資料填寫!$A:$DN,COLUMN(基本資料填寫!BG74),0),"")</f>
        <v/>
      </c>
      <c r="BE74" s="47" t="str">
        <f>IFERROR(VLOOKUP($A$1&amp;"-"&amp;ROW(AT73),基本資料填寫!$A:$DN,COLUMN(基本資料填寫!BH74),0),"")</f>
        <v/>
      </c>
      <c r="BF74" s="47" t="str">
        <f>IFERROR(VLOOKUP($A$1&amp;"-"&amp;ROW(AU73),基本資料填寫!$A:$DN,COLUMN(基本資料填寫!BI74),0),"")</f>
        <v/>
      </c>
      <c r="BG74" s="47" t="str">
        <f>IFERROR(VLOOKUP($A$1&amp;"-"&amp;ROW(AV73),基本資料填寫!$A:$DN,COLUMN(基本資料填寫!BJ74),0),"")</f>
        <v/>
      </c>
      <c r="BH74" s="47" t="str">
        <f>IFERROR(VLOOKUP($A$1&amp;"-"&amp;ROW(AW73),基本資料填寫!$A:$DN,COLUMN(基本資料填寫!BK74),0),"")</f>
        <v/>
      </c>
      <c r="BI74" s="47" t="str">
        <f>IFERROR(VLOOKUP($A$1&amp;"-"&amp;ROW(AX73),基本資料填寫!$A:$DN,COLUMN(基本資料填寫!BL74),0),"")</f>
        <v/>
      </c>
      <c r="BJ74" s="47" t="str">
        <f>IFERROR(VLOOKUP($A$1&amp;"-"&amp;ROW(AY73),基本資料填寫!$A:$DN,COLUMN(基本資料填寫!BM74),0),"")</f>
        <v/>
      </c>
      <c r="BK74" s="47" t="str">
        <f>IFERROR(VLOOKUP($A$1&amp;"-"&amp;ROW(AZ73),基本資料填寫!$A:$DN,COLUMN(基本資料填寫!BN74),0),"")</f>
        <v/>
      </c>
      <c r="BL74" s="47" t="str">
        <f>IFERROR(VLOOKUP($A$1&amp;"-"&amp;ROW(BA73),基本資料填寫!$A:$DN,COLUMN(基本資料填寫!BO74),0),"")</f>
        <v/>
      </c>
      <c r="BM74" s="47" t="str">
        <f>IFERROR(VLOOKUP($A$1&amp;"-"&amp;ROW(BB73),基本資料填寫!$A:$DN,COLUMN(基本資料填寫!BP74),0),"")</f>
        <v/>
      </c>
      <c r="BN74" s="47" t="str">
        <f>IFERROR(VLOOKUP($A$1&amp;"-"&amp;ROW(BC73),基本資料填寫!$A:$DN,COLUMN(基本資料填寫!BQ74),0),"")</f>
        <v/>
      </c>
      <c r="BO74" s="47" t="str">
        <f>IFERROR(VLOOKUP($A$1&amp;"-"&amp;ROW(BD73),基本資料填寫!$A:$DN,COLUMN(基本資料填寫!BR74),0),"")</f>
        <v/>
      </c>
    </row>
    <row r="75" spans="2:67" x14ac:dyDescent="0.3">
      <c r="B75" s="47" t="str">
        <f>IFERROR(VLOOKUP($A$1&amp;"-"&amp;ROW(A74),基本資料填寫!$A:$DN,COLUMN(基本資料填寫!K75),0),"")</f>
        <v/>
      </c>
      <c r="C75" s="47" t="str">
        <f>IFERROR(VLOOKUP($A$1&amp;"-"&amp;ROW(B74),基本資料填寫!$A:$DN,COLUMN(基本資料填寫!L75),0),"")</f>
        <v/>
      </c>
      <c r="D75" s="47" t="str">
        <f>IF(E75="","",COUNTA($E$2:E75))</f>
        <v/>
      </c>
      <c r="E75" s="47" t="str">
        <f>IFERROR(VLOOKUP($A$1&amp;"-"&amp;ROW(E74),基本資料填寫!$A:$DN,COLUMN(基本資料填寫!S75),0),"")</f>
        <v/>
      </c>
      <c r="G75" s="47" t="str">
        <f>IFERROR(VLOOKUP($A$1&amp;"-"&amp;ROW(G74),基本資料填寫!$A:$DN,COLUMN(基本資料填寫!V75),0),"")</f>
        <v/>
      </c>
      <c r="H75" s="47" t="str">
        <f>IFERROR(VLOOKUP($A$1&amp;"-"&amp;ROW(BI74),基本資料填寫!$A:$DN,COLUMN(基本資料填寫!BW75),0),"")</f>
        <v/>
      </c>
      <c r="I75" s="47" t="str">
        <f>IFERROR(VLOOKUP($A$1&amp;"-"&amp;ROW(I74),基本資料填寫!$A:$DN,COLUMN(基本資料填寫!AN75),0),"")</f>
        <v/>
      </c>
      <c r="J75" s="47" t="str">
        <f>IFERROR(VLOOKUP($A$1&amp;"-"&amp;ROW(K74),基本資料填寫!$A:$DN,COLUMN(基本資料填寫!R75),0),"")</f>
        <v/>
      </c>
      <c r="K75" s="47" t="str">
        <f>IFERROR(VLOOKUP($A$1&amp;"-"&amp;ROW(AA74),基本資料填寫!$A:$DN,COLUMN(基本資料填寫!BX75),0),"")</f>
        <v/>
      </c>
      <c r="L75" s="47" t="str">
        <f>IFERROR(VLOOKUP($A$1&amp;"-"&amp;ROW(S74),基本資料填寫!$A:$DN,COLUMN(基本資料填寫!Z75),0),"")</f>
        <v/>
      </c>
      <c r="M75" s="47" t="str">
        <f>IFERROR(VLOOKUP($A$1&amp;"-"&amp;ROW(T74),基本資料填寫!$A:$DN,COLUMN(基本資料填寫!AA75),0),"")</f>
        <v/>
      </c>
      <c r="N75" s="47" t="str">
        <f>IFERROR(VLOOKUP($A$1&amp;"-"&amp;ROW(AB74),基本資料填寫!$A:$DN,COLUMN(基本資料填寫!BY75),0),"")</f>
        <v/>
      </c>
      <c r="O75" s="47" t="str">
        <f>IFERROR(VLOOKUP($A$1&amp;"-"&amp;ROW(AC74),基本資料填寫!$A:$DN,COLUMN(基本資料填寫!BZ75),0),"")</f>
        <v/>
      </c>
      <c r="P75" s="47" t="str">
        <f>IFERROR(VLOOKUP($A$1&amp;"-"&amp;ROW(AD74),基本資料填寫!$A:$DN,COLUMN(基本資料填寫!CA75),0),"")</f>
        <v/>
      </c>
      <c r="Q75" s="47" t="str">
        <f>IFERROR(VLOOKUP($A$1&amp;"-"&amp;ROW(J74),基本資料填寫!$A:$DN,COLUMN(基本資料填寫!AO75),0),"")</f>
        <v/>
      </c>
      <c r="R75" s="47" t="str">
        <f>IFERROR(VLOOKUP($A$1&amp;"-"&amp;ROW(AE74),基本資料填寫!$A:$DN,COLUMN(基本資料填寫!CB75),0),"")</f>
        <v/>
      </c>
      <c r="S75" s="47" t="str">
        <f>IFERROR(VLOOKUP($A$1&amp;"-"&amp;ROW(AF74),基本資料填寫!$A:$DN,COLUMN(基本資料填寫!CC75),0),"")</f>
        <v/>
      </c>
      <c r="T75" s="47" t="str">
        <f>IFERROR(VLOOKUP($A$1&amp;"-"&amp;ROW(AG74),基本資料填寫!$A:$DN,COLUMN(基本資料填寫!CD75),0),"")</f>
        <v/>
      </c>
      <c r="U75" s="47" t="str">
        <f>IFERROR(VLOOKUP($A$1&amp;"-"&amp;ROW(AH74),基本資料填寫!$A:$DN,COLUMN(基本資料填寫!CE75),0),"")</f>
        <v/>
      </c>
      <c r="V75" s="47" t="str">
        <f>IFERROR(VLOOKUP($A$1&amp;"-"&amp;ROW(AI74),基本資料填寫!$A:$DN,COLUMN(基本資料填寫!CF75),0),"")</f>
        <v/>
      </c>
      <c r="W75" s="47" t="str">
        <f>IFERROR(VLOOKUP($A$1&amp;"-"&amp;ROW(AJ74),基本資料填寫!$A:$DN,COLUMN(基本資料填寫!CG75),0),"")</f>
        <v/>
      </c>
      <c r="X75" s="47" t="str">
        <f>IFERROR(VLOOKUP($A$1&amp;"-"&amp;ROW(AK74),基本資料填寫!$A:$DN,COLUMN(基本資料填寫!CH75),0),"")</f>
        <v/>
      </c>
      <c r="Y75" s="47" t="str">
        <f>IFERROR(VLOOKUP($A$1&amp;"-"&amp;ROW(AL74),基本資料填寫!$A:$DN,COLUMN(基本資料填寫!CI75),0),"")</f>
        <v/>
      </c>
      <c r="Z75" s="47" t="str">
        <f>IFERROR(VLOOKUP($A$1&amp;"-"&amp;ROW(H74),基本資料填寫!$A:$DN,COLUMN(基本資料填寫!O75),0),"")</f>
        <v/>
      </c>
      <c r="AA75" s="47" t="str">
        <f>IFERROR(VLOOKUP($A$1&amp;"-"&amp;ROW(AM74),基本資料填寫!$A:$DN,COLUMN(基本資料填寫!CJ75),0),"")</f>
        <v/>
      </c>
      <c r="AB75" s="47" t="str">
        <f>IFERROR(VLOOKUP($A$1&amp;"-"&amp;ROW(AN74),基本資料填寫!$A:$DN,COLUMN(基本資料填寫!CK75),0),"")</f>
        <v/>
      </c>
      <c r="AC75" s="47" t="str">
        <f>IFERROR(VLOOKUP($A$1&amp;"-"&amp;ROW(AP74),基本資料填寫!$A:$DN,COLUMN(基本資料填寫!CN75),0),"")</f>
        <v/>
      </c>
      <c r="AD75" s="47" t="str">
        <f>IFERROR(VLOOKUP($A$1&amp;"-"&amp;ROW(AQ74),基本資料填寫!$A:$DN,COLUMN(基本資料填寫!CO75),0),"")</f>
        <v/>
      </c>
      <c r="AE75" s="47" t="str">
        <f>IFERROR(VLOOKUP($A$1&amp;"-"&amp;ROW(AR74),基本資料填寫!$A:$DN,COLUMN(基本資料填寫!CP75),0),"")</f>
        <v/>
      </c>
      <c r="AF75" s="47" t="str">
        <f>IFERROR(VLOOKUP($A$1&amp;"-"&amp;ROW(AS74),基本資料填寫!$A:$DN,COLUMN(基本資料填寫!CQ75),0),"")</f>
        <v/>
      </c>
      <c r="AG75" s="47" t="str">
        <f>IFERROR(VLOOKUP($A$1&amp;"-"&amp;ROW(AT74),基本資料填寫!$A:$DN,COLUMN(基本資料填寫!CR75),0),"")</f>
        <v/>
      </c>
      <c r="AH75" s="47" t="str">
        <f>IFERROR(VLOOKUP($A$1&amp;"-"&amp;ROW(AU74),基本資料填寫!$A:$DN,COLUMN(基本資料填寫!CS75),0),"")</f>
        <v/>
      </c>
      <c r="AI75" s="47" t="str">
        <f>IFERROR(VLOOKUP($A$1&amp;"-"&amp;ROW(P74),基本資料填寫!$A:$DN,COLUMN(基本資料填寫!X75),0),"")</f>
        <v/>
      </c>
      <c r="AJ75" s="47" t="str">
        <f>IFERROR(VLOOKUP($A$1&amp;"-"&amp;ROW(AV74),基本資料填寫!$A:$DN,COLUMN(基本資料填寫!CT75),0),"")</f>
        <v/>
      </c>
      <c r="AK75" s="47" t="str">
        <f>IFERROR(VLOOKUP($A$1&amp;"-"&amp;ROW(AC74),基本資料填寫!$A:$DN,COLUMN(基本資料填寫!AQ75),0),"")</f>
        <v/>
      </c>
      <c r="AL75" s="47" t="str">
        <f>IFERROR(VLOOKUP($A$1&amp;"-"&amp;ROW(AO74),基本資料填寫!$A:$DN,COLUMN(基本資料填寫!CM75),0),"")</f>
        <v/>
      </c>
      <c r="AM75" s="47" t="str">
        <f>IFERROR(VLOOKUP($A$1&amp;"-"&amp;ROW(AD74),基本資料填寫!$A:$DN,COLUMN(基本資料填寫!AR75),0),"")</f>
        <v/>
      </c>
      <c r="AN75" s="47" t="str">
        <f>IFERROR(VLOOKUP($A$1&amp;"-"&amp;ROW(K74),基本資料填寫!$A:$DN,COLUMN(基本資料填寫!AP75),0),"")</f>
        <v/>
      </c>
      <c r="AO75" s="47" t="str">
        <f>IFERROR(VLOOKUP($A$1&amp;"-"&amp;ROW(J74),基本資料填寫!$A:$DN,COLUMN(基本資料填寫!AO75),0),"")</f>
        <v/>
      </c>
      <c r="AP75" s="47" t="str">
        <f>IFERROR(VLOOKUP($A$1&amp;"-"&amp;ROW(AE74),基本資料填寫!$A:$DN,COLUMN(基本資料填寫!AS75),0),"")</f>
        <v/>
      </c>
      <c r="AQ75" s="47" t="str">
        <f>IFERROR(VLOOKUP($A$1&amp;"-"&amp;ROW(AF74),基本資料填寫!$A:$DN,COLUMN(基本資料填寫!AT75),0),"")</f>
        <v/>
      </c>
      <c r="AR75" s="47" t="str">
        <f>IFERROR(VLOOKUP($A$1&amp;"-"&amp;ROW(AG74),基本資料填寫!$A:$DN,COLUMN(基本資料填寫!AU75),0),"")</f>
        <v/>
      </c>
      <c r="AS75" s="47" t="str">
        <f>IFERROR(VLOOKUP($A$1&amp;"-"&amp;ROW(AH74),基本資料填寫!$A:$DN,COLUMN(基本資料填寫!AV75),0),"")</f>
        <v/>
      </c>
      <c r="AT75" s="47" t="str">
        <f>IFERROR(VLOOKUP($A$1&amp;"-"&amp;ROW(AI74),基本資料填寫!$A:$DN,COLUMN(基本資料填寫!AW75),0),"")</f>
        <v/>
      </c>
      <c r="AU75" s="47" t="str">
        <f>IFERROR(VLOOKUP($A$1&amp;"-"&amp;ROW(AJ74),基本資料填寫!$A:$DN,COLUMN(基本資料填寫!AX75),0),"")</f>
        <v/>
      </c>
      <c r="AV75" s="47" t="str">
        <f>IFERROR(VLOOKUP($A$1&amp;"-"&amp;ROW(AK74),基本資料填寫!$A:$DN,COLUMN(基本資料填寫!AY75),0),"")</f>
        <v/>
      </c>
      <c r="AW75" s="47" t="str">
        <f>IFERROR(VLOOKUP($A$1&amp;"-"&amp;ROW(AL74),基本資料填寫!$A:$DN,COLUMN(基本資料填寫!AZ75),0),"")</f>
        <v/>
      </c>
      <c r="AX75" s="47" t="str">
        <f>IFERROR(VLOOKUP($A$1&amp;"-"&amp;ROW(AM74),基本資料填寫!$A:$DN,COLUMN(基本資料填寫!BA75),0),"")</f>
        <v/>
      </c>
      <c r="AY75" s="47" t="str">
        <f>IFERROR(VLOOKUP($A$1&amp;"-"&amp;ROW(AN74),基本資料填寫!$A:$DN,COLUMN(基本資料填寫!BB75),0),"")</f>
        <v/>
      </c>
      <c r="AZ75" s="47" t="str">
        <f>IFERROR(VLOOKUP($A$1&amp;"-"&amp;ROW(AO74),基本資料填寫!$A:$DN,COLUMN(基本資料填寫!BC75),0),"")</f>
        <v/>
      </c>
      <c r="BA75" s="47" t="str">
        <f>IFERROR(VLOOKUP($A$1&amp;"-"&amp;ROW(AP74),基本資料填寫!$A:$DN,COLUMN(基本資料填寫!BD75),0),"")</f>
        <v/>
      </c>
      <c r="BB75" s="47" t="str">
        <f>IFERROR(VLOOKUP($A$1&amp;"-"&amp;ROW(AQ74),基本資料填寫!$A:$DN,COLUMN(基本資料填寫!BE75),0),"")</f>
        <v/>
      </c>
      <c r="BC75" s="47" t="str">
        <f>IFERROR(VLOOKUP($A$1&amp;"-"&amp;ROW(AR74),基本資料填寫!$A:$DN,COLUMN(基本資料填寫!BF75),0),"")</f>
        <v/>
      </c>
      <c r="BD75" s="47" t="str">
        <f>IFERROR(VLOOKUP($A$1&amp;"-"&amp;ROW(AS74),基本資料填寫!$A:$DN,COLUMN(基本資料填寫!BG75),0),"")</f>
        <v/>
      </c>
      <c r="BE75" s="47" t="str">
        <f>IFERROR(VLOOKUP($A$1&amp;"-"&amp;ROW(AT74),基本資料填寫!$A:$DN,COLUMN(基本資料填寫!BH75),0),"")</f>
        <v/>
      </c>
      <c r="BF75" s="47" t="str">
        <f>IFERROR(VLOOKUP($A$1&amp;"-"&amp;ROW(AU74),基本資料填寫!$A:$DN,COLUMN(基本資料填寫!BI75),0),"")</f>
        <v/>
      </c>
      <c r="BG75" s="47" t="str">
        <f>IFERROR(VLOOKUP($A$1&amp;"-"&amp;ROW(AV74),基本資料填寫!$A:$DN,COLUMN(基本資料填寫!BJ75),0),"")</f>
        <v/>
      </c>
      <c r="BH75" s="47" t="str">
        <f>IFERROR(VLOOKUP($A$1&amp;"-"&amp;ROW(AW74),基本資料填寫!$A:$DN,COLUMN(基本資料填寫!BK75),0),"")</f>
        <v/>
      </c>
      <c r="BI75" s="47" t="str">
        <f>IFERROR(VLOOKUP($A$1&amp;"-"&amp;ROW(AX74),基本資料填寫!$A:$DN,COLUMN(基本資料填寫!BL75),0),"")</f>
        <v/>
      </c>
      <c r="BJ75" s="47" t="str">
        <f>IFERROR(VLOOKUP($A$1&amp;"-"&amp;ROW(AY74),基本資料填寫!$A:$DN,COLUMN(基本資料填寫!BM75),0),"")</f>
        <v/>
      </c>
      <c r="BK75" s="47" t="str">
        <f>IFERROR(VLOOKUP($A$1&amp;"-"&amp;ROW(AZ74),基本資料填寫!$A:$DN,COLUMN(基本資料填寫!BN75),0),"")</f>
        <v/>
      </c>
      <c r="BL75" s="47" t="str">
        <f>IFERROR(VLOOKUP($A$1&amp;"-"&amp;ROW(BA74),基本資料填寫!$A:$DN,COLUMN(基本資料填寫!BO75),0),"")</f>
        <v/>
      </c>
      <c r="BM75" s="47" t="str">
        <f>IFERROR(VLOOKUP($A$1&amp;"-"&amp;ROW(BB74),基本資料填寫!$A:$DN,COLUMN(基本資料填寫!BP75),0),"")</f>
        <v/>
      </c>
      <c r="BN75" s="47" t="str">
        <f>IFERROR(VLOOKUP($A$1&amp;"-"&amp;ROW(BC74),基本資料填寫!$A:$DN,COLUMN(基本資料填寫!BQ75),0),"")</f>
        <v/>
      </c>
      <c r="BO75" s="47" t="str">
        <f>IFERROR(VLOOKUP($A$1&amp;"-"&amp;ROW(BD74),基本資料填寫!$A:$DN,COLUMN(基本資料填寫!BR75),0),"")</f>
        <v/>
      </c>
    </row>
    <row r="76" spans="2:67" x14ac:dyDescent="0.3">
      <c r="B76" s="47" t="str">
        <f>IFERROR(VLOOKUP($A$1&amp;"-"&amp;ROW(A75),基本資料填寫!$A:$DN,COLUMN(基本資料填寫!K76),0),"")</f>
        <v/>
      </c>
      <c r="C76" s="47" t="str">
        <f>IFERROR(VLOOKUP($A$1&amp;"-"&amp;ROW(B75),基本資料填寫!$A:$DN,COLUMN(基本資料填寫!L76),0),"")</f>
        <v/>
      </c>
      <c r="D76" s="47" t="str">
        <f>IF(E76="","",COUNTA($E$2:E76))</f>
        <v/>
      </c>
      <c r="E76" s="47" t="str">
        <f>IFERROR(VLOOKUP($A$1&amp;"-"&amp;ROW(E75),基本資料填寫!$A:$DN,COLUMN(基本資料填寫!S76),0),"")</f>
        <v/>
      </c>
      <c r="G76" s="47" t="str">
        <f>IFERROR(VLOOKUP($A$1&amp;"-"&amp;ROW(G75),基本資料填寫!$A:$DN,COLUMN(基本資料填寫!V76),0),"")</f>
        <v/>
      </c>
      <c r="H76" s="47" t="str">
        <f>IFERROR(VLOOKUP($A$1&amp;"-"&amp;ROW(BI75),基本資料填寫!$A:$DN,COLUMN(基本資料填寫!BW76),0),"")</f>
        <v/>
      </c>
      <c r="I76" s="47" t="str">
        <f>IFERROR(VLOOKUP($A$1&amp;"-"&amp;ROW(I75),基本資料填寫!$A:$DN,COLUMN(基本資料填寫!AN76),0),"")</f>
        <v/>
      </c>
      <c r="J76" s="47" t="str">
        <f>IFERROR(VLOOKUP($A$1&amp;"-"&amp;ROW(K75),基本資料填寫!$A:$DN,COLUMN(基本資料填寫!R76),0),"")</f>
        <v/>
      </c>
      <c r="K76" s="47" t="str">
        <f>IFERROR(VLOOKUP($A$1&amp;"-"&amp;ROW(AA75),基本資料填寫!$A:$DN,COLUMN(基本資料填寫!BX76),0),"")</f>
        <v/>
      </c>
      <c r="L76" s="47" t="str">
        <f>IFERROR(VLOOKUP($A$1&amp;"-"&amp;ROW(S75),基本資料填寫!$A:$DN,COLUMN(基本資料填寫!Z76),0),"")</f>
        <v/>
      </c>
      <c r="M76" s="47" t="str">
        <f>IFERROR(VLOOKUP($A$1&amp;"-"&amp;ROW(T75),基本資料填寫!$A:$DN,COLUMN(基本資料填寫!AA76),0),"")</f>
        <v/>
      </c>
      <c r="N76" s="47" t="str">
        <f>IFERROR(VLOOKUP($A$1&amp;"-"&amp;ROW(AB75),基本資料填寫!$A:$DN,COLUMN(基本資料填寫!BY76),0),"")</f>
        <v/>
      </c>
      <c r="O76" s="47" t="str">
        <f>IFERROR(VLOOKUP($A$1&amp;"-"&amp;ROW(AC75),基本資料填寫!$A:$DN,COLUMN(基本資料填寫!BZ76),0),"")</f>
        <v/>
      </c>
      <c r="P76" s="47" t="str">
        <f>IFERROR(VLOOKUP($A$1&amp;"-"&amp;ROW(AD75),基本資料填寫!$A:$DN,COLUMN(基本資料填寫!CA76),0),"")</f>
        <v/>
      </c>
      <c r="Q76" s="47" t="str">
        <f>IFERROR(VLOOKUP($A$1&amp;"-"&amp;ROW(J75),基本資料填寫!$A:$DN,COLUMN(基本資料填寫!AO76),0),"")</f>
        <v/>
      </c>
      <c r="R76" s="47" t="str">
        <f>IFERROR(VLOOKUP($A$1&amp;"-"&amp;ROW(AE75),基本資料填寫!$A:$DN,COLUMN(基本資料填寫!CB76),0),"")</f>
        <v/>
      </c>
      <c r="S76" s="47" t="str">
        <f>IFERROR(VLOOKUP($A$1&amp;"-"&amp;ROW(AF75),基本資料填寫!$A:$DN,COLUMN(基本資料填寫!CC76),0),"")</f>
        <v/>
      </c>
      <c r="T76" s="47" t="str">
        <f>IFERROR(VLOOKUP($A$1&amp;"-"&amp;ROW(AG75),基本資料填寫!$A:$DN,COLUMN(基本資料填寫!CD76),0),"")</f>
        <v/>
      </c>
      <c r="U76" s="47" t="str">
        <f>IFERROR(VLOOKUP($A$1&amp;"-"&amp;ROW(AH75),基本資料填寫!$A:$DN,COLUMN(基本資料填寫!CE76),0),"")</f>
        <v/>
      </c>
      <c r="V76" s="47" t="str">
        <f>IFERROR(VLOOKUP($A$1&amp;"-"&amp;ROW(AI75),基本資料填寫!$A:$DN,COLUMN(基本資料填寫!CF76),0),"")</f>
        <v/>
      </c>
      <c r="W76" s="47" t="str">
        <f>IFERROR(VLOOKUP($A$1&amp;"-"&amp;ROW(AJ75),基本資料填寫!$A:$DN,COLUMN(基本資料填寫!CG76),0),"")</f>
        <v/>
      </c>
      <c r="X76" s="47" t="str">
        <f>IFERROR(VLOOKUP($A$1&amp;"-"&amp;ROW(AK75),基本資料填寫!$A:$DN,COLUMN(基本資料填寫!CH76),0),"")</f>
        <v/>
      </c>
      <c r="Y76" s="47" t="str">
        <f>IFERROR(VLOOKUP($A$1&amp;"-"&amp;ROW(AL75),基本資料填寫!$A:$DN,COLUMN(基本資料填寫!CI76),0),"")</f>
        <v/>
      </c>
      <c r="Z76" s="47" t="str">
        <f>IFERROR(VLOOKUP($A$1&amp;"-"&amp;ROW(H75),基本資料填寫!$A:$DN,COLUMN(基本資料填寫!O76),0),"")</f>
        <v/>
      </c>
      <c r="AA76" s="47" t="str">
        <f>IFERROR(VLOOKUP($A$1&amp;"-"&amp;ROW(AM75),基本資料填寫!$A:$DN,COLUMN(基本資料填寫!CJ76),0),"")</f>
        <v/>
      </c>
      <c r="AB76" s="47" t="str">
        <f>IFERROR(VLOOKUP($A$1&amp;"-"&amp;ROW(AN75),基本資料填寫!$A:$DN,COLUMN(基本資料填寫!CK76),0),"")</f>
        <v/>
      </c>
      <c r="AC76" s="47" t="str">
        <f>IFERROR(VLOOKUP($A$1&amp;"-"&amp;ROW(AP75),基本資料填寫!$A:$DN,COLUMN(基本資料填寫!CN76),0),"")</f>
        <v/>
      </c>
      <c r="AD76" s="47" t="str">
        <f>IFERROR(VLOOKUP($A$1&amp;"-"&amp;ROW(AQ75),基本資料填寫!$A:$DN,COLUMN(基本資料填寫!CO76),0),"")</f>
        <v/>
      </c>
      <c r="AE76" s="47" t="str">
        <f>IFERROR(VLOOKUP($A$1&amp;"-"&amp;ROW(AR75),基本資料填寫!$A:$DN,COLUMN(基本資料填寫!CP76),0),"")</f>
        <v/>
      </c>
      <c r="AF76" s="47" t="str">
        <f>IFERROR(VLOOKUP($A$1&amp;"-"&amp;ROW(AS75),基本資料填寫!$A:$DN,COLUMN(基本資料填寫!CQ76),0),"")</f>
        <v/>
      </c>
      <c r="AG76" s="47" t="str">
        <f>IFERROR(VLOOKUP($A$1&amp;"-"&amp;ROW(AT75),基本資料填寫!$A:$DN,COLUMN(基本資料填寫!CR76),0),"")</f>
        <v/>
      </c>
      <c r="AH76" s="47" t="str">
        <f>IFERROR(VLOOKUP($A$1&amp;"-"&amp;ROW(AU75),基本資料填寫!$A:$DN,COLUMN(基本資料填寫!CS76),0),"")</f>
        <v/>
      </c>
      <c r="AI76" s="47" t="str">
        <f>IFERROR(VLOOKUP($A$1&amp;"-"&amp;ROW(P75),基本資料填寫!$A:$DN,COLUMN(基本資料填寫!X76),0),"")</f>
        <v/>
      </c>
      <c r="AJ76" s="47" t="str">
        <f>IFERROR(VLOOKUP($A$1&amp;"-"&amp;ROW(AV75),基本資料填寫!$A:$DN,COLUMN(基本資料填寫!CT76),0),"")</f>
        <v/>
      </c>
      <c r="AK76" s="47" t="str">
        <f>IFERROR(VLOOKUP($A$1&amp;"-"&amp;ROW(AC75),基本資料填寫!$A:$DN,COLUMN(基本資料填寫!AQ76),0),"")</f>
        <v/>
      </c>
      <c r="AL76" s="47" t="str">
        <f>IFERROR(VLOOKUP($A$1&amp;"-"&amp;ROW(AO75),基本資料填寫!$A:$DN,COLUMN(基本資料填寫!CM76),0),"")</f>
        <v/>
      </c>
      <c r="AM76" s="47" t="str">
        <f>IFERROR(VLOOKUP($A$1&amp;"-"&amp;ROW(AD75),基本資料填寫!$A:$DN,COLUMN(基本資料填寫!AR76),0),"")</f>
        <v/>
      </c>
      <c r="AN76" s="47" t="str">
        <f>IFERROR(VLOOKUP($A$1&amp;"-"&amp;ROW(K75),基本資料填寫!$A:$DN,COLUMN(基本資料填寫!AP76),0),"")</f>
        <v/>
      </c>
      <c r="AO76" s="47" t="str">
        <f>IFERROR(VLOOKUP($A$1&amp;"-"&amp;ROW(J75),基本資料填寫!$A:$DN,COLUMN(基本資料填寫!AO76),0),"")</f>
        <v/>
      </c>
      <c r="AP76" s="47" t="str">
        <f>IFERROR(VLOOKUP($A$1&amp;"-"&amp;ROW(AE75),基本資料填寫!$A:$DN,COLUMN(基本資料填寫!AS76),0),"")</f>
        <v/>
      </c>
      <c r="AQ76" s="47" t="str">
        <f>IFERROR(VLOOKUP($A$1&amp;"-"&amp;ROW(AF75),基本資料填寫!$A:$DN,COLUMN(基本資料填寫!AT76),0),"")</f>
        <v/>
      </c>
      <c r="AR76" s="47" t="str">
        <f>IFERROR(VLOOKUP($A$1&amp;"-"&amp;ROW(AG75),基本資料填寫!$A:$DN,COLUMN(基本資料填寫!AU76),0),"")</f>
        <v/>
      </c>
      <c r="AS76" s="47" t="str">
        <f>IFERROR(VLOOKUP($A$1&amp;"-"&amp;ROW(AH75),基本資料填寫!$A:$DN,COLUMN(基本資料填寫!AV76),0),"")</f>
        <v/>
      </c>
      <c r="AT76" s="47" t="str">
        <f>IFERROR(VLOOKUP($A$1&amp;"-"&amp;ROW(AI75),基本資料填寫!$A:$DN,COLUMN(基本資料填寫!AW76),0),"")</f>
        <v/>
      </c>
      <c r="AU76" s="47" t="str">
        <f>IFERROR(VLOOKUP($A$1&amp;"-"&amp;ROW(AJ75),基本資料填寫!$A:$DN,COLUMN(基本資料填寫!AX76),0),"")</f>
        <v/>
      </c>
      <c r="AV76" s="47" t="str">
        <f>IFERROR(VLOOKUP($A$1&amp;"-"&amp;ROW(AK75),基本資料填寫!$A:$DN,COLUMN(基本資料填寫!AY76),0),"")</f>
        <v/>
      </c>
      <c r="AW76" s="47" t="str">
        <f>IFERROR(VLOOKUP($A$1&amp;"-"&amp;ROW(AL75),基本資料填寫!$A:$DN,COLUMN(基本資料填寫!AZ76),0),"")</f>
        <v/>
      </c>
      <c r="AX76" s="47" t="str">
        <f>IFERROR(VLOOKUP($A$1&amp;"-"&amp;ROW(AM75),基本資料填寫!$A:$DN,COLUMN(基本資料填寫!BA76),0),"")</f>
        <v/>
      </c>
      <c r="AY76" s="47" t="str">
        <f>IFERROR(VLOOKUP($A$1&amp;"-"&amp;ROW(AN75),基本資料填寫!$A:$DN,COLUMN(基本資料填寫!BB76),0),"")</f>
        <v/>
      </c>
      <c r="AZ76" s="47" t="str">
        <f>IFERROR(VLOOKUP($A$1&amp;"-"&amp;ROW(AO75),基本資料填寫!$A:$DN,COLUMN(基本資料填寫!BC76),0),"")</f>
        <v/>
      </c>
      <c r="BA76" s="47" t="str">
        <f>IFERROR(VLOOKUP($A$1&amp;"-"&amp;ROW(AP75),基本資料填寫!$A:$DN,COLUMN(基本資料填寫!BD76),0),"")</f>
        <v/>
      </c>
      <c r="BB76" s="47" t="str">
        <f>IFERROR(VLOOKUP($A$1&amp;"-"&amp;ROW(AQ75),基本資料填寫!$A:$DN,COLUMN(基本資料填寫!BE76),0),"")</f>
        <v/>
      </c>
      <c r="BC76" s="47" t="str">
        <f>IFERROR(VLOOKUP($A$1&amp;"-"&amp;ROW(AR75),基本資料填寫!$A:$DN,COLUMN(基本資料填寫!BF76),0),"")</f>
        <v/>
      </c>
      <c r="BD76" s="47" t="str">
        <f>IFERROR(VLOOKUP($A$1&amp;"-"&amp;ROW(AS75),基本資料填寫!$A:$DN,COLUMN(基本資料填寫!BG76),0),"")</f>
        <v/>
      </c>
      <c r="BE76" s="47" t="str">
        <f>IFERROR(VLOOKUP($A$1&amp;"-"&amp;ROW(AT75),基本資料填寫!$A:$DN,COLUMN(基本資料填寫!BH76),0),"")</f>
        <v/>
      </c>
      <c r="BF76" s="47" t="str">
        <f>IFERROR(VLOOKUP($A$1&amp;"-"&amp;ROW(AU75),基本資料填寫!$A:$DN,COLUMN(基本資料填寫!BI76),0),"")</f>
        <v/>
      </c>
      <c r="BG76" s="47" t="str">
        <f>IFERROR(VLOOKUP($A$1&amp;"-"&amp;ROW(AV75),基本資料填寫!$A:$DN,COLUMN(基本資料填寫!BJ76),0),"")</f>
        <v/>
      </c>
      <c r="BH76" s="47" t="str">
        <f>IFERROR(VLOOKUP($A$1&amp;"-"&amp;ROW(AW75),基本資料填寫!$A:$DN,COLUMN(基本資料填寫!BK76),0),"")</f>
        <v/>
      </c>
      <c r="BI76" s="47" t="str">
        <f>IFERROR(VLOOKUP($A$1&amp;"-"&amp;ROW(AX75),基本資料填寫!$A:$DN,COLUMN(基本資料填寫!BL76),0),"")</f>
        <v/>
      </c>
      <c r="BJ76" s="47" t="str">
        <f>IFERROR(VLOOKUP($A$1&amp;"-"&amp;ROW(AY75),基本資料填寫!$A:$DN,COLUMN(基本資料填寫!BM76),0),"")</f>
        <v/>
      </c>
      <c r="BK76" s="47" t="str">
        <f>IFERROR(VLOOKUP($A$1&amp;"-"&amp;ROW(AZ75),基本資料填寫!$A:$DN,COLUMN(基本資料填寫!BN76),0),"")</f>
        <v/>
      </c>
      <c r="BL76" s="47" t="str">
        <f>IFERROR(VLOOKUP($A$1&amp;"-"&amp;ROW(BA75),基本資料填寫!$A:$DN,COLUMN(基本資料填寫!BO76),0),"")</f>
        <v/>
      </c>
      <c r="BM76" s="47" t="str">
        <f>IFERROR(VLOOKUP($A$1&amp;"-"&amp;ROW(BB75),基本資料填寫!$A:$DN,COLUMN(基本資料填寫!BP76),0),"")</f>
        <v/>
      </c>
      <c r="BN76" s="47" t="str">
        <f>IFERROR(VLOOKUP($A$1&amp;"-"&amp;ROW(BC75),基本資料填寫!$A:$DN,COLUMN(基本資料填寫!BQ76),0),"")</f>
        <v/>
      </c>
      <c r="BO76" s="47" t="str">
        <f>IFERROR(VLOOKUP($A$1&amp;"-"&amp;ROW(BD75),基本資料填寫!$A:$DN,COLUMN(基本資料填寫!BR76),0),"")</f>
        <v/>
      </c>
    </row>
    <row r="77" spans="2:67" x14ac:dyDescent="0.3">
      <c r="B77" s="47" t="str">
        <f>IFERROR(VLOOKUP($A$1&amp;"-"&amp;ROW(A76),基本資料填寫!$A:$DN,COLUMN(基本資料填寫!K77),0),"")</f>
        <v/>
      </c>
      <c r="C77" s="47" t="str">
        <f>IFERROR(VLOOKUP($A$1&amp;"-"&amp;ROW(B76),基本資料填寫!$A:$DN,COLUMN(基本資料填寫!L77),0),"")</f>
        <v/>
      </c>
      <c r="D77" s="47" t="str">
        <f>IF(E77="","",COUNTA($E$2:E77))</f>
        <v/>
      </c>
      <c r="E77" s="47" t="str">
        <f>IFERROR(VLOOKUP($A$1&amp;"-"&amp;ROW(E76),基本資料填寫!$A:$DN,COLUMN(基本資料填寫!S77),0),"")</f>
        <v/>
      </c>
      <c r="G77" s="47" t="str">
        <f>IFERROR(VLOOKUP($A$1&amp;"-"&amp;ROW(G76),基本資料填寫!$A:$DN,COLUMN(基本資料填寫!V77),0),"")</f>
        <v/>
      </c>
      <c r="H77" s="47" t="str">
        <f>IFERROR(VLOOKUP($A$1&amp;"-"&amp;ROW(BI76),基本資料填寫!$A:$DN,COLUMN(基本資料填寫!BW77),0),"")</f>
        <v/>
      </c>
      <c r="I77" s="47" t="str">
        <f>IFERROR(VLOOKUP($A$1&amp;"-"&amp;ROW(I76),基本資料填寫!$A:$DN,COLUMN(基本資料填寫!AN77),0),"")</f>
        <v/>
      </c>
      <c r="J77" s="47" t="str">
        <f>IFERROR(VLOOKUP($A$1&amp;"-"&amp;ROW(K76),基本資料填寫!$A:$DN,COLUMN(基本資料填寫!R77),0),"")</f>
        <v/>
      </c>
      <c r="K77" s="47" t="str">
        <f>IFERROR(VLOOKUP($A$1&amp;"-"&amp;ROW(AA76),基本資料填寫!$A:$DN,COLUMN(基本資料填寫!BX77),0),"")</f>
        <v/>
      </c>
      <c r="L77" s="47" t="str">
        <f>IFERROR(VLOOKUP($A$1&amp;"-"&amp;ROW(S76),基本資料填寫!$A:$DN,COLUMN(基本資料填寫!Z77),0),"")</f>
        <v/>
      </c>
      <c r="M77" s="47" t="str">
        <f>IFERROR(VLOOKUP($A$1&amp;"-"&amp;ROW(T76),基本資料填寫!$A:$DN,COLUMN(基本資料填寫!AA77),0),"")</f>
        <v/>
      </c>
      <c r="N77" s="47" t="str">
        <f>IFERROR(VLOOKUP($A$1&amp;"-"&amp;ROW(AB76),基本資料填寫!$A:$DN,COLUMN(基本資料填寫!BY77),0),"")</f>
        <v/>
      </c>
      <c r="O77" s="47" t="str">
        <f>IFERROR(VLOOKUP($A$1&amp;"-"&amp;ROW(AC76),基本資料填寫!$A:$DN,COLUMN(基本資料填寫!BZ77),0),"")</f>
        <v/>
      </c>
      <c r="P77" s="47" t="str">
        <f>IFERROR(VLOOKUP($A$1&amp;"-"&amp;ROW(AD76),基本資料填寫!$A:$DN,COLUMN(基本資料填寫!CA77),0),"")</f>
        <v/>
      </c>
      <c r="Q77" s="47" t="str">
        <f>IFERROR(VLOOKUP($A$1&amp;"-"&amp;ROW(J76),基本資料填寫!$A:$DN,COLUMN(基本資料填寫!AO77),0),"")</f>
        <v/>
      </c>
      <c r="R77" s="47" t="str">
        <f>IFERROR(VLOOKUP($A$1&amp;"-"&amp;ROW(AE76),基本資料填寫!$A:$DN,COLUMN(基本資料填寫!CB77),0),"")</f>
        <v/>
      </c>
      <c r="S77" s="47" t="str">
        <f>IFERROR(VLOOKUP($A$1&amp;"-"&amp;ROW(AF76),基本資料填寫!$A:$DN,COLUMN(基本資料填寫!CC77),0),"")</f>
        <v/>
      </c>
      <c r="T77" s="47" t="str">
        <f>IFERROR(VLOOKUP($A$1&amp;"-"&amp;ROW(AG76),基本資料填寫!$A:$DN,COLUMN(基本資料填寫!CD77),0),"")</f>
        <v/>
      </c>
      <c r="U77" s="47" t="str">
        <f>IFERROR(VLOOKUP($A$1&amp;"-"&amp;ROW(AH76),基本資料填寫!$A:$DN,COLUMN(基本資料填寫!CE77),0),"")</f>
        <v/>
      </c>
      <c r="V77" s="47" t="str">
        <f>IFERROR(VLOOKUP($A$1&amp;"-"&amp;ROW(AI76),基本資料填寫!$A:$DN,COLUMN(基本資料填寫!CF77),0),"")</f>
        <v/>
      </c>
      <c r="W77" s="47" t="str">
        <f>IFERROR(VLOOKUP($A$1&amp;"-"&amp;ROW(AJ76),基本資料填寫!$A:$DN,COLUMN(基本資料填寫!CG77),0),"")</f>
        <v/>
      </c>
      <c r="X77" s="47" t="str">
        <f>IFERROR(VLOOKUP($A$1&amp;"-"&amp;ROW(AK76),基本資料填寫!$A:$DN,COLUMN(基本資料填寫!CH77),0),"")</f>
        <v/>
      </c>
      <c r="Y77" s="47" t="str">
        <f>IFERROR(VLOOKUP($A$1&amp;"-"&amp;ROW(AL76),基本資料填寫!$A:$DN,COLUMN(基本資料填寫!CI77),0),"")</f>
        <v/>
      </c>
      <c r="Z77" s="47" t="str">
        <f>IFERROR(VLOOKUP($A$1&amp;"-"&amp;ROW(H76),基本資料填寫!$A:$DN,COLUMN(基本資料填寫!O77),0),"")</f>
        <v/>
      </c>
      <c r="AA77" s="47" t="str">
        <f>IFERROR(VLOOKUP($A$1&amp;"-"&amp;ROW(AM76),基本資料填寫!$A:$DN,COLUMN(基本資料填寫!CJ77),0),"")</f>
        <v/>
      </c>
      <c r="AB77" s="47" t="str">
        <f>IFERROR(VLOOKUP($A$1&amp;"-"&amp;ROW(AN76),基本資料填寫!$A:$DN,COLUMN(基本資料填寫!CK77),0),"")</f>
        <v/>
      </c>
      <c r="AC77" s="47" t="str">
        <f>IFERROR(VLOOKUP($A$1&amp;"-"&amp;ROW(AP76),基本資料填寫!$A:$DN,COLUMN(基本資料填寫!CN77),0),"")</f>
        <v/>
      </c>
      <c r="AD77" s="47" t="str">
        <f>IFERROR(VLOOKUP($A$1&amp;"-"&amp;ROW(AQ76),基本資料填寫!$A:$DN,COLUMN(基本資料填寫!CO77),0),"")</f>
        <v/>
      </c>
      <c r="AE77" s="47" t="str">
        <f>IFERROR(VLOOKUP($A$1&amp;"-"&amp;ROW(AR76),基本資料填寫!$A:$DN,COLUMN(基本資料填寫!CP77),0),"")</f>
        <v/>
      </c>
      <c r="AF77" s="47" t="str">
        <f>IFERROR(VLOOKUP($A$1&amp;"-"&amp;ROW(AS76),基本資料填寫!$A:$DN,COLUMN(基本資料填寫!CQ77),0),"")</f>
        <v/>
      </c>
      <c r="AG77" s="47" t="str">
        <f>IFERROR(VLOOKUP($A$1&amp;"-"&amp;ROW(AT76),基本資料填寫!$A:$DN,COLUMN(基本資料填寫!CR77),0),"")</f>
        <v/>
      </c>
      <c r="AH77" s="47" t="str">
        <f>IFERROR(VLOOKUP($A$1&amp;"-"&amp;ROW(AU76),基本資料填寫!$A:$DN,COLUMN(基本資料填寫!CS77),0),"")</f>
        <v/>
      </c>
      <c r="AI77" s="47" t="str">
        <f>IFERROR(VLOOKUP($A$1&amp;"-"&amp;ROW(P76),基本資料填寫!$A:$DN,COLUMN(基本資料填寫!X77),0),"")</f>
        <v/>
      </c>
      <c r="AJ77" s="47" t="str">
        <f>IFERROR(VLOOKUP($A$1&amp;"-"&amp;ROW(AV76),基本資料填寫!$A:$DN,COLUMN(基本資料填寫!CT77),0),"")</f>
        <v/>
      </c>
      <c r="AK77" s="47" t="str">
        <f>IFERROR(VLOOKUP($A$1&amp;"-"&amp;ROW(AC76),基本資料填寫!$A:$DN,COLUMN(基本資料填寫!AQ77),0),"")</f>
        <v/>
      </c>
      <c r="AL77" s="47" t="str">
        <f>IFERROR(VLOOKUP($A$1&amp;"-"&amp;ROW(AO76),基本資料填寫!$A:$DN,COLUMN(基本資料填寫!CM77),0),"")</f>
        <v/>
      </c>
      <c r="AM77" s="47" t="str">
        <f>IFERROR(VLOOKUP($A$1&amp;"-"&amp;ROW(AD76),基本資料填寫!$A:$DN,COLUMN(基本資料填寫!AR77),0),"")</f>
        <v/>
      </c>
      <c r="AN77" s="47" t="str">
        <f>IFERROR(VLOOKUP($A$1&amp;"-"&amp;ROW(K76),基本資料填寫!$A:$DN,COLUMN(基本資料填寫!AP77),0),"")</f>
        <v/>
      </c>
      <c r="AO77" s="47" t="str">
        <f>IFERROR(VLOOKUP($A$1&amp;"-"&amp;ROW(J76),基本資料填寫!$A:$DN,COLUMN(基本資料填寫!AO77),0),"")</f>
        <v/>
      </c>
      <c r="AP77" s="47" t="str">
        <f>IFERROR(VLOOKUP($A$1&amp;"-"&amp;ROW(AE76),基本資料填寫!$A:$DN,COLUMN(基本資料填寫!AS77),0),"")</f>
        <v/>
      </c>
      <c r="AQ77" s="47" t="str">
        <f>IFERROR(VLOOKUP($A$1&amp;"-"&amp;ROW(AF76),基本資料填寫!$A:$DN,COLUMN(基本資料填寫!AT77),0),"")</f>
        <v/>
      </c>
      <c r="AR77" s="47" t="str">
        <f>IFERROR(VLOOKUP($A$1&amp;"-"&amp;ROW(AG76),基本資料填寫!$A:$DN,COLUMN(基本資料填寫!AU77),0),"")</f>
        <v/>
      </c>
      <c r="AS77" s="47" t="str">
        <f>IFERROR(VLOOKUP($A$1&amp;"-"&amp;ROW(AH76),基本資料填寫!$A:$DN,COLUMN(基本資料填寫!AV77),0),"")</f>
        <v/>
      </c>
      <c r="AT77" s="47" t="str">
        <f>IFERROR(VLOOKUP($A$1&amp;"-"&amp;ROW(AI76),基本資料填寫!$A:$DN,COLUMN(基本資料填寫!AW77),0),"")</f>
        <v/>
      </c>
      <c r="AU77" s="47" t="str">
        <f>IFERROR(VLOOKUP($A$1&amp;"-"&amp;ROW(AJ76),基本資料填寫!$A:$DN,COLUMN(基本資料填寫!AX77),0),"")</f>
        <v/>
      </c>
      <c r="AV77" s="47" t="str">
        <f>IFERROR(VLOOKUP($A$1&amp;"-"&amp;ROW(AK76),基本資料填寫!$A:$DN,COLUMN(基本資料填寫!AY77),0),"")</f>
        <v/>
      </c>
      <c r="AW77" s="47" t="str">
        <f>IFERROR(VLOOKUP($A$1&amp;"-"&amp;ROW(AL76),基本資料填寫!$A:$DN,COLUMN(基本資料填寫!AZ77),0),"")</f>
        <v/>
      </c>
      <c r="AX77" s="47" t="str">
        <f>IFERROR(VLOOKUP($A$1&amp;"-"&amp;ROW(AM76),基本資料填寫!$A:$DN,COLUMN(基本資料填寫!BA77),0),"")</f>
        <v/>
      </c>
      <c r="AY77" s="47" t="str">
        <f>IFERROR(VLOOKUP($A$1&amp;"-"&amp;ROW(AN76),基本資料填寫!$A:$DN,COLUMN(基本資料填寫!BB77),0),"")</f>
        <v/>
      </c>
      <c r="AZ77" s="47" t="str">
        <f>IFERROR(VLOOKUP($A$1&amp;"-"&amp;ROW(AO76),基本資料填寫!$A:$DN,COLUMN(基本資料填寫!BC77),0),"")</f>
        <v/>
      </c>
      <c r="BA77" s="47" t="str">
        <f>IFERROR(VLOOKUP($A$1&amp;"-"&amp;ROW(AP76),基本資料填寫!$A:$DN,COLUMN(基本資料填寫!BD77),0),"")</f>
        <v/>
      </c>
      <c r="BB77" s="47" t="str">
        <f>IFERROR(VLOOKUP($A$1&amp;"-"&amp;ROW(AQ76),基本資料填寫!$A:$DN,COLUMN(基本資料填寫!BE77),0),"")</f>
        <v/>
      </c>
      <c r="BC77" s="47" t="str">
        <f>IFERROR(VLOOKUP($A$1&amp;"-"&amp;ROW(AR76),基本資料填寫!$A:$DN,COLUMN(基本資料填寫!BF77),0),"")</f>
        <v/>
      </c>
      <c r="BD77" s="47" t="str">
        <f>IFERROR(VLOOKUP($A$1&amp;"-"&amp;ROW(AS76),基本資料填寫!$A:$DN,COLUMN(基本資料填寫!BG77),0),"")</f>
        <v/>
      </c>
      <c r="BE77" s="47" t="str">
        <f>IFERROR(VLOOKUP($A$1&amp;"-"&amp;ROW(AT76),基本資料填寫!$A:$DN,COLUMN(基本資料填寫!BH77),0),"")</f>
        <v/>
      </c>
      <c r="BF77" s="47" t="str">
        <f>IFERROR(VLOOKUP($A$1&amp;"-"&amp;ROW(AU76),基本資料填寫!$A:$DN,COLUMN(基本資料填寫!BI77),0),"")</f>
        <v/>
      </c>
      <c r="BG77" s="47" t="str">
        <f>IFERROR(VLOOKUP($A$1&amp;"-"&amp;ROW(AV76),基本資料填寫!$A:$DN,COLUMN(基本資料填寫!BJ77),0),"")</f>
        <v/>
      </c>
      <c r="BH77" s="47" t="str">
        <f>IFERROR(VLOOKUP($A$1&amp;"-"&amp;ROW(AW76),基本資料填寫!$A:$DN,COLUMN(基本資料填寫!BK77),0),"")</f>
        <v/>
      </c>
      <c r="BI77" s="47" t="str">
        <f>IFERROR(VLOOKUP($A$1&amp;"-"&amp;ROW(AX76),基本資料填寫!$A:$DN,COLUMN(基本資料填寫!BL77),0),"")</f>
        <v/>
      </c>
      <c r="BJ77" s="47" t="str">
        <f>IFERROR(VLOOKUP($A$1&amp;"-"&amp;ROW(AY76),基本資料填寫!$A:$DN,COLUMN(基本資料填寫!BM77),0),"")</f>
        <v/>
      </c>
      <c r="BK77" s="47" t="str">
        <f>IFERROR(VLOOKUP($A$1&amp;"-"&amp;ROW(AZ76),基本資料填寫!$A:$DN,COLUMN(基本資料填寫!BN77),0),"")</f>
        <v/>
      </c>
      <c r="BL77" s="47" t="str">
        <f>IFERROR(VLOOKUP($A$1&amp;"-"&amp;ROW(BA76),基本資料填寫!$A:$DN,COLUMN(基本資料填寫!BO77),0),"")</f>
        <v/>
      </c>
      <c r="BM77" s="47" t="str">
        <f>IFERROR(VLOOKUP($A$1&amp;"-"&amp;ROW(BB76),基本資料填寫!$A:$DN,COLUMN(基本資料填寫!BP77),0),"")</f>
        <v/>
      </c>
      <c r="BN77" s="47" t="str">
        <f>IFERROR(VLOOKUP($A$1&amp;"-"&amp;ROW(BC76),基本資料填寫!$A:$DN,COLUMN(基本資料填寫!BQ77),0),"")</f>
        <v/>
      </c>
      <c r="BO77" s="47" t="str">
        <f>IFERROR(VLOOKUP($A$1&amp;"-"&amp;ROW(BD76),基本資料填寫!$A:$DN,COLUMN(基本資料填寫!BR77),0),"")</f>
        <v/>
      </c>
    </row>
    <row r="78" spans="2:67" x14ac:dyDescent="0.3">
      <c r="B78" s="47" t="str">
        <f>IFERROR(VLOOKUP($A$1&amp;"-"&amp;ROW(A77),基本資料填寫!$A:$DN,COLUMN(基本資料填寫!K78),0),"")</f>
        <v/>
      </c>
      <c r="C78" s="47" t="str">
        <f>IFERROR(VLOOKUP($A$1&amp;"-"&amp;ROW(B77),基本資料填寫!$A:$DN,COLUMN(基本資料填寫!L78),0),"")</f>
        <v/>
      </c>
      <c r="D78" s="47" t="str">
        <f>IF(E78="","",COUNTA($E$2:E78))</f>
        <v/>
      </c>
      <c r="E78" s="47" t="str">
        <f>IFERROR(VLOOKUP($A$1&amp;"-"&amp;ROW(E77),基本資料填寫!$A:$DN,COLUMN(基本資料填寫!S78),0),"")</f>
        <v/>
      </c>
      <c r="G78" s="47" t="str">
        <f>IFERROR(VLOOKUP($A$1&amp;"-"&amp;ROW(G77),基本資料填寫!$A:$DN,COLUMN(基本資料填寫!V78),0),"")</f>
        <v/>
      </c>
      <c r="H78" s="47" t="str">
        <f>IFERROR(VLOOKUP($A$1&amp;"-"&amp;ROW(BI77),基本資料填寫!$A:$DN,COLUMN(基本資料填寫!BW78),0),"")</f>
        <v/>
      </c>
      <c r="I78" s="47" t="str">
        <f>IFERROR(VLOOKUP($A$1&amp;"-"&amp;ROW(I77),基本資料填寫!$A:$DN,COLUMN(基本資料填寫!AN78),0),"")</f>
        <v/>
      </c>
      <c r="J78" s="47" t="str">
        <f>IFERROR(VLOOKUP($A$1&amp;"-"&amp;ROW(K77),基本資料填寫!$A:$DN,COLUMN(基本資料填寫!R78),0),"")</f>
        <v/>
      </c>
      <c r="K78" s="47" t="str">
        <f>IFERROR(VLOOKUP($A$1&amp;"-"&amp;ROW(AA77),基本資料填寫!$A:$DN,COLUMN(基本資料填寫!BX78),0),"")</f>
        <v/>
      </c>
      <c r="L78" s="47" t="str">
        <f>IFERROR(VLOOKUP($A$1&amp;"-"&amp;ROW(S77),基本資料填寫!$A:$DN,COLUMN(基本資料填寫!Z78),0),"")</f>
        <v/>
      </c>
      <c r="M78" s="47" t="str">
        <f>IFERROR(VLOOKUP($A$1&amp;"-"&amp;ROW(T77),基本資料填寫!$A:$DN,COLUMN(基本資料填寫!AA78),0),"")</f>
        <v/>
      </c>
      <c r="N78" s="47" t="str">
        <f>IFERROR(VLOOKUP($A$1&amp;"-"&amp;ROW(AB77),基本資料填寫!$A:$DN,COLUMN(基本資料填寫!BY78),0),"")</f>
        <v/>
      </c>
      <c r="O78" s="47" t="str">
        <f>IFERROR(VLOOKUP($A$1&amp;"-"&amp;ROW(AC77),基本資料填寫!$A:$DN,COLUMN(基本資料填寫!BZ78),0),"")</f>
        <v/>
      </c>
      <c r="P78" s="47" t="str">
        <f>IFERROR(VLOOKUP($A$1&amp;"-"&amp;ROW(AD77),基本資料填寫!$A:$DN,COLUMN(基本資料填寫!CA78),0),"")</f>
        <v/>
      </c>
      <c r="Q78" s="47" t="str">
        <f>IFERROR(VLOOKUP($A$1&amp;"-"&amp;ROW(J77),基本資料填寫!$A:$DN,COLUMN(基本資料填寫!AO78),0),"")</f>
        <v/>
      </c>
      <c r="R78" s="47" t="str">
        <f>IFERROR(VLOOKUP($A$1&amp;"-"&amp;ROW(AE77),基本資料填寫!$A:$DN,COLUMN(基本資料填寫!CB78),0),"")</f>
        <v/>
      </c>
      <c r="S78" s="47" t="str">
        <f>IFERROR(VLOOKUP($A$1&amp;"-"&amp;ROW(AF77),基本資料填寫!$A:$DN,COLUMN(基本資料填寫!CC78),0),"")</f>
        <v/>
      </c>
      <c r="T78" s="47" t="str">
        <f>IFERROR(VLOOKUP($A$1&amp;"-"&amp;ROW(AG77),基本資料填寫!$A:$DN,COLUMN(基本資料填寫!CD78),0),"")</f>
        <v/>
      </c>
      <c r="U78" s="47" t="str">
        <f>IFERROR(VLOOKUP($A$1&amp;"-"&amp;ROW(AH77),基本資料填寫!$A:$DN,COLUMN(基本資料填寫!CE78),0),"")</f>
        <v/>
      </c>
      <c r="V78" s="47" t="str">
        <f>IFERROR(VLOOKUP($A$1&amp;"-"&amp;ROW(AI77),基本資料填寫!$A:$DN,COLUMN(基本資料填寫!CF78),0),"")</f>
        <v/>
      </c>
      <c r="W78" s="47" t="str">
        <f>IFERROR(VLOOKUP($A$1&amp;"-"&amp;ROW(AJ77),基本資料填寫!$A:$DN,COLUMN(基本資料填寫!CG78),0),"")</f>
        <v/>
      </c>
      <c r="X78" s="47" t="str">
        <f>IFERROR(VLOOKUP($A$1&amp;"-"&amp;ROW(AK77),基本資料填寫!$A:$DN,COLUMN(基本資料填寫!CH78),0),"")</f>
        <v/>
      </c>
      <c r="Y78" s="47" t="str">
        <f>IFERROR(VLOOKUP($A$1&amp;"-"&amp;ROW(AL77),基本資料填寫!$A:$DN,COLUMN(基本資料填寫!CI78),0),"")</f>
        <v/>
      </c>
      <c r="Z78" s="47" t="str">
        <f>IFERROR(VLOOKUP($A$1&amp;"-"&amp;ROW(H77),基本資料填寫!$A:$DN,COLUMN(基本資料填寫!O78),0),"")</f>
        <v/>
      </c>
      <c r="AA78" s="47" t="str">
        <f>IFERROR(VLOOKUP($A$1&amp;"-"&amp;ROW(AM77),基本資料填寫!$A:$DN,COLUMN(基本資料填寫!CJ78),0),"")</f>
        <v/>
      </c>
      <c r="AB78" s="47" t="str">
        <f>IFERROR(VLOOKUP($A$1&amp;"-"&amp;ROW(AN77),基本資料填寫!$A:$DN,COLUMN(基本資料填寫!CK78),0),"")</f>
        <v/>
      </c>
      <c r="AC78" s="47" t="str">
        <f>IFERROR(VLOOKUP($A$1&amp;"-"&amp;ROW(AP77),基本資料填寫!$A:$DN,COLUMN(基本資料填寫!CN78),0),"")</f>
        <v/>
      </c>
      <c r="AD78" s="47" t="str">
        <f>IFERROR(VLOOKUP($A$1&amp;"-"&amp;ROW(AQ77),基本資料填寫!$A:$DN,COLUMN(基本資料填寫!CO78),0),"")</f>
        <v/>
      </c>
      <c r="AE78" s="47" t="str">
        <f>IFERROR(VLOOKUP($A$1&amp;"-"&amp;ROW(AR77),基本資料填寫!$A:$DN,COLUMN(基本資料填寫!CP78),0),"")</f>
        <v/>
      </c>
      <c r="AF78" s="47" t="str">
        <f>IFERROR(VLOOKUP($A$1&amp;"-"&amp;ROW(AS77),基本資料填寫!$A:$DN,COLUMN(基本資料填寫!CQ78),0),"")</f>
        <v/>
      </c>
      <c r="AG78" s="47" t="str">
        <f>IFERROR(VLOOKUP($A$1&amp;"-"&amp;ROW(AT77),基本資料填寫!$A:$DN,COLUMN(基本資料填寫!CR78),0),"")</f>
        <v/>
      </c>
      <c r="AH78" s="47" t="str">
        <f>IFERROR(VLOOKUP($A$1&amp;"-"&amp;ROW(AU77),基本資料填寫!$A:$DN,COLUMN(基本資料填寫!CS78),0),"")</f>
        <v/>
      </c>
      <c r="AI78" s="47" t="str">
        <f>IFERROR(VLOOKUP($A$1&amp;"-"&amp;ROW(P77),基本資料填寫!$A:$DN,COLUMN(基本資料填寫!X78),0),"")</f>
        <v/>
      </c>
      <c r="AJ78" s="47" t="str">
        <f>IFERROR(VLOOKUP($A$1&amp;"-"&amp;ROW(AV77),基本資料填寫!$A:$DN,COLUMN(基本資料填寫!CT78),0),"")</f>
        <v/>
      </c>
      <c r="AK78" s="47" t="str">
        <f>IFERROR(VLOOKUP($A$1&amp;"-"&amp;ROW(AC77),基本資料填寫!$A:$DN,COLUMN(基本資料填寫!AQ78),0),"")</f>
        <v/>
      </c>
      <c r="AL78" s="47" t="str">
        <f>IFERROR(VLOOKUP($A$1&amp;"-"&amp;ROW(AO77),基本資料填寫!$A:$DN,COLUMN(基本資料填寫!CM78),0),"")</f>
        <v/>
      </c>
      <c r="AM78" s="47" t="str">
        <f>IFERROR(VLOOKUP($A$1&amp;"-"&amp;ROW(AD77),基本資料填寫!$A:$DN,COLUMN(基本資料填寫!AR78),0),"")</f>
        <v/>
      </c>
      <c r="AN78" s="47" t="str">
        <f>IFERROR(VLOOKUP($A$1&amp;"-"&amp;ROW(K77),基本資料填寫!$A:$DN,COLUMN(基本資料填寫!AP78),0),"")</f>
        <v/>
      </c>
      <c r="AO78" s="47" t="str">
        <f>IFERROR(VLOOKUP($A$1&amp;"-"&amp;ROW(J77),基本資料填寫!$A:$DN,COLUMN(基本資料填寫!AO78),0),"")</f>
        <v/>
      </c>
      <c r="AP78" s="47" t="str">
        <f>IFERROR(VLOOKUP($A$1&amp;"-"&amp;ROW(AE77),基本資料填寫!$A:$DN,COLUMN(基本資料填寫!AS78),0),"")</f>
        <v/>
      </c>
      <c r="AQ78" s="47" t="str">
        <f>IFERROR(VLOOKUP($A$1&amp;"-"&amp;ROW(AF77),基本資料填寫!$A:$DN,COLUMN(基本資料填寫!AT78),0),"")</f>
        <v/>
      </c>
      <c r="AR78" s="47" t="str">
        <f>IFERROR(VLOOKUP($A$1&amp;"-"&amp;ROW(AG77),基本資料填寫!$A:$DN,COLUMN(基本資料填寫!AU78),0),"")</f>
        <v/>
      </c>
      <c r="AS78" s="47" t="str">
        <f>IFERROR(VLOOKUP($A$1&amp;"-"&amp;ROW(AH77),基本資料填寫!$A:$DN,COLUMN(基本資料填寫!AV78),0),"")</f>
        <v/>
      </c>
      <c r="AT78" s="47" t="str">
        <f>IFERROR(VLOOKUP($A$1&amp;"-"&amp;ROW(AI77),基本資料填寫!$A:$DN,COLUMN(基本資料填寫!AW78),0),"")</f>
        <v/>
      </c>
      <c r="AU78" s="47" t="str">
        <f>IFERROR(VLOOKUP($A$1&amp;"-"&amp;ROW(AJ77),基本資料填寫!$A:$DN,COLUMN(基本資料填寫!AX78),0),"")</f>
        <v/>
      </c>
      <c r="AV78" s="47" t="str">
        <f>IFERROR(VLOOKUP($A$1&amp;"-"&amp;ROW(AK77),基本資料填寫!$A:$DN,COLUMN(基本資料填寫!AY78),0),"")</f>
        <v/>
      </c>
      <c r="AW78" s="47" t="str">
        <f>IFERROR(VLOOKUP($A$1&amp;"-"&amp;ROW(AL77),基本資料填寫!$A:$DN,COLUMN(基本資料填寫!AZ78),0),"")</f>
        <v/>
      </c>
      <c r="AX78" s="47" t="str">
        <f>IFERROR(VLOOKUP($A$1&amp;"-"&amp;ROW(AM77),基本資料填寫!$A:$DN,COLUMN(基本資料填寫!BA78),0),"")</f>
        <v/>
      </c>
      <c r="AY78" s="47" t="str">
        <f>IFERROR(VLOOKUP($A$1&amp;"-"&amp;ROW(AN77),基本資料填寫!$A:$DN,COLUMN(基本資料填寫!BB78),0),"")</f>
        <v/>
      </c>
      <c r="AZ78" s="47" t="str">
        <f>IFERROR(VLOOKUP($A$1&amp;"-"&amp;ROW(AO77),基本資料填寫!$A:$DN,COLUMN(基本資料填寫!BC78),0),"")</f>
        <v/>
      </c>
      <c r="BA78" s="47" t="str">
        <f>IFERROR(VLOOKUP($A$1&amp;"-"&amp;ROW(AP77),基本資料填寫!$A:$DN,COLUMN(基本資料填寫!BD78),0),"")</f>
        <v/>
      </c>
      <c r="BB78" s="47" t="str">
        <f>IFERROR(VLOOKUP($A$1&amp;"-"&amp;ROW(AQ77),基本資料填寫!$A:$DN,COLUMN(基本資料填寫!BE78),0),"")</f>
        <v/>
      </c>
      <c r="BC78" s="47" t="str">
        <f>IFERROR(VLOOKUP($A$1&amp;"-"&amp;ROW(AR77),基本資料填寫!$A:$DN,COLUMN(基本資料填寫!BF78),0),"")</f>
        <v/>
      </c>
      <c r="BD78" s="47" t="str">
        <f>IFERROR(VLOOKUP($A$1&amp;"-"&amp;ROW(AS77),基本資料填寫!$A:$DN,COLUMN(基本資料填寫!BG78),0),"")</f>
        <v/>
      </c>
      <c r="BE78" s="47" t="str">
        <f>IFERROR(VLOOKUP($A$1&amp;"-"&amp;ROW(AT77),基本資料填寫!$A:$DN,COLUMN(基本資料填寫!BH78),0),"")</f>
        <v/>
      </c>
      <c r="BF78" s="47" t="str">
        <f>IFERROR(VLOOKUP($A$1&amp;"-"&amp;ROW(AU77),基本資料填寫!$A:$DN,COLUMN(基本資料填寫!BI78),0),"")</f>
        <v/>
      </c>
      <c r="BG78" s="47" t="str">
        <f>IFERROR(VLOOKUP($A$1&amp;"-"&amp;ROW(AV77),基本資料填寫!$A:$DN,COLUMN(基本資料填寫!BJ78),0),"")</f>
        <v/>
      </c>
      <c r="BH78" s="47" t="str">
        <f>IFERROR(VLOOKUP($A$1&amp;"-"&amp;ROW(AW77),基本資料填寫!$A:$DN,COLUMN(基本資料填寫!BK78),0),"")</f>
        <v/>
      </c>
      <c r="BI78" s="47" t="str">
        <f>IFERROR(VLOOKUP($A$1&amp;"-"&amp;ROW(AX77),基本資料填寫!$A:$DN,COLUMN(基本資料填寫!BL78),0),"")</f>
        <v/>
      </c>
      <c r="BJ78" s="47" t="str">
        <f>IFERROR(VLOOKUP($A$1&amp;"-"&amp;ROW(AY77),基本資料填寫!$A:$DN,COLUMN(基本資料填寫!BM78),0),"")</f>
        <v/>
      </c>
      <c r="BK78" s="47" t="str">
        <f>IFERROR(VLOOKUP($A$1&amp;"-"&amp;ROW(AZ77),基本資料填寫!$A:$DN,COLUMN(基本資料填寫!BN78),0),"")</f>
        <v/>
      </c>
      <c r="BL78" s="47" t="str">
        <f>IFERROR(VLOOKUP($A$1&amp;"-"&amp;ROW(BA77),基本資料填寫!$A:$DN,COLUMN(基本資料填寫!BO78),0),"")</f>
        <v/>
      </c>
      <c r="BM78" s="47" t="str">
        <f>IFERROR(VLOOKUP($A$1&amp;"-"&amp;ROW(BB77),基本資料填寫!$A:$DN,COLUMN(基本資料填寫!BP78),0),"")</f>
        <v/>
      </c>
      <c r="BN78" s="47" t="str">
        <f>IFERROR(VLOOKUP($A$1&amp;"-"&amp;ROW(BC77),基本資料填寫!$A:$DN,COLUMN(基本資料填寫!BQ78),0),"")</f>
        <v/>
      </c>
      <c r="BO78" s="47" t="str">
        <f>IFERROR(VLOOKUP($A$1&amp;"-"&amp;ROW(BD77),基本資料填寫!$A:$DN,COLUMN(基本資料填寫!BR78),0),"")</f>
        <v/>
      </c>
    </row>
    <row r="79" spans="2:67" x14ac:dyDescent="0.3">
      <c r="B79" s="47" t="str">
        <f>IFERROR(VLOOKUP($A$1&amp;"-"&amp;ROW(A78),基本資料填寫!$A:$DN,COLUMN(基本資料填寫!K79),0),"")</f>
        <v/>
      </c>
      <c r="C79" s="47" t="str">
        <f>IFERROR(VLOOKUP($A$1&amp;"-"&amp;ROW(B78),基本資料填寫!$A:$DN,COLUMN(基本資料填寫!L79),0),"")</f>
        <v/>
      </c>
      <c r="D79" s="47" t="str">
        <f>IF(E79="","",COUNTA($E$2:E79))</f>
        <v/>
      </c>
      <c r="E79" s="47" t="str">
        <f>IFERROR(VLOOKUP($A$1&amp;"-"&amp;ROW(E78),基本資料填寫!$A:$DN,COLUMN(基本資料填寫!S79),0),"")</f>
        <v/>
      </c>
      <c r="G79" s="47" t="str">
        <f>IFERROR(VLOOKUP($A$1&amp;"-"&amp;ROW(G78),基本資料填寫!$A:$DN,COLUMN(基本資料填寫!V79),0),"")</f>
        <v/>
      </c>
      <c r="H79" s="47" t="str">
        <f>IFERROR(VLOOKUP($A$1&amp;"-"&amp;ROW(BI78),基本資料填寫!$A:$DN,COLUMN(基本資料填寫!BW79),0),"")</f>
        <v/>
      </c>
      <c r="I79" s="47" t="str">
        <f>IFERROR(VLOOKUP($A$1&amp;"-"&amp;ROW(I78),基本資料填寫!$A:$DN,COLUMN(基本資料填寫!AN79),0),"")</f>
        <v/>
      </c>
      <c r="J79" s="47" t="str">
        <f>IFERROR(VLOOKUP($A$1&amp;"-"&amp;ROW(K78),基本資料填寫!$A:$DN,COLUMN(基本資料填寫!R79),0),"")</f>
        <v/>
      </c>
      <c r="K79" s="47" t="str">
        <f>IFERROR(VLOOKUP($A$1&amp;"-"&amp;ROW(AA78),基本資料填寫!$A:$DN,COLUMN(基本資料填寫!BX79),0),"")</f>
        <v/>
      </c>
      <c r="L79" s="47" t="str">
        <f>IFERROR(VLOOKUP($A$1&amp;"-"&amp;ROW(S78),基本資料填寫!$A:$DN,COLUMN(基本資料填寫!Z79),0),"")</f>
        <v/>
      </c>
      <c r="M79" s="47" t="str">
        <f>IFERROR(VLOOKUP($A$1&amp;"-"&amp;ROW(T78),基本資料填寫!$A:$DN,COLUMN(基本資料填寫!AA79),0),"")</f>
        <v/>
      </c>
      <c r="N79" s="47" t="str">
        <f>IFERROR(VLOOKUP($A$1&amp;"-"&amp;ROW(AB78),基本資料填寫!$A:$DN,COLUMN(基本資料填寫!BY79),0),"")</f>
        <v/>
      </c>
      <c r="O79" s="47" t="str">
        <f>IFERROR(VLOOKUP($A$1&amp;"-"&amp;ROW(AC78),基本資料填寫!$A:$DN,COLUMN(基本資料填寫!BZ79),0),"")</f>
        <v/>
      </c>
      <c r="P79" s="47" t="str">
        <f>IFERROR(VLOOKUP($A$1&amp;"-"&amp;ROW(AD78),基本資料填寫!$A:$DN,COLUMN(基本資料填寫!CA79),0),"")</f>
        <v/>
      </c>
      <c r="Q79" s="47" t="str">
        <f>IFERROR(VLOOKUP($A$1&amp;"-"&amp;ROW(J78),基本資料填寫!$A:$DN,COLUMN(基本資料填寫!AO79),0),"")</f>
        <v/>
      </c>
      <c r="R79" s="47" t="str">
        <f>IFERROR(VLOOKUP($A$1&amp;"-"&amp;ROW(AE78),基本資料填寫!$A:$DN,COLUMN(基本資料填寫!CB79),0),"")</f>
        <v/>
      </c>
      <c r="S79" s="47" t="str">
        <f>IFERROR(VLOOKUP($A$1&amp;"-"&amp;ROW(AF78),基本資料填寫!$A:$DN,COLUMN(基本資料填寫!CC79),0),"")</f>
        <v/>
      </c>
      <c r="T79" s="47" t="str">
        <f>IFERROR(VLOOKUP($A$1&amp;"-"&amp;ROW(AG78),基本資料填寫!$A:$DN,COLUMN(基本資料填寫!CD79),0),"")</f>
        <v/>
      </c>
      <c r="U79" s="47" t="str">
        <f>IFERROR(VLOOKUP($A$1&amp;"-"&amp;ROW(AH78),基本資料填寫!$A:$DN,COLUMN(基本資料填寫!CE79),0),"")</f>
        <v/>
      </c>
      <c r="V79" s="47" t="str">
        <f>IFERROR(VLOOKUP($A$1&amp;"-"&amp;ROW(AI78),基本資料填寫!$A:$DN,COLUMN(基本資料填寫!CF79),0),"")</f>
        <v/>
      </c>
      <c r="W79" s="47" t="str">
        <f>IFERROR(VLOOKUP($A$1&amp;"-"&amp;ROW(AJ78),基本資料填寫!$A:$DN,COLUMN(基本資料填寫!CG79),0),"")</f>
        <v/>
      </c>
      <c r="X79" s="47" t="str">
        <f>IFERROR(VLOOKUP($A$1&amp;"-"&amp;ROW(AK78),基本資料填寫!$A:$DN,COLUMN(基本資料填寫!CH79),0),"")</f>
        <v/>
      </c>
      <c r="Y79" s="47" t="str">
        <f>IFERROR(VLOOKUP($A$1&amp;"-"&amp;ROW(AL78),基本資料填寫!$A:$DN,COLUMN(基本資料填寫!CI79),0),"")</f>
        <v/>
      </c>
      <c r="Z79" s="47" t="str">
        <f>IFERROR(VLOOKUP($A$1&amp;"-"&amp;ROW(H78),基本資料填寫!$A:$DN,COLUMN(基本資料填寫!O79),0),"")</f>
        <v/>
      </c>
      <c r="AA79" s="47" t="str">
        <f>IFERROR(VLOOKUP($A$1&amp;"-"&amp;ROW(AM78),基本資料填寫!$A:$DN,COLUMN(基本資料填寫!CJ79),0),"")</f>
        <v/>
      </c>
      <c r="AB79" s="47" t="str">
        <f>IFERROR(VLOOKUP($A$1&amp;"-"&amp;ROW(AN78),基本資料填寫!$A:$DN,COLUMN(基本資料填寫!CK79),0),"")</f>
        <v/>
      </c>
      <c r="AC79" s="47" t="str">
        <f>IFERROR(VLOOKUP($A$1&amp;"-"&amp;ROW(AP78),基本資料填寫!$A:$DN,COLUMN(基本資料填寫!CN79),0),"")</f>
        <v/>
      </c>
      <c r="AD79" s="47" t="str">
        <f>IFERROR(VLOOKUP($A$1&amp;"-"&amp;ROW(AQ78),基本資料填寫!$A:$DN,COLUMN(基本資料填寫!CO79),0),"")</f>
        <v/>
      </c>
      <c r="AE79" s="47" t="str">
        <f>IFERROR(VLOOKUP($A$1&amp;"-"&amp;ROW(AR78),基本資料填寫!$A:$DN,COLUMN(基本資料填寫!CP79),0),"")</f>
        <v/>
      </c>
      <c r="AF79" s="47" t="str">
        <f>IFERROR(VLOOKUP($A$1&amp;"-"&amp;ROW(AS78),基本資料填寫!$A:$DN,COLUMN(基本資料填寫!CQ79),0),"")</f>
        <v/>
      </c>
      <c r="AG79" s="47" t="str">
        <f>IFERROR(VLOOKUP($A$1&amp;"-"&amp;ROW(AT78),基本資料填寫!$A:$DN,COLUMN(基本資料填寫!CR79),0),"")</f>
        <v/>
      </c>
      <c r="AH79" s="47" t="str">
        <f>IFERROR(VLOOKUP($A$1&amp;"-"&amp;ROW(AU78),基本資料填寫!$A:$DN,COLUMN(基本資料填寫!CS79),0),"")</f>
        <v/>
      </c>
      <c r="AI79" s="47" t="str">
        <f>IFERROR(VLOOKUP($A$1&amp;"-"&amp;ROW(P78),基本資料填寫!$A:$DN,COLUMN(基本資料填寫!X79),0),"")</f>
        <v/>
      </c>
      <c r="AJ79" s="47" t="str">
        <f>IFERROR(VLOOKUP($A$1&amp;"-"&amp;ROW(AV78),基本資料填寫!$A:$DN,COLUMN(基本資料填寫!CT79),0),"")</f>
        <v/>
      </c>
      <c r="AK79" s="47" t="str">
        <f>IFERROR(VLOOKUP($A$1&amp;"-"&amp;ROW(AC78),基本資料填寫!$A:$DN,COLUMN(基本資料填寫!AQ79),0),"")</f>
        <v/>
      </c>
      <c r="AL79" s="47" t="str">
        <f>IFERROR(VLOOKUP($A$1&amp;"-"&amp;ROW(AO78),基本資料填寫!$A:$DN,COLUMN(基本資料填寫!CM79),0),"")</f>
        <v/>
      </c>
      <c r="AM79" s="47" t="str">
        <f>IFERROR(VLOOKUP($A$1&amp;"-"&amp;ROW(AD78),基本資料填寫!$A:$DN,COLUMN(基本資料填寫!AR79),0),"")</f>
        <v/>
      </c>
      <c r="AN79" s="47" t="str">
        <f>IFERROR(VLOOKUP($A$1&amp;"-"&amp;ROW(K78),基本資料填寫!$A:$DN,COLUMN(基本資料填寫!AP79),0),"")</f>
        <v/>
      </c>
      <c r="AO79" s="47" t="str">
        <f>IFERROR(VLOOKUP($A$1&amp;"-"&amp;ROW(J78),基本資料填寫!$A:$DN,COLUMN(基本資料填寫!AO79),0),"")</f>
        <v/>
      </c>
      <c r="AP79" s="47" t="str">
        <f>IFERROR(VLOOKUP($A$1&amp;"-"&amp;ROW(AE78),基本資料填寫!$A:$DN,COLUMN(基本資料填寫!AS79),0),"")</f>
        <v/>
      </c>
      <c r="AQ79" s="47" t="str">
        <f>IFERROR(VLOOKUP($A$1&amp;"-"&amp;ROW(AF78),基本資料填寫!$A:$DN,COLUMN(基本資料填寫!AT79),0),"")</f>
        <v/>
      </c>
      <c r="AR79" s="47" t="str">
        <f>IFERROR(VLOOKUP($A$1&amp;"-"&amp;ROW(AG78),基本資料填寫!$A:$DN,COLUMN(基本資料填寫!AU79),0),"")</f>
        <v/>
      </c>
      <c r="AS79" s="47" t="str">
        <f>IFERROR(VLOOKUP($A$1&amp;"-"&amp;ROW(AH78),基本資料填寫!$A:$DN,COLUMN(基本資料填寫!AV79),0),"")</f>
        <v/>
      </c>
      <c r="AT79" s="47" t="str">
        <f>IFERROR(VLOOKUP($A$1&amp;"-"&amp;ROW(AI78),基本資料填寫!$A:$DN,COLUMN(基本資料填寫!AW79),0),"")</f>
        <v/>
      </c>
      <c r="AU79" s="47" t="str">
        <f>IFERROR(VLOOKUP($A$1&amp;"-"&amp;ROW(AJ78),基本資料填寫!$A:$DN,COLUMN(基本資料填寫!AX79),0),"")</f>
        <v/>
      </c>
      <c r="AV79" s="47" t="str">
        <f>IFERROR(VLOOKUP($A$1&amp;"-"&amp;ROW(AK78),基本資料填寫!$A:$DN,COLUMN(基本資料填寫!AY79),0),"")</f>
        <v/>
      </c>
      <c r="AW79" s="47" t="str">
        <f>IFERROR(VLOOKUP($A$1&amp;"-"&amp;ROW(AL78),基本資料填寫!$A:$DN,COLUMN(基本資料填寫!AZ79),0),"")</f>
        <v/>
      </c>
      <c r="AX79" s="47" t="str">
        <f>IFERROR(VLOOKUP($A$1&amp;"-"&amp;ROW(AM78),基本資料填寫!$A:$DN,COLUMN(基本資料填寫!BA79),0),"")</f>
        <v/>
      </c>
      <c r="AY79" s="47" t="str">
        <f>IFERROR(VLOOKUP($A$1&amp;"-"&amp;ROW(AN78),基本資料填寫!$A:$DN,COLUMN(基本資料填寫!BB79),0),"")</f>
        <v/>
      </c>
      <c r="AZ79" s="47" t="str">
        <f>IFERROR(VLOOKUP($A$1&amp;"-"&amp;ROW(AO78),基本資料填寫!$A:$DN,COLUMN(基本資料填寫!BC79),0),"")</f>
        <v/>
      </c>
      <c r="BA79" s="47" t="str">
        <f>IFERROR(VLOOKUP($A$1&amp;"-"&amp;ROW(AP78),基本資料填寫!$A:$DN,COLUMN(基本資料填寫!BD79),0),"")</f>
        <v/>
      </c>
      <c r="BB79" s="47" t="str">
        <f>IFERROR(VLOOKUP($A$1&amp;"-"&amp;ROW(AQ78),基本資料填寫!$A:$DN,COLUMN(基本資料填寫!BE79),0),"")</f>
        <v/>
      </c>
      <c r="BC79" s="47" t="str">
        <f>IFERROR(VLOOKUP($A$1&amp;"-"&amp;ROW(AR78),基本資料填寫!$A:$DN,COLUMN(基本資料填寫!BF79),0),"")</f>
        <v/>
      </c>
      <c r="BD79" s="47" t="str">
        <f>IFERROR(VLOOKUP($A$1&amp;"-"&amp;ROW(AS78),基本資料填寫!$A:$DN,COLUMN(基本資料填寫!BG79),0),"")</f>
        <v/>
      </c>
      <c r="BE79" s="47" t="str">
        <f>IFERROR(VLOOKUP($A$1&amp;"-"&amp;ROW(AT78),基本資料填寫!$A:$DN,COLUMN(基本資料填寫!BH79),0),"")</f>
        <v/>
      </c>
      <c r="BF79" s="47" t="str">
        <f>IFERROR(VLOOKUP($A$1&amp;"-"&amp;ROW(AU78),基本資料填寫!$A:$DN,COLUMN(基本資料填寫!BI79),0),"")</f>
        <v/>
      </c>
      <c r="BG79" s="47" t="str">
        <f>IFERROR(VLOOKUP($A$1&amp;"-"&amp;ROW(AV78),基本資料填寫!$A:$DN,COLUMN(基本資料填寫!BJ79),0),"")</f>
        <v/>
      </c>
      <c r="BH79" s="47" t="str">
        <f>IFERROR(VLOOKUP($A$1&amp;"-"&amp;ROW(AW78),基本資料填寫!$A:$DN,COLUMN(基本資料填寫!BK79),0),"")</f>
        <v/>
      </c>
      <c r="BI79" s="47" t="str">
        <f>IFERROR(VLOOKUP($A$1&amp;"-"&amp;ROW(AX78),基本資料填寫!$A:$DN,COLUMN(基本資料填寫!BL79),0),"")</f>
        <v/>
      </c>
      <c r="BJ79" s="47" t="str">
        <f>IFERROR(VLOOKUP($A$1&amp;"-"&amp;ROW(AY78),基本資料填寫!$A:$DN,COLUMN(基本資料填寫!BM79),0),"")</f>
        <v/>
      </c>
      <c r="BK79" s="47" t="str">
        <f>IFERROR(VLOOKUP($A$1&amp;"-"&amp;ROW(AZ78),基本資料填寫!$A:$DN,COLUMN(基本資料填寫!BN79),0),"")</f>
        <v/>
      </c>
      <c r="BL79" s="47" t="str">
        <f>IFERROR(VLOOKUP($A$1&amp;"-"&amp;ROW(BA78),基本資料填寫!$A:$DN,COLUMN(基本資料填寫!BO79),0),"")</f>
        <v/>
      </c>
      <c r="BM79" s="47" t="str">
        <f>IFERROR(VLOOKUP($A$1&amp;"-"&amp;ROW(BB78),基本資料填寫!$A:$DN,COLUMN(基本資料填寫!BP79),0),"")</f>
        <v/>
      </c>
      <c r="BN79" s="47" t="str">
        <f>IFERROR(VLOOKUP($A$1&amp;"-"&amp;ROW(BC78),基本資料填寫!$A:$DN,COLUMN(基本資料填寫!BQ79),0),"")</f>
        <v/>
      </c>
      <c r="BO79" s="47" t="str">
        <f>IFERROR(VLOOKUP($A$1&amp;"-"&amp;ROW(BD78),基本資料填寫!$A:$DN,COLUMN(基本資料填寫!BR79),0),"")</f>
        <v/>
      </c>
    </row>
    <row r="80" spans="2:67" x14ac:dyDescent="0.3">
      <c r="B80" s="47" t="str">
        <f>IFERROR(VLOOKUP($A$1&amp;"-"&amp;ROW(A79),基本資料填寫!$A:$DN,COLUMN(基本資料填寫!K80),0),"")</f>
        <v/>
      </c>
      <c r="C80" s="47" t="str">
        <f>IFERROR(VLOOKUP($A$1&amp;"-"&amp;ROW(B79),基本資料填寫!$A:$DN,COLUMN(基本資料填寫!L80),0),"")</f>
        <v/>
      </c>
      <c r="D80" s="47" t="str">
        <f>IF(E80="","",COUNTA($E$2:E80))</f>
        <v/>
      </c>
      <c r="E80" s="47" t="str">
        <f>IFERROR(VLOOKUP($A$1&amp;"-"&amp;ROW(E79),基本資料填寫!$A:$DN,COLUMN(基本資料填寫!S80),0),"")</f>
        <v/>
      </c>
      <c r="G80" s="47" t="str">
        <f>IFERROR(VLOOKUP($A$1&amp;"-"&amp;ROW(G79),基本資料填寫!$A:$DN,COLUMN(基本資料填寫!V80),0),"")</f>
        <v/>
      </c>
      <c r="H80" s="47" t="str">
        <f>IFERROR(VLOOKUP($A$1&amp;"-"&amp;ROW(BI79),基本資料填寫!$A:$DN,COLUMN(基本資料填寫!BW80),0),"")</f>
        <v/>
      </c>
      <c r="I80" s="47" t="str">
        <f>IFERROR(VLOOKUP($A$1&amp;"-"&amp;ROW(I79),基本資料填寫!$A:$DN,COLUMN(基本資料填寫!AN80),0),"")</f>
        <v/>
      </c>
      <c r="J80" s="47" t="str">
        <f>IFERROR(VLOOKUP($A$1&amp;"-"&amp;ROW(K79),基本資料填寫!$A:$DN,COLUMN(基本資料填寫!R80),0),"")</f>
        <v/>
      </c>
      <c r="K80" s="47" t="str">
        <f>IFERROR(VLOOKUP($A$1&amp;"-"&amp;ROW(AA79),基本資料填寫!$A:$DN,COLUMN(基本資料填寫!BX80),0),"")</f>
        <v/>
      </c>
      <c r="L80" s="47" t="str">
        <f>IFERROR(VLOOKUP($A$1&amp;"-"&amp;ROW(S79),基本資料填寫!$A:$DN,COLUMN(基本資料填寫!Z80),0),"")</f>
        <v/>
      </c>
      <c r="M80" s="47" t="str">
        <f>IFERROR(VLOOKUP($A$1&amp;"-"&amp;ROW(T79),基本資料填寫!$A:$DN,COLUMN(基本資料填寫!AA80),0),"")</f>
        <v/>
      </c>
      <c r="N80" s="47" t="str">
        <f>IFERROR(VLOOKUP($A$1&amp;"-"&amp;ROW(AB79),基本資料填寫!$A:$DN,COLUMN(基本資料填寫!BY80),0),"")</f>
        <v/>
      </c>
      <c r="O80" s="47" t="str">
        <f>IFERROR(VLOOKUP($A$1&amp;"-"&amp;ROW(AC79),基本資料填寫!$A:$DN,COLUMN(基本資料填寫!BZ80),0),"")</f>
        <v/>
      </c>
      <c r="P80" s="47" t="str">
        <f>IFERROR(VLOOKUP($A$1&amp;"-"&amp;ROW(AD79),基本資料填寫!$A:$DN,COLUMN(基本資料填寫!CA80),0),"")</f>
        <v/>
      </c>
      <c r="Q80" s="47" t="str">
        <f>IFERROR(VLOOKUP($A$1&amp;"-"&amp;ROW(J79),基本資料填寫!$A:$DN,COLUMN(基本資料填寫!AO80),0),"")</f>
        <v/>
      </c>
      <c r="R80" s="47" t="str">
        <f>IFERROR(VLOOKUP($A$1&amp;"-"&amp;ROW(AE79),基本資料填寫!$A:$DN,COLUMN(基本資料填寫!CB80),0),"")</f>
        <v/>
      </c>
      <c r="S80" s="47" t="str">
        <f>IFERROR(VLOOKUP($A$1&amp;"-"&amp;ROW(AF79),基本資料填寫!$A:$DN,COLUMN(基本資料填寫!CC80),0),"")</f>
        <v/>
      </c>
      <c r="T80" s="47" t="str">
        <f>IFERROR(VLOOKUP($A$1&amp;"-"&amp;ROW(AG79),基本資料填寫!$A:$DN,COLUMN(基本資料填寫!CD80),0),"")</f>
        <v/>
      </c>
      <c r="U80" s="47" t="str">
        <f>IFERROR(VLOOKUP($A$1&amp;"-"&amp;ROW(AH79),基本資料填寫!$A:$DN,COLUMN(基本資料填寫!CE80),0),"")</f>
        <v/>
      </c>
      <c r="V80" s="47" t="str">
        <f>IFERROR(VLOOKUP($A$1&amp;"-"&amp;ROW(AI79),基本資料填寫!$A:$DN,COLUMN(基本資料填寫!CF80),0),"")</f>
        <v/>
      </c>
      <c r="W80" s="47" t="str">
        <f>IFERROR(VLOOKUP($A$1&amp;"-"&amp;ROW(AJ79),基本資料填寫!$A:$DN,COLUMN(基本資料填寫!CG80),0),"")</f>
        <v/>
      </c>
      <c r="X80" s="47" t="str">
        <f>IFERROR(VLOOKUP($A$1&amp;"-"&amp;ROW(AK79),基本資料填寫!$A:$DN,COLUMN(基本資料填寫!CH80),0),"")</f>
        <v/>
      </c>
      <c r="Y80" s="47" t="str">
        <f>IFERROR(VLOOKUP($A$1&amp;"-"&amp;ROW(AL79),基本資料填寫!$A:$DN,COLUMN(基本資料填寫!CI80),0),"")</f>
        <v/>
      </c>
      <c r="Z80" s="47" t="str">
        <f>IFERROR(VLOOKUP($A$1&amp;"-"&amp;ROW(H79),基本資料填寫!$A:$DN,COLUMN(基本資料填寫!O80),0),"")</f>
        <v/>
      </c>
      <c r="AA80" s="47" t="str">
        <f>IFERROR(VLOOKUP($A$1&amp;"-"&amp;ROW(AM79),基本資料填寫!$A:$DN,COLUMN(基本資料填寫!CJ80),0),"")</f>
        <v/>
      </c>
      <c r="AB80" s="47" t="str">
        <f>IFERROR(VLOOKUP($A$1&amp;"-"&amp;ROW(AN79),基本資料填寫!$A:$DN,COLUMN(基本資料填寫!CK80),0),"")</f>
        <v/>
      </c>
      <c r="AC80" s="47" t="str">
        <f>IFERROR(VLOOKUP($A$1&amp;"-"&amp;ROW(AP79),基本資料填寫!$A:$DN,COLUMN(基本資料填寫!CN80),0),"")</f>
        <v/>
      </c>
      <c r="AD80" s="47" t="str">
        <f>IFERROR(VLOOKUP($A$1&amp;"-"&amp;ROW(AQ79),基本資料填寫!$A:$DN,COLUMN(基本資料填寫!CO80),0),"")</f>
        <v/>
      </c>
      <c r="AE80" s="47" t="str">
        <f>IFERROR(VLOOKUP($A$1&amp;"-"&amp;ROW(AR79),基本資料填寫!$A:$DN,COLUMN(基本資料填寫!CP80),0),"")</f>
        <v/>
      </c>
      <c r="AF80" s="47" t="str">
        <f>IFERROR(VLOOKUP($A$1&amp;"-"&amp;ROW(AS79),基本資料填寫!$A:$DN,COLUMN(基本資料填寫!CQ80),0),"")</f>
        <v/>
      </c>
      <c r="AG80" s="47" t="str">
        <f>IFERROR(VLOOKUP($A$1&amp;"-"&amp;ROW(AT79),基本資料填寫!$A:$DN,COLUMN(基本資料填寫!CR80),0),"")</f>
        <v/>
      </c>
      <c r="AH80" s="47" t="str">
        <f>IFERROR(VLOOKUP($A$1&amp;"-"&amp;ROW(AU79),基本資料填寫!$A:$DN,COLUMN(基本資料填寫!CS80),0),"")</f>
        <v/>
      </c>
      <c r="AI80" s="47" t="str">
        <f>IFERROR(VLOOKUP($A$1&amp;"-"&amp;ROW(P79),基本資料填寫!$A:$DN,COLUMN(基本資料填寫!X80),0),"")</f>
        <v/>
      </c>
      <c r="AJ80" s="47" t="str">
        <f>IFERROR(VLOOKUP($A$1&amp;"-"&amp;ROW(AV79),基本資料填寫!$A:$DN,COLUMN(基本資料填寫!CT80),0),"")</f>
        <v/>
      </c>
      <c r="AK80" s="47" t="str">
        <f>IFERROR(VLOOKUP($A$1&amp;"-"&amp;ROW(AC79),基本資料填寫!$A:$DN,COLUMN(基本資料填寫!AQ80),0),"")</f>
        <v/>
      </c>
      <c r="AL80" s="47" t="str">
        <f>IFERROR(VLOOKUP($A$1&amp;"-"&amp;ROW(AO79),基本資料填寫!$A:$DN,COLUMN(基本資料填寫!CM80),0),"")</f>
        <v/>
      </c>
      <c r="AM80" s="47" t="str">
        <f>IFERROR(VLOOKUP($A$1&amp;"-"&amp;ROW(AD79),基本資料填寫!$A:$DN,COLUMN(基本資料填寫!AR80),0),"")</f>
        <v/>
      </c>
      <c r="AN80" s="47" t="str">
        <f>IFERROR(VLOOKUP($A$1&amp;"-"&amp;ROW(K79),基本資料填寫!$A:$DN,COLUMN(基本資料填寫!AP80),0),"")</f>
        <v/>
      </c>
      <c r="AO80" s="47" t="str">
        <f>IFERROR(VLOOKUP($A$1&amp;"-"&amp;ROW(J79),基本資料填寫!$A:$DN,COLUMN(基本資料填寫!AO80),0),"")</f>
        <v/>
      </c>
      <c r="AP80" s="47" t="str">
        <f>IFERROR(VLOOKUP($A$1&amp;"-"&amp;ROW(AE79),基本資料填寫!$A:$DN,COLUMN(基本資料填寫!AS80),0),"")</f>
        <v/>
      </c>
      <c r="AQ80" s="47" t="str">
        <f>IFERROR(VLOOKUP($A$1&amp;"-"&amp;ROW(AF79),基本資料填寫!$A:$DN,COLUMN(基本資料填寫!AT80),0),"")</f>
        <v/>
      </c>
      <c r="AR80" s="47" t="str">
        <f>IFERROR(VLOOKUP($A$1&amp;"-"&amp;ROW(AG79),基本資料填寫!$A:$DN,COLUMN(基本資料填寫!AU80),0),"")</f>
        <v/>
      </c>
      <c r="AS80" s="47" t="str">
        <f>IFERROR(VLOOKUP($A$1&amp;"-"&amp;ROW(AH79),基本資料填寫!$A:$DN,COLUMN(基本資料填寫!AV80),0),"")</f>
        <v/>
      </c>
      <c r="AT80" s="47" t="str">
        <f>IFERROR(VLOOKUP($A$1&amp;"-"&amp;ROW(AI79),基本資料填寫!$A:$DN,COLUMN(基本資料填寫!AW80),0),"")</f>
        <v/>
      </c>
      <c r="AU80" s="47" t="str">
        <f>IFERROR(VLOOKUP($A$1&amp;"-"&amp;ROW(AJ79),基本資料填寫!$A:$DN,COLUMN(基本資料填寫!AX80),0),"")</f>
        <v/>
      </c>
      <c r="AV80" s="47" t="str">
        <f>IFERROR(VLOOKUP($A$1&amp;"-"&amp;ROW(AK79),基本資料填寫!$A:$DN,COLUMN(基本資料填寫!AY80),0),"")</f>
        <v/>
      </c>
      <c r="AW80" s="47" t="str">
        <f>IFERROR(VLOOKUP($A$1&amp;"-"&amp;ROW(AL79),基本資料填寫!$A:$DN,COLUMN(基本資料填寫!AZ80),0),"")</f>
        <v/>
      </c>
      <c r="AX80" s="47" t="str">
        <f>IFERROR(VLOOKUP($A$1&amp;"-"&amp;ROW(AM79),基本資料填寫!$A:$DN,COLUMN(基本資料填寫!BA80),0),"")</f>
        <v/>
      </c>
      <c r="AY80" s="47" t="str">
        <f>IFERROR(VLOOKUP($A$1&amp;"-"&amp;ROW(AN79),基本資料填寫!$A:$DN,COLUMN(基本資料填寫!BB80),0),"")</f>
        <v/>
      </c>
      <c r="AZ80" s="47" t="str">
        <f>IFERROR(VLOOKUP($A$1&amp;"-"&amp;ROW(AO79),基本資料填寫!$A:$DN,COLUMN(基本資料填寫!BC80),0),"")</f>
        <v/>
      </c>
      <c r="BA80" s="47" t="str">
        <f>IFERROR(VLOOKUP($A$1&amp;"-"&amp;ROW(AP79),基本資料填寫!$A:$DN,COLUMN(基本資料填寫!BD80),0),"")</f>
        <v/>
      </c>
      <c r="BB80" s="47" t="str">
        <f>IFERROR(VLOOKUP($A$1&amp;"-"&amp;ROW(AQ79),基本資料填寫!$A:$DN,COLUMN(基本資料填寫!BE80),0),"")</f>
        <v/>
      </c>
      <c r="BC80" s="47" t="str">
        <f>IFERROR(VLOOKUP($A$1&amp;"-"&amp;ROW(AR79),基本資料填寫!$A:$DN,COLUMN(基本資料填寫!BF80),0),"")</f>
        <v/>
      </c>
      <c r="BD80" s="47" t="str">
        <f>IFERROR(VLOOKUP($A$1&amp;"-"&amp;ROW(AS79),基本資料填寫!$A:$DN,COLUMN(基本資料填寫!BG80),0),"")</f>
        <v/>
      </c>
      <c r="BE80" s="47" t="str">
        <f>IFERROR(VLOOKUP($A$1&amp;"-"&amp;ROW(AT79),基本資料填寫!$A:$DN,COLUMN(基本資料填寫!BH80),0),"")</f>
        <v/>
      </c>
      <c r="BF80" s="47" t="str">
        <f>IFERROR(VLOOKUP($A$1&amp;"-"&amp;ROW(AU79),基本資料填寫!$A:$DN,COLUMN(基本資料填寫!BI80),0),"")</f>
        <v/>
      </c>
      <c r="BG80" s="47" t="str">
        <f>IFERROR(VLOOKUP($A$1&amp;"-"&amp;ROW(AV79),基本資料填寫!$A:$DN,COLUMN(基本資料填寫!BJ80),0),"")</f>
        <v/>
      </c>
      <c r="BH80" s="47" t="str">
        <f>IFERROR(VLOOKUP($A$1&amp;"-"&amp;ROW(AW79),基本資料填寫!$A:$DN,COLUMN(基本資料填寫!BK80),0),"")</f>
        <v/>
      </c>
      <c r="BI80" s="47" t="str">
        <f>IFERROR(VLOOKUP($A$1&amp;"-"&amp;ROW(AX79),基本資料填寫!$A:$DN,COLUMN(基本資料填寫!BL80),0),"")</f>
        <v/>
      </c>
      <c r="BJ80" s="47" t="str">
        <f>IFERROR(VLOOKUP($A$1&amp;"-"&amp;ROW(AY79),基本資料填寫!$A:$DN,COLUMN(基本資料填寫!BM80),0),"")</f>
        <v/>
      </c>
      <c r="BK80" s="47" t="str">
        <f>IFERROR(VLOOKUP($A$1&amp;"-"&amp;ROW(AZ79),基本資料填寫!$A:$DN,COLUMN(基本資料填寫!BN80),0),"")</f>
        <v/>
      </c>
      <c r="BL80" s="47" t="str">
        <f>IFERROR(VLOOKUP($A$1&amp;"-"&amp;ROW(BA79),基本資料填寫!$A:$DN,COLUMN(基本資料填寫!BO80),0),"")</f>
        <v/>
      </c>
      <c r="BM80" s="47" t="str">
        <f>IFERROR(VLOOKUP($A$1&amp;"-"&amp;ROW(BB79),基本資料填寫!$A:$DN,COLUMN(基本資料填寫!BP80),0),"")</f>
        <v/>
      </c>
      <c r="BN80" s="47" t="str">
        <f>IFERROR(VLOOKUP($A$1&amp;"-"&amp;ROW(BC79),基本資料填寫!$A:$DN,COLUMN(基本資料填寫!BQ80),0),"")</f>
        <v/>
      </c>
      <c r="BO80" s="47" t="str">
        <f>IFERROR(VLOOKUP($A$1&amp;"-"&amp;ROW(BD79),基本資料填寫!$A:$DN,COLUMN(基本資料填寫!BR80),0),"")</f>
        <v/>
      </c>
    </row>
    <row r="81" spans="2:67" x14ac:dyDescent="0.3">
      <c r="B81" s="47" t="str">
        <f>IFERROR(VLOOKUP($A$1&amp;"-"&amp;ROW(A80),基本資料填寫!$A:$DN,COLUMN(基本資料填寫!K81),0),"")</f>
        <v/>
      </c>
      <c r="C81" s="47" t="str">
        <f>IFERROR(VLOOKUP($A$1&amp;"-"&amp;ROW(B80),基本資料填寫!$A:$DN,COLUMN(基本資料填寫!L81),0),"")</f>
        <v/>
      </c>
      <c r="D81" s="47" t="str">
        <f>IF(E81="","",COUNTA($E$2:E81))</f>
        <v/>
      </c>
      <c r="E81" s="47" t="str">
        <f>IFERROR(VLOOKUP($A$1&amp;"-"&amp;ROW(E80),基本資料填寫!$A:$DN,COLUMN(基本資料填寫!S81),0),"")</f>
        <v/>
      </c>
      <c r="G81" s="47" t="str">
        <f>IFERROR(VLOOKUP($A$1&amp;"-"&amp;ROW(G80),基本資料填寫!$A:$DN,COLUMN(基本資料填寫!V81),0),"")</f>
        <v/>
      </c>
      <c r="H81" s="47" t="str">
        <f>IFERROR(VLOOKUP($A$1&amp;"-"&amp;ROW(BI80),基本資料填寫!$A:$DN,COLUMN(基本資料填寫!BW81),0),"")</f>
        <v/>
      </c>
      <c r="I81" s="47" t="str">
        <f>IFERROR(VLOOKUP($A$1&amp;"-"&amp;ROW(I80),基本資料填寫!$A:$DN,COLUMN(基本資料填寫!AN81),0),"")</f>
        <v/>
      </c>
      <c r="J81" s="47" t="str">
        <f>IFERROR(VLOOKUP($A$1&amp;"-"&amp;ROW(K80),基本資料填寫!$A:$DN,COLUMN(基本資料填寫!R81),0),"")</f>
        <v/>
      </c>
      <c r="K81" s="47" t="str">
        <f>IFERROR(VLOOKUP($A$1&amp;"-"&amp;ROW(AA80),基本資料填寫!$A:$DN,COLUMN(基本資料填寫!BX81),0),"")</f>
        <v/>
      </c>
      <c r="L81" s="47" t="str">
        <f>IFERROR(VLOOKUP($A$1&amp;"-"&amp;ROW(S80),基本資料填寫!$A:$DN,COLUMN(基本資料填寫!Z81),0),"")</f>
        <v/>
      </c>
      <c r="M81" s="47" t="str">
        <f>IFERROR(VLOOKUP($A$1&amp;"-"&amp;ROW(T80),基本資料填寫!$A:$DN,COLUMN(基本資料填寫!AA81),0),"")</f>
        <v/>
      </c>
      <c r="N81" s="47" t="str">
        <f>IFERROR(VLOOKUP($A$1&amp;"-"&amp;ROW(AB80),基本資料填寫!$A:$DN,COLUMN(基本資料填寫!BY81),0),"")</f>
        <v/>
      </c>
      <c r="O81" s="47" t="str">
        <f>IFERROR(VLOOKUP($A$1&amp;"-"&amp;ROW(AC80),基本資料填寫!$A:$DN,COLUMN(基本資料填寫!BZ81),0),"")</f>
        <v/>
      </c>
      <c r="P81" s="47" t="str">
        <f>IFERROR(VLOOKUP($A$1&amp;"-"&amp;ROW(AD80),基本資料填寫!$A:$DN,COLUMN(基本資料填寫!CA81),0),"")</f>
        <v/>
      </c>
      <c r="Q81" s="47" t="str">
        <f>IFERROR(VLOOKUP($A$1&amp;"-"&amp;ROW(J80),基本資料填寫!$A:$DN,COLUMN(基本資料填寫!AO81),0),"")</f>
        <v/>
      </c>
      <c r="R81" s="47" t="str">
        <f>IFERROR(VLOOKUP($A$1&amp;"-"&amp;ROW(AE80),基本資料填寫!$A:$DN,COLUMN(基本資料填寫!CB81),0),"")</f>
        <v/>
      </c>
      <c r="S81" s="47" t="str">
        <f>IFERROR(VLOOKUP($A$1&amp;"-"&amp;ROW(AF80),基本資料填寫!$A:$DN,COLUMN(基本資料填寫!CC81),0),"")</f>
        <v/>
      </c>
      <c r="T81" s="47" t="str">
        <f>IFERROR(VLOOKUP($A$1&amp;"-"&amp;ROW(AG80),基本資料填寫!$A:$DN,COLUMN(基本資料填寫!CD81),0),"")</f>
        <v/>
      </c>
      <c r="U81" s="47" t="str">
        <f>IFERROR(VLOOKUP($A$1&amp;"-"&amp;ROW(AH80),基本資料填寫!$A:$DN,COLUMN(基本資料填寫!CE81),0),"")</f>
        <v/>
      </c>
      <c r="V81" s="47" t="str">
        <f>IFERROR(VLOOKUP($A$1&amp;"-"&amp;ROW(AI80),基本資料填寫!$A:$DN,COLUMN(基本資料填寫!CF81),0),"")</f>
        <v/>
      </c>
      <c r="W81" s="47" t="str">
        <f>IFERROR(VLOOKUP($A$1&amp;"-"&amp;ROW(AJ80),基本資料填寫!$A:$DN,COLUMN(基本資料填寫!CG81),0),"")</f>
        <v/>
      </c>
      <c r="X81" s="47" t="str">
        <f>IFERROR(VLOOKUP($A$1&amp;"-"&amp;ROW(AK80),基本資料填寫!$A:$DN,COLUMN(基本資料填寫!CH81),0),"")</f>
        <v/>
      </c>
      <c r="Y81" s="47" t="str">
        <f>IFERROR(VLOOKUP($A$1&amp;"-"&amp;ROW(AL80),基本資料填寫!$A:$DN,COLUMN(基本資料填寫!CI81),0),"")</f>
        <v/>
      </c>
      <c r="Z81" s="47" t="str">
        <f>IFERROR(VLOOKUP($A$1&amp;"-"&amp;ROW(H80),基本資料填寫!$A:$DN,COLUMN(基本資料填寫!O81),0),"")</f>
        <v/>
      </c>
      <c r="AA81" s="47" t="str">
        <f>IFERROR(VLOOKUP($A$1&amp;"-"&amp;ROW(AM80),基本資料填寫!$A:$DN,COLUMN(基本資料填寫!CJ81),0),"")</f>
        <v/>
      </c>
      <c r="AB81" s="47" t="str">
        <f>IFERROR(VLOOKUP($A$1&amp;"-"&amp;ROW(AN80),基本資料填寫!$A:$DN,COLUMN(基本資料填寫!CK81),0),"")</f>
        <v/>
      </c>
      <c r="AC81" s="47" t="str">
        <f>IFERROR(VLOOKUP($A$1&amp;"-"&amp;ROW(AP80),基本資料填寫!$A:$DN,COLUMN(基本資料填寫!CN81),0),"")</f>
        <v/>
      </c>
      <c r="AD81" s="47" t="str">
        <f>IFERROR(VLOOKUP($A$1&amp;"-"&amp;ROW(AQ80),基本資料填寫!$A:$DN,COLUMN(基本資料填寫!CO81),0),"")</f>
        <v/>
      </c>
      <c r="AE81" s="47" t="str">
        <f>IFERROR(VLOOKUP($A$1&amp;"-"&amp;ROW(AR80),基本資料填寫!$A:$DN,COLUMN(基本資料填寫!CP81),0),"")</f>
        <v/>
      </c>
      <c r="AF81" s="47" t="str">
        <f>IFERROR(VLOOKUP($A$1&amp;"-"&amp;ROW(AS80),基本資料填寫!$A:$DN,COLUMN(基本資料填寫!CQ81),0),"")</f>
        <v/>
      </c>
      <c r="AG81" s="47" t="str">
        <f>IFERROR(VLOOKUP($A$1&amp;"-"&amp;ROW(AT80),基本資料填寫!$A:$DN,COLUMN(基本資料填寫!CR81),0),"")</f>
        <v/>
      </c>
      <c r="AH81" s="47" t="str">
        <f>IFERROR(VLOOKUP($A$1&amp;"-"&amp;ROW(AU80),基本資料填寫!$A:$DN,COLUMN(基本資料填寫!CS81),0),"")</f>
        <v/>
      </c>
      <c r="AI81" s="47" t="str">
        <f>IFERROR(VLOOKUP($A$1&amp;"-"&amp;ROW(P80),基本資料填寫!$A:$DN,COLUMN(基本資料填寫!X81),0),"")</f>
        <v/>
      </c>
      <c r="AJ81" s="47" t="str">
        <f>IFERROR(VLOOKUP($A$1&amp;"-"&amp;ROW(AV80),基本資料填寫!$A:$DN,COLUMN(基本資料填寫!CT81),0),"")</f>
        <v/>
      </c>
      <c r="AK81" s="47" t="str">
        <f>IFERROR(VLOOKUP($A$1&amp;"-"&amp;ROW(AC80),基本資料填寫!$A:$DN,COLUMN(基本資料填寫!AQ81),0),"")</f>
        <v/>
      </c>
      <c r="AL81" s="47" t="str">
        <f>IFERROR(VLOOKUP($A$1&amp;"-"&amp;ROW(AO80),基本資料填寫!$A:$DN,COLUMN(基本資料填寫!CM81),0),"")</f>
        <v/>
      </c>
      <c r="AM81" s="47" t="str">
        <f>IFERROR(VLOOKUP($A$1&amp;"-"&amp;ROW(AD80),基本資料填寫!$A:$DN,COLUMN(基本資料填寫!AR81),0),"")</f>
        <v/>
      </c>
      <c r="AN81" s="47" t="str">
        <f>IFERROR(VLOOKUP($A$1&amp;"-"&amp;ROW(K80),基本資料填寫!$A:$DN,COLUMN(基本資料填寫!AP81),0),"")</f>
        <v/>
      </c>
      <c r="AO81" s="47" t="str">
        <f>IFERROR(VLOOKUP($A$1&amp;"-"&amp;ROW(J80),基本資料填寫!$A:$DN,COLUMN(基本資料填寫!AO81),0),"")</f>
        <v/>
      </c>
      <c r="AP81" s="47" t="str">
        <f>IFERROR(VLOOKUP($A$1&amp;"-"&amp;ROW(AE80),基本資料填寫!$A:$DN,COLUMN(基本資料填寫!AS81),0),"")</f>
        <v/>
      </c>
      <c r="AQ81" s="47" t="str">
        <f>IFERROR(VLOOKUP($A$1&amp;"-"&amp;ROW(AF80),基本資料填寫!$A:$DN,COLUMN(基本資料填寫!AT81),0),"")</f>
        <v/>
      </c>
      <c r="AR81" s="47" t="str">
        <f>IFERROR(VLOOKUP($A$1&amp;"-"&amp;ROW(AG80),基本資料填寫!$A:$DN,COLUMN(基本資料填寫!AU81),0),"")</f>
        <v/>
      </c>
      <c r="AS81" s="47" t="str">
        <f>IFERROR(VLOOKUP($A$1&amp;"-"&amp;ROW(AH80),基本資料填寫!$A:$DN,COLUMN(基本資料填寫!AV81),0),"")</f>
        <v/>
      </c>
      <c r="AT81" s="47" t="str">
        <f>IFERROR(VLOOKUP($A$1&amp;"-"&amp;ROW(AI80),基本資料填寫!$A:$DN,COLUMN(基本資料填寫!AW81),0),"")</f>
        <v/>
      </c>
      <c r="AU81" s="47" t="str">
        <f>IFERROR(VLOOKUP($A$1&amp;"-"&amp;ROW(AJ80),基本資料填寫!$A:$DN,COLUMN(基本資料填寫!AX81),0),"")</f>
        <v/>
      </c>
      <c r="AV81" s="47" t="str">
        <f>IFERROR(VLOOKUP($A$1&amp;"-"&amp;ROW(AK80),基本資料填寫!$A:$DN,COLUMN(基本資料填寫!AY81),0),"")</f>
        <v/>
      </c>
      <c r="AW81" s="47" t="str">
        <f>IFERROR(VLOOKUP($A$1&amp;"-"&amp;ROW(AL80),基本資料填寫!$A:$DN,COLUMN(基本資料填寫!AZ81),0),"")</f>
        <v/>
      </c>
      <c r="AX81" s="47" t="str">
        <f>IFERROR(VLOOKUP($A$1&amp;"-"&amp;ROW(AM80),基本資料填寫!$A:$DN,COLUMN(基本資料填寫!BA81),0),"")</f>
        <v/>
      </c>
      <c r="AY81" s="47" t="str">
        <f>IFERROR(VLOOKUP($A$1&amp;"-"&amp;ROW(AN80),基本資料填寫!$A:$DN,COLUMN(基本資料填寫!BB81),0),"")</f>
        <v/>
      </c>
      <c r="AZ81" s="47" t="str">
        <f>IFERROR(VLOOKUP($A$1&amp;"-"&amp;ROW(AO80),基本資料填寫!$A:$DN,COLUMN(基本資料填寫!BC81),0),"")</f>
        <v/>
      </c>
      <c r="BA81" s="47" t="str">
        <f>IFERROR(VLOOKUP($A$1&amp;"-"&amp;ROW(AP80),基本資料填寫!$A:$DN,COLUMN(基本資料填寫!BD81),0),"")</f>
        <v/>
      </c>
      <c r="BB81" s="47" t="str">
        <f>IFERROR(VLOOKUP($A$1&amp;"-"&amp;ROW(AQ80),基本資料填寫!$A:$DN,COLUMN(基本資料填寫!BE81),0),"")</f>
        <v/>
      </c>
      <c r="BC81" s="47" t="str">
        <f>IFERROR(VLOOKUP($A$1&amp;"-"&amp;ROW(AR80),基本資料填寫!$A:$DN,COLUMN(基本資料填寫!BF81),0),"")</f>
        <v/>
      </c>
      <c r="BD81" s="47" t="str">
        <f>IFERROR(VLOOKUP($A$1&amp;"-"&amp;ROW(AS80),基本資料填寫!$A:$DN,COLUMN(基本資料填寫!BG81),0),"")</f>
        <v/>
      </c>
      <c r="BE81" s="47" t="str">
        <f>IFERROR(VLOOKUP($A$1&amp;"-"&amp;ROW(AT80),基本資料填寫!$A:$DN,COLUMN(基本資料填寫!BH81),0),"")</f>
        <v/>
      </c>
      <c r="BF81" s="47" t="str">
        <f>IFERROR(VLOOKUP($A$1&amp;"-"&amp;ROW(AU80),基本資料填寫!$A:$DN,COLUMN(基本資料填寫!BI81),0),"")</f>
        <v/>
      </c>
      <c r="BG81" s="47" t="str">
        <f>IFERROR(VLOOKUP($A$1&amp;"-"&amp;ROW(AV80),基本資料填寫!$A:$DN,COLUMN(基本資料填寫!BJ81),0),"")</f>
        <v/>
      </c>
      <c r="BH81" s="47" t="str">
        <f>IFERROR(VLOOKUP($A$1&amp;"-"&amp;ROW(AW80),基本資料填寫!$A:$DN,COLUMN(基本資料填寫!BK81),0),"")</f>
        <v/>
      </c>
      <c r="BI81" s="47" t="str">
        <f>IFERROR(VLOOKUP($A$1&amp;"-"&amp;ROW(AX80),基本資料填寫!$A:$DN,COLUMN(基本資料填寫!BL81),0),"")</f>
        <v/>
      </c>
      <c r="BJ81" s="47" t="str">
        <f>IFERROR(VLOOKUP($A$1&amp;"-"&amp;ROW(AY80),基本資料填寫!$A:$DN,COLUMN(基本資料填寫!BM81),0),"")</f>
        <v/>
      </c>
      <c r="BK81" s="47" t="str">
        <f>IFERROR(VLOOKUP($A$1&amp;"-"&amp;ROW(AZ80),基本資料填寫!$A:$DN,COLUMN(基本資料填寫!BN81),0),"")</f>
        <v/>
      </c>
      <c r="BL81" s="47" t="str">
        <f>IFERROR(VLOOKUP($A$1&amp;"-"&amp;ROW(BA80),基本資料填寫!$A:$DN,COLUMN(基本資料填寫!BO81),0),"")</f>
        <v/>
      </c>
      <c r="BM81" s="47" t="str">
        <f>IFERROR(VLOOKUP($A$1&amp;"-"&amp;ROW(BB80),基本資料填寫!$A:$DN,COLUMN(基本資料填寫!BP81),0),"")</f>
        <v/>
      </c>
      <c r="BN81" s="47" t="str">
        <f>IFERROR(VLOOKUP($A$1&amp;"-"&amp;ROW(BC80),基本資料填寫!$A:$DN,COLUMN(基本資料填寫!BQ81),0),"")</f>
        <v/>
      </c>
      <c r="BO81" s="47" t="str">
        <f>IFERROR(VLOOKUP($A$1&amp;"-"&amp;ROW(BD80),基本資料填寫!$A:$DN,COLUMN(基本資料填寫!BR81),0),"")</f>
        <v/>
      </c>
    </row>
    <row r="82" spans="2:67" x14ac:dyDescent="0.3">
      <c r="B82" s="47" t="str">
        <f>IFERROR(VLOOKUP($A$1&amp;"-"&amp;ROW(A81),基本資料填寫!$A:$DN,COLUMN(基本資料填寫!K82),0),"")</f>
        <v/>
      </c>
      <c r="C82" s="47" t="str">
        <f>IFERROR(VLOOKUP($A$1&amp;"-"&amp;ROW(B81),基本資料填寫!$A:$DN,COLUMN(基本資料填寫!L82),0),"")</f>
        <v/>
      </c>
      <c r="D82" s="47" t="str">
        <f>IF(E82="","",COUNTA($E$2:E82))</f>
        <v/>
      </c>
      <c r="E82" s="47" t="str">
        <f>IFERROR(VLOOKUP($A$1&amp;"-"&amp;ROW(E81),基本資料填寫!$A:$DN,COLUMN(基本資料填寫!S82),0),"")</f>
        <v/>
      </c>
      <c r="G82" s="47" t="str">
        <f>IFERROR(VLOOKUP($A$1&amp;"-"&amp;ROW(G81),基本資料填寫!$A:$DN,COLUMN(基本資料填寫!V82),0),"")</f>
        <v/>
      </c>
      <c r="H82" s="47" t="str">
        <f>IFERROR(VLOOKUP($A$1&amp;"-"&amp;ROW(BI81),基本資料填寫!$A:$DN,COLUMN(基本資料填寫!BW82),0),"")</f>
        <v/>
      </c>
      <c r="I82" s="47" t="str">
        <f>IFERROR(VLOOKUP($A$1&amp;"-"&amp;ROW(I81),基本資料填寫!$A:$DN,COLUMN(基本資料填寫!AN82),0),"")</f>
        <v/>
      </c>
      <c r="J82" s="47" t="str">
        <f>IFERROR(VLOOKUP($A$1&amp;"-"&amp;ROW(K81),基本資料填寫!$A:$DN,COLUMN(基本資料填寫!R82),0),"")</f>
        <v/>
      </c>
      <c r="K82" s="47" t="str">
        <f>IFERROR(VLOOKUP($A$1&amp;"-"&amp;ROW(AA81),基本資料填寫!$A:$DN,COLUMN(基本資料填寫!BX82),0),"")</f>
        <v/>
      </c>
      <c r="L82" s="47" t="str">
        <f>IFERROR(VLOOKUP($A$1&amp;"-"&amp;ROW(S81),基本資料填寫!$A:$DN,COLUMN(基本資料填寫!Z82),0),"")</f>
        <v/>
      </c>
      <c r="M82" s="47" t="str">
        <f>IFERROR(VLOOKUP($A$1&amp;"-"&amp;ROW(T81),基本資料填寫!$A:$DN,COLUMN(基本資料填寫!AA82),0),"")</f>
        <v/>
      </c>
      <c r="N82" s="47" t="str">
        <f>IFERROR(VLOOKUP($A$1&amp;"-"&amp;ROW(AB81),基本資料填寫!$A:$DN,COLUMN(基本資料填寫!BY82),0),"")</f>
        <v/>
      </c>
      <c r="O82" s="47" t="str">
        <f>IFERROR(VLOOKUP($A$1&amp;"-"&amp;ROW(AC81),基本資料填寫!$A:$DN,COLUMN(基本資料填寫!BZ82),0),"")</f>
        <v/>
      </c>
      <c r="P82" s="47" t="str">
        <f>IFERROR(VLOOKUP($A$1&amp;"-"&amp;ROW(AD81),基本資料填寫!$A:$DN,COLUMN(基本資料填寫!CA82),0),"")</f>
        <v/>
      </c>
      <c r="Q82" s="47" t="str">
        <f>IFERROR(VLOOKUP($A$1&amp;"-"&amp;ROW(J81),基本資料填寫!$A:$DN,COLUMN(基本資料填寫!AO82),0),"")</f>
        <v/>
      </c>
      <c r="R82" s="47" t="str">
        <f>IFERROR(VLOOKUP($A$1&amp;"-"&amp;ROW(AE81),基本資料填寫!$A:$DN,COLUMN(基本資料填寫!CB82),0),"")</f>
        <v/>
      </c>
      <c r="S82" s="47" t="str">
        <f>IFERROR(VLOOKUP($A$1&amp;"-"&amp;ROW(AF81),基本資料填寫!$A:$DN,COLUMN(基本資料填寫!CC82),0),"")</f>
        <v/>
      </c>
      <c r="T82" s="47" t="str">
        <f>IFERROR(VLOOKUP($A$1&amp;"-"&amp;ROW(AG81),基本資料填寫!$A:$DN,COLUMN(基本資料填寫!CD82),0),"")</f>
        <v/>
      </c>
      <c r="U82" s="47" t="str">
        <f>IFERROR(VLOOKUP($A$1&amp;"-"&amp;ROW(AH81),基本資料填寫!$A:$DN,COLUMN(基本資料填寫!CE82),0),"")</f>
        <v/>
      </c>
      <c r="V82" s="47" t="str">
        <f>IFERROR(VLOOKUP($A$1&amp;"-"&amp;ROW(AI81),基本資料填寫!$A:$DN,COLUMN(基本資料填寫!CF82),0),"")</f>
        <v/>
      </c>
      <c r="W82" s="47" t="str">
        <f>IFERROR(VLOOKUP($A$1&amp;"-"&amp;ROW(AJ81),基本資料填寫!$A:$DN,COLUMN(基本資料填寫!CG82),0),"")</f>
        <v/>
      </c>
      <c r="X82" s="47" t="str">
        <f>IFERROR(VLOOKUP($A$1&amp;"-"&amp;ROW(AK81),基本資料填寫!$A:$DN,COLUMN(基本資料填寫!CH82),0),"")</f>
        <v/>
      </c>
      <c r="Y82" s="47" t="str">
        <f>IFERROR(VLOOKUP($A$1&amp;"-"&amp;ROW(AL81),基本資料填寫!$A:$DN,COLUMN(基本資料填寫!CI82),0),"")</f>
        <v/>
      </c>
      <c r="Z82" s="47" t="str">
        <f>IFERROR(VLOOKUP($A$1&amp;"-"&amp;ROW(H81),基本資料填寫!$A:$DN,COLUMN(基本資料填寫!O82),0),"")</f>
        <v/>
      </c>
      <c r="AA82" s="47" t="str">
        <f>IFERROR(VLOOKUP($A$1&amp;"-"&amp;ROW(AM81),基本資料填寫!$A:$DN,COLUMN(基本資料填寫!CJ82),0),"")</f>
        <v/>
      </c>
      <c r="AB82" s="47" t="str">
        <f>IFERROR(VLOOKUP($A$1&amp;"-"&amp;ROW(AN81),基本資料填寫!$A:$DN,COLUMN(基本資料填寫!CK82),0),"")</f>
        <v/>
      </c>
      <c r="AC82" s="47" t="str">
        <f>IFERROR(VLOOKUP($A$1&amp;"-"&amp;ROW(AP81),基本資料填寫!$A:$DN,COLUMN(基本資料填寫!CN82),0),"")</f>
        <v/>
      </c>
      <c r="AD82" s="47" t="str">
        <f>IFERROR(VLOOKUP($A$1&amp;"-"&amp;ROW(AQ81),基本資料填寫!$A:$DN,COLUMN(基本資料填寫!CO82),0),"")</f>
        <v/>
      </c>
      <c r="AE82" s="47" t="str">
        <f>IFERROR(VLOOKUP($A$1&amp;"-"&amp;ROW(AR81),基本資料填寫!$A:$DN,COLUMN(基本資料填寫!CP82),0),"")</f>
        <v/>
      </c>
      <c r="AF82" s="47" t="str">
        <f>IFERROR(VLOOKUP($A$1&amp;"-"&amp;ROW(AS81),基本資料填寫!$A:$DN,COLUMN(基本資料填寫!CQ82),0),"")</f>
        <v/>
      </c>
      <c r="AG82" s="47" t="str">
        <f>IFERROR(VLOOKUP($A$1&amp;"-"&amp;ROW(AT81),基本資料填寫!$A:$DN,COLUMN(基本資料填寫!CR82),0),"")</f>
        <v/>
      </c>
      <c r="AH82" s="47" t="str">
        <f>IFERROR(VLOOKUP($A$1&amp;"-"&amp;ROW(AU81),基本資料填寫!$A:$DN,COLUMN(基本資料填寫!CS82),0),"")</f>
        <v/>
      </c>
      <c r="AI82" s="47" t="str">
        <f>IFERROR(VLOOKUP($A$1&amp;"-"&amp;ROW(P81),基本資料填寫!$A:$DN,COLUMN(基本資料填寫!X82),0),"")</f>
        <v/>
      </c>
      <c r="AJ82" s="47" t="str">
        <f>IFERROR(VLOOKUP($A$1&amp;"-"&amp;ROW(AV81),基本資料填寫!$A:$DN,COLUMN(基本資料填寫!CT82),0),"")</f>
        <v/>
      </c>
      <c r="AK82" s="47" t="str">
        <f>IFERROR(VLOOKUP($A$1&amp;"-"&amp;ROW(AC81),基本資料填寫!$A:$DN,COLUMN(基本資料填寫!AQ82),0),"")</f>
        <v/>
      </c>
      <c r="AL82" s="47" t="str">
        <f>IFERROR(VLOOKUP($A$1&amp;"-"&amp;ROW(AO81),基本資料填寫!$A:$DN,COLUMN(基本資料填寫!CM82),0),"")</f>
        <v/>
      </c>
      <c r="AM82" s="47" t="str">
        <f>IFERROR(VLOOKUP($A$1&amp;"-"&amp;ROW(AD81),基本資料填寫!$A:$DN,COLUMN(基本資料填寫!AR82),0),"")</f>
        <v/>
      </c>
      <c r="AN82" s="47" t="str">
        <f>IFERROR(VLOOKUP($A$1&amp;"-"&amp;ROW(K81),基本資料填寫!$A:$DN,COLUMN(基本資料填寫!AP82),0),"")</f>
        <v/>
      </c>
      <c r="AO82" s="47" t="str">
        <f>IFERROR(VLOOKUP($A$1&amp;"-"&amp;ROW(J81),基本資料填寫!$A:$DN,COLUMN(基本資料填寫!AO82),0),"")</f>
        <v/>
      </c>
      <c r="AP82" s="47" t="str">
        <f>IFERROR(VLOOKUP($A$1&amp;"-"&amp;ROW(AE81),基本資料填寫!$A:$DN,COLUMN(基本資料填寫!AS82),0),"")</f>
        <v/>
      </c>
      <c r="AQ82" s="47" t="str">
        <f>IFERROR(VLOOKUP($A$1&amp;"-"&amp;ROW(AF81),基本資料填寫!$A:$DN,COLUMN(基本資料填寫!AT82),0),"")</f>
        <v/>
      </c>
      <c r="AR82" s="47" t="str">
        <f>IFERROR(VLOOKUP($A$1&amp;"-"&amp;ROW(AG81),基本資料填寫!$A:$DN,COLUMN(基本資料填寫!AU82),0),"")</f>
        <v/>
      </c>
      <c r="AS82" s="47" t="str">
        <f>IFERROR(VLOOKUP($A$1&amp;"-"&amp;ROW(AH81),基本資料填寫!$A:$DN,COLUMN(基本資料填寫!AV82),0),"")</f>
        <v/>
      </c>
      <c r="AT82" s="47" t="str">
        <f>IFERROR(VLOOKUP($A$1&amp;"-"&amp;ROW(AI81),基本資料填寫!$A:$DN,COLUMN(基本資料填寫!AW82),0),"")</f>
        <v/>
      </c>
      <c r="AU82" s="47" t="str">
        <f>IFERROR(VLOOKUP($A$1&amp;"-"&amp;ROW(AJ81),基本資料填寫!$A:$DN,COLUMN(基本資料填寫!AX82),0),"")</f>
        <v/>
      </c>
      <c r="AV82" s="47" t="str">
        <f>IFERROR(VLOOKUP($A$1&amp;"-"&amp;ROW(AK81),基本資料填寫!$A:$DN,COLUMN(基本資料填寫!AY82),0),"")</f>
        <v/>
      </c>
      <c r="AW82" s="47" t="str">
        <f>IFERROR(VLOOKUP($A$1&amp;"-"&amp;ROW(AL81),基本資料填寫!$A:$DN,COLUMN(基本資料填寫!AZ82),0),"")</f>
        <v/>
      </c>
      <c r="AX82" s="47" t="str">
        <f>IFERROR(VLOOKUP($A$1&amp;"-"&amp;ROW(AM81),基本資料填寫!$A:$DN,COLUMN(基本資料填寫!BA82),0),"")</f>
        <v/>
      </c>
      <c r="AY82" s="47" t="str">
        <f>IFERROR(VLOOKUP($A$1&amp;"-"&amp;ROW(AN81),基本資料填寫!$A:$DN,COLUMN(基本資料填寫!BB82),0),"")</f>
        <v/>
      </c>
      <c r="AZ82" s="47" t="str">
        <f>IFERROR(VLOOKUP($A$1&amp;"-"&amp;ROW(AO81),基本資料填寫!$A:$DN,COLUMN(基本資料填寫!BC82),0),"")</f>
        <v/>
      </c>
      <c r="BA82" s="47" t="str">
        <f>IFERROR(VLOOKUP($A$1&amp;"-"&amp;ROW(AP81),基本資料填寫!$A:$DN,COLUMN(基本資料填寫!BD82),0),"")</f>
        <v/>
      </c>
      <c r="BB82" s="47" t="str">
        <f>IFERROR(VLOOKUP($A$1&amp;"-"&amp;ROW(AQ81),基本資料填寫!$A:$DN,COLUMN(基本資料填寫!BE82),0),"")</f>
        <v/>
      </c>
      <c r="BC82" s="47" t="str">
        <f>IFERROR(VLOOKUP($A$1&amp;"-"&amp;ROW(AR81),基本資料填寫!$A:$DN,COLUMN(基本資料填寫!BF82),0),"")</f>
        <v/>
      </c>
      <c r="BD82" s="47" t="str">
        <f>IFERROR(VLOOKUP($A$1&amp;"-"&amp;ROW(AS81),基本資料填寫!$A:$DN,COLUMN(基本資料填寫!BG82),0),"")</f>
        <v/>
      </c>
      <c r="BE82" s="47" t="str">
        <f>IFERROR(VLOOKUP($A$1&amp;"-"&amp;ROW(AT81),基本資料填寫!$A:$DN,COLUMN(基本資料填寫!BH82),0),"")</f>
        <v/>
      </c>
      <c r="BF82" s="47" t="str">
        <f>IFERROR(VLOOKUP($A$1&amp;"-"&amp;ROW(AU81),基本資料填寫!$A:$DN,COLUMN(基本資料填寫!BI82),0),"")</f>
        <v/>
      </c>
      <c r="BG82" s="47" t="str">
        <f>IFERROR(VLOOKUP($A$1&amp;"-"&amp;ROW(AV81),基本資料填寫!$A:$DN,COLUMN(基本資料填寫!BJ82),0),"")</f>
        <v/>
      </c>
      <c r="BH82" s="47" t="str">
        <f>IFERROR(VLOOKUP($A$1&amp;"-"&amp;ROW(AW81),基本資料填寫!$A:$DN,COLUMN(基本資料填寫!BK82),0),"")</f>
        <v/>
      </c>
      <c r="BI82" s="47" t="str">
        <f>IFERROR(VLOOKUP($A$1&amp;"-"&amp;ROW(AX81),基本資料填寫!$A:$DN,COLUMN(基本資料填寫!BL82),0),"")</f>
        <v/>
      </c>
      <c r="BJ82" s="47" t="str">
        <f>IFERROR(VLOOKUP($A$1&amp;"-"&amp;ROW(AY81),基本資料填寫!$A:$DN,COLUMN(基本資料填寫!BM82),0),"")</f>
        <v/>
      </c>
      <c r="BK82" s="47" t="str">
        <f>IFERROR(VLOOKUP($A$1&amp;"-"&amp;ROW(AZ81),基本資料填寫!$A:$DN,COLUMN(基本資料填寫!BN82),0),"")</f>
        <v/>
      </c>
      <c r="BL82" s="47" t="str">
        <f>IFERROR(VLOOKUP($A$1&amp;"-"&amp;ROW(BA81),基本資料填寫!$A:$DN,COLUMN(基本資料填寫!BO82),0),"")</f>
        <v/>
      </c>
      <c r="BM82" s="47" t="str">
        <f>IFERROR(VLOOKUP($A$1&amp;"-"&amp;ROW(BB81),基本資料填寫!$A:$DN,COLUMN(基本資料填寫!BP82),0),"")</f>
        <v/>
      </c>
      <c r="BN82" s="47" t="str">
        <f>IFERROR(VLOOKUP($A$1&amp;"-"&amp;ROW(BC81),基本資料填寫!$A:$DN,COLUMN(基本資料填寫!BQ82),0),"")</f>
        <v/>
      </c>
      <c r="BO82" s="47" t="str">
        <f>IFERROR(VLOOKUP($A$1&amp;"-"&amp;ROW(BD81),基本資料填寫!$A:$DN,COLUMN(基本資料填寫!BR82),0),"")</f>
        <v/>
      </c>
    </row>
    <row r="83" spans="2:67" x14ac:dyDescent="0.3">
      <c r="B83" s="47" t="str">
        <f>IFERROR(VLOOKUP($A$1&amp;"-"&amp;ROW(A82),基本資料填寫!$A:$DN,COLUMN(基本資料填寫!K83),0),"")</f>
        <v/>
      </c>
      <c r="C83" s="47" t="str">
        <f>IFERROR(VLOOKUP($A$1&amp;"-"&amp;ROW(B82),基本資料填寫!$A:$DN,COLUMN(基本資料填寫!L83),0),"")</f>
        <v/>
      </c>
      <c r="D83" s="47" t="str">
        <f>IF(E83="","",COUNTA($E$2:E83))</f>
        <v/>
      </c>
      <c r="E83" s="47" t="str">
        <f>IFERROR(VLOOKUP($A$1&amp;"-"&amp;ROW(E82),基本資料填寫!$A:$DN,COLUMN(基本資料填寫!S83),0),"")</f>
        <v/>
      </c>
      <c r="G83" s="47" t="str">
        <f>IFERROR(VLOOKUP($A$1&amp;"-"&amp;ROW(G82),基本資料填寫!$A:$DN,COLUMN(基本資料填寫!V83),0),"")</f>
        <v/>
      </c>
      <c r="H83" s="47" t="str">
        <f>IFERROR(VLOOKUP($A$1&amp;"-"&amp;ROW(BI82),基本資料填寫!$A:$DN,COLUMN(基本資料填寫!BW83),0),"")</f>
        <v/>
      </c>
      <c r="I83" s="47" t="str">
        <f>IFERROR(VLOOKUP($A$1&amp;"-"&amp;ROW(I82),基本資料填寫!$A:$DN,COLUMN(基本資料填寫!AN83),0),"")</f>
        <v/>
      </c>
      <c r="J83" s="47" t="str">
        <f>IFERROR(VLOOKUP($A$1&amp;"-"&amp;ROW(K82),基本資料填寫!$A:$DN,COLUMN(基本資料填寫!R83),0),"")</f>
        <v/>
      </c>
      <c r="K83" s="47" t="str">
        <f>IFERROR(VLOOKUP($A$1&amp;"-"&amp;ROW(AA82),基本資料填寫!$A:$DN,COLUMN(基本資料填寫!BX83),0),"")</f>
        <v/>
      </c>
      <c r="L83" s="47" t="str">
        <f>IFERROR(VLOOKUP($A$1&amp;"-"&amp;ROW(S82),基本資料填寫!$A:$DN,COLUMN(基本資料填寫!Z83),0),"")</f>
        <v/>
      </c>
      <c r="M83" s="47" t="str">
        <f>IFERROR(VLOOKUP($A$1&amp;"-"&amp;ROW(T82),基本資料填寫!$A:$DN,COLUMN(基本資料填寫!AA83),0),"")</f>
        <v/>
      </c>
      <c r="N83" s="47" t="str">
        <f>IFERROR(VLOOKUP($A$1&amp;"-"&amp;ROW(AB82),基本資料填寫!$A:$DN,COLUMN(基本資料填寫!BY83),0),"")</f>
        <v/>
      </c>
      <c r="O83" s="47" t="str">
        <f>IFERROR(VLOOKUP($A$1&amp;"-"&amp;ROW(AC82),基本資料填寫!$A:$DN,COLUMN(基本資料填寫!BZ83),0),"")</f>
        <v/>
      </c>
      <c r="P83" s="47" t="str">
        <f>IFERROR(VLOOKUP($A$1&amp;"-"&amp;ROW(AD82),基本資料填寫!$A:$DN,COLUMN(基本資料填寫!CA83),0),"")</f>
        <v/>
      </c>
      <c r="Q83" s="47" t="str">
        <f>IFERROR(VLOOKUP($A$1&amp;"-"&amp;ROW(J82),基本資料填寫!$A:$DN,COLUMN(基本資料填寫!AO83),0),"")</f>
        <v/>
      </c>
      <c r="R83" s="47" t="str">
        <f>IFERROR(VLOOKUP($A$1&amp;"-"&amp;ROW(AE82),基本資料填寫!$A:$DN,COLUMN(基本資料填寫!CB83),0),"")</f>
        <v/>
      </c>
      <c r="S83" s="47" t="str">
        <f>IFERROR(VLOOKUP($A$1&amp;"-"&amp;ROW(AF82),基本資料填寫!$A:$DN,COLUMN(基本資料填寫!CC83),0),"")</f>
        <v/>
      </c>
      <c r="T83" s="47" t="str">
        <f>IFERROR(VLOOKUP($A$1&amp;"-"&amp;ROW(AG82),基本資料填寫!$A:$DN,COLUMN(基本資料填寫!CD83),0),"")</f>
        <v/>
      </c>
      <c r="U83" s="47" t="str">
        <f>IFERROR(VLOOKUP($A$1&amp;"-"&amp;ROW(AH82),基本資料填寫!$A:$DN,COLUMN(基本資料填寫!CE83),0),"")</f>
        <v/>
      </c>
      <c r="V83" s="47" t="str">
        <f>IFERROR(VLOOKUP($A$1&amp;"-"&amp;ROW(AI82),基本資料填寫!$A:$DN,COLUMN(基本資料填寫!CF83),0),"")</f>
        <v/>
      </c>
      <c r="W83" s="47" t="str">
        <f>IFERROR(VLOOKUP($A$1&amp;"-"&amp;ROW(AJ82),基本資料填寫!$A:$DN,COLUMN(基本資料填寫!CG83),0),"")</f>
        <v/>
      </c>
      <c r="X83" s="47" t="str">
        <f>IFERROR(VLOOKUP($A$1&amp;"-"&amp;ROW(AK82),基本資料填寫!$A:$DN,COLUMN(基本資料填寫!CH83),0),"")</f>
        <v/>
      </c>
      <c r="Y83" s="47" t="str">
        <f>IFERROR(VLOOKUP($A$1&amp;"-"&amp;ROW(AL82),基本資料填寫!$A:$DN,COLUMN(基本資料填寫!CI83),0),"")</f>
        <v/>
      </c>
      <c r="Z83" s="47" t="str">
        <f>IFERROR(VLOOKUP($A$1&amp;"-"&amp;ROW(H82),基本資料填寫!$A:$DN,COLUMN(基本資料填寫!O83),0),"")</f>
        <v/>
      </c>
      <c r="AA83" s="47" t="str">
        <f>IFERROR(VLOOKUP($A$1&amp;"-"&amp;ROW(AM82),基本資料填寫!$A:$DN,COLUMN(基本資料填寫!CJ83),0),"")</f>
        <v/>
      </c>
      <c r="AB83" s="47" t="str">
        <f>IFERROR(VLOOKUP($A$1&amp;"-"&amp;ROW(AN82),基本資料填寫!$A:$DN,COLUMN(基本資料填寫!CK83),0),"")</f>
        <v/>
      </c>
      <c r="AC83" s="47" t="str">
        <f>IFERROR(VLOOKUP($A$1&amp;"-"&amp;ROW(AP82),基本資料填寫!$A:$DN,COLUMN(基本資料填寫!CN83),0),"")</f>
        <v/>
      </c>
      <c r="AD83" s="47" t="str">
        <f>IFERROR(VLOOKUP($A$1&amp;"-"&amp;ROW(AQ82),基本資料填寫!$A:$DN,COLUMN(基本資料填寫!CO83),0),"")</f>
        <v/>
      </c>
      <c r="AE83" s="47" t="str">
        <f>IFERROR(VLOOKUP($A$1&amp;"-"&amp;ROW(AR82),基本資料填寫!$A:$DN,COLUMN(基本資料填寫!CP83),0),"")</f>
        <v/>
      </c>
      <c r="AF83" s="47" t="str">
        <f>IFERROR(VLOOKUP($A$1&amp;"-"&amp;ROW(AS82),基本資料填寫!$A:$DN,COLUMN(基本資料填寫!CQ83),0),"")</f>
        <v/>
      </c>
      <c r="AG83" s="47" t="str">
        <f>IFERROR(VLOOKUP($A$1&amp;"-"&amp;ROW(AT82),基本資料填寫!$A:$DN,COLUMN(基本資料填寫!CR83),0),"")</f>
        <v/>
      </c>
      <c r="AH83" s="47" t="str">
        <f>IFERROR(VLOOKUP($A$1&amp;"-"&amp;ROW(AU82),基本資料填寫!$A:$DN,COLUMN(基本資料填寫!CS83),0),"")</f>
        <v/>
      </c>
      <c r="AI83" s="47" t="str">
        <f>IFERROR(VLOOKUP($A$1&amp;"-"&amp;ROW(P82),基本資料填寫!$A:$DN,COLUMN(基本資料填寫!X83),0),"")</f>
        <v/>
      </c>
      <c r="AJ83" s="47" t="str">
        <f>IFERROR(VLOOKUP($A$1&amp;"-"&amp;ROW(AV82),基本資料填寫!$A:$DN,COLUMN(基本資料填寫!CT83),0),"")</f>
        <v/>
      </c>
      <c r="AK83" s="47" t="str">
        <f>IFERROR(VLOOKUP($A$1&amp;"-"&amp;ROW(AC82),基本資料填寫!$A:$DN,COLUMN(基本資料填寫!AQ83),0),"")</f>
        <v/>
      </c>
      <c r="AL83" s="47" t="str">
        <f>IFERROR(VLOOKUP($A$1&amp;"-"&amp;ROW(AO82),基本資料填寫!$A:$DN,COLUMN(基本資料填寫!CM83),0),"")</f>
        <v/>
      </c>
      <c r="AM83" s="47" t="str">
        <f>IFERROR(VLOOKUP($A$1&amp;"-"&amp;ROW(AD82),基本資料填寫!$A:$DN,COLUMN(基本資料填寫!AR83),0),"")</f>
        <v/>
      </c>
      <c r="AN83" s="47" t="str">
        <f>IFERROR(VLOOKUP($A$1&amp;"-"&amp;ROW(K82),基本資料填寫!$A:$DN,COLUMN(基本資料填寫!AP83),0),"")</f>
        <v/>
      </c>
      <c r="AO83" s="47" t="str">
        <f>IFERROR(VLOOKUP($A$1&amp;"-"&amp;ROW(J82),基本資料填寫!$A:$DN,COLUMN(基本資料填寫!AO83),0),"")</f>
        <v/>
      </c>
      <c r="AP83" s="47" t="str">
        <f>IFERROR(VLOOKUP($A$1&amp;"-"&amp;ROW(AE82),基本資料填寫!$A:$DN,COLUMN(基本資料填寫!AS83),0),"")</f>
        <v/>
      </c>
      <c r="AQ83" s="47" t="str">
        <f>IFERROR(VLOOKUP($A$1&amp;"-"&amp;ROW(AF82),基本資料填寫!$A:$DN,COLUMN(基本資料填寫!AT83),0),"")</f>
        <v/>
      </c>
      <c r="AR83" s="47" t="str">
        <f>IFERROR(VLOOKUP($A$1&amp;"-"&amp;ROW(AG82),基本資料填寫!$A:$DN,COLUMN(基本資料填寫!AU83),0),"")</f>
        <v/>
      </c>
      <c r="AS83" s="47" t="str">
        <f>IFERROR(VLOOKUP($A$1&amp;"-"&amp;ROW(AH82),基本資料填寫!$A:$DN,COLUMN(基本資料填寫!AV83),0),"")</f>
        <v/>
      </c>
      <c r="AT83" s="47" t="str">
        <f>IFERROR(VLOOKUP($A$1&amp;"-"&amp;ROW(AI82),基本資料填寫!$A:$DN,COLUMN(基本資料填寫!AW83),0),"")</f>
        <v/>
      </c>
      <c r="AU83" s="47" t="str">
        <f>IFERROR(VLOOKUP($A$1&amp;"-"&amp;ROW(AJ82),基本資料填寫!$A:$DN,COLUMN(基本資料填寫!AX83),0),"")</f>
        <v/>
      </c>
      <c r="AV83" s="47" t="str">
        <f>IFERROR(VLOOKUP($A$1&amp;"-"&amp;ROW(AK82),基本資料填寫!$A:$DN,COLUMN(基本資料填寫!AY83),0),"")</f>
        <v/>
      </c>
      <c r="AW83" s="47" t="str">
        <f>IFERROR(VLOOKUP($A$1&amp;"-"&amp;ROW(AL82),基本資料填寫!$A:$DN,COLUMN(基本資料填寫!AZ83),0),"")</f>
        <v/>
      </c>
      <c r="AX83" s="47" t="str">
        <f>IFERROR(VLOOKUP($A$1&amp;"-"&amp;ROW(AM82),基本資料填寫!$A:$DN,COLUMN(基本資料填寫!BA83),0),"")</f>
        <v/>
      </c>
      <c r="AY83" s="47" t="str">
        <f>IFERROR(VLOOKUP($A$1&amp;"-"&amp;ROW(AN82),基本資料填寫!$A:$DN,COLUMN(基本資料填寫!BB83),0),"")</f>
        <v/>
      </c>
      <c r="AZ83" s="47" t="str">
        <f>IFERROR(VLOOKUP($A$1&amp;"-"&amp;ROW(AO82),基本資料填寫!$A:$DN,COLUMN(基本資料填寫!BC83),0),"")</f>
        <v/>
      </c>
      <c r="BA83" s="47" t="str">
        <f>IFERROR(VLOOKUP($A$1&amp;"-"&amp;ROW(AP82),基本資料填寫!$A:$DN,COLUMN(基本資料填寫!BD83),0),"")</f>
        <v/>
      </c>
      <c r="BB83" s="47" t="str">
        <f>IFERROR(VLOOKUP($A$1&amp;"-"&amp;ROW(AQ82),基本資料填寫!$A:$DN,COLUMN(基本資料填寫!BE83),0),"")</f>
        <v/>
      </c>
      <c r="BC83" s="47" t="str">
        <f>IFERROR(VLOOKUP($A$1&amp;"-"&amp;ROW(AR82),基本資料填寫!$A:$DN,COLUMN(基本資料填寫!BF83),0),"")</f>
        <v/>
      </c>
      <c r="BD83" s="47" t="str">
        <f>IFERROR(VLOOKUP($A$1&amp;"-"&amp;ROW(AS82),基本資料填寫!$A:$DN,COLUMN(基本資料填寫!BG83),0),"")</f>
        <v/>
      </c>
      <c r="BE83" s="47" t="str">
        <f>IFERROR(VLOOKUP($A$1&amp;"-"&amp;ROW(AT82),基本資料填寫!$A:$DN,COLUMN(基本資料填寫!BH83),0),"")</f>
        <v/>
      </c>
      <c r="BF83" s="47" t="str">
        <f>IFERROR(VLOOKUP($A$1&amp;"-"&amp;ROW(AU82),基本資料填寫!$A:$DN,COLUMN(基本資料填寫!BI83),0),"")</f>
        <v/>
      </c>
      <c r="BG83" s="47" t="str">
        <f>IFERROR(VLOOKUP($A$1&amp;"-"&amp;ROW(AV82),基本資料填寫!$A:$DN,COLUMN(基本資料填寫!BJ83),0),"")</f>
        <v/>
      </c>
      <c r="BH83" s="47" t="str">
        <f>IFERROR(VLOOKUP($A$1&amp;"-"&amp;ROW(AW82),基本資料填寫!$A:$DN,COLUMN(基本資料填寫!BK83),0),"")</f>
        <v/>
      </c>
      <c r="BI83" s="47" t="str">
        <f>IFERROR(VLOOKUP($A$1&amp;"-"&amp;ROW(AX82),基本資料填寫!$A:$DN,COLUMN(基本資料填寫!BL83),0),"")</f>
        <v/>
      </c>
      <c r="BJ83" s="47" t="str">
        <f>IFERROR(VLOOKUP($A$1&amp;"-"&amp;ROW(AY82),基本資料填寫!$A:$DN,COLUMN(基本資料填寫!BM83),0),"")</f>
        <v/>
      </c>
      <c r="BK83" s="47" t="str">
        <f>IFERROR(VLOOKUP($A$1&amp;"-"&amp;ROW(AZ82),基本資料填寫!$A:$DN,COLUMN(基本資料填寫!BN83),0),"")</f>
        <v/>
      </c>
      <c r="BL83" s="47" t="str">
        <f>IFERROR(VLOOKUP($A$1&amp;"-"&amp;ROW(BA82),基本資料填寫!$A:$DN,COLUMN(基本資料填寫!BO83),0),"")</f>
        <v/>
      </c>
      <c r="BM83" s="47" t="str">
        <f>IFERROR(VLOOKUP($A$1&amp;"-"&amp;ROW(BB82),基本資料填寫!$A:$DN,COLUMN(基本資料填寫!BP83),0),"")</f>
        <v/>
      </c>
      <c r="BN83" s="47" t="str">
        <f>IFERROR(VLOOKUP($A$1&amp;"-"&amp;ROW(BC82),基本資料填寫!$A:$DN,COLUMN(基本資料填寫!BQ83),0),"")</f>
        <v/>
      </c>
      <c r="BO83" s="47" t="str">
        <f>IFERROR(VLOOKUP($A$1&amp;"-"&amp;ROW(BD82),基本資料填寫!$A:$DN,COLUMN(基本資料填寫!BR83),0),"")</f>
        <v/>
      </c>
    </row>
    <row r="84" spans="2:67" x14ac:dyDescent="0.3">
      <c r="B84" s="47" t="str">
        <f>IFERROR(VLOOKUP($A$1&amp;"-"&amp;ROW(A83),基本資料填寫!$A:$DN,COLUMN(基本資料填寫!K84),0),"")</f>
        <v/>
      </c>
      <c r="C84" s="47" t="str">
        <f>IFERROR(VLOOKUP($A$1&amp;"-"&amp;ROW(B83),基本資料填寫!$A:$DN,COLUMN(基本資料填寫!L84),0),"")</f>
        <v/>
      </c>
      <c r="D84" s="47" t="str">
        <f>IF(E84="","",COUNTA($E$2:E84))</f>
        <v/>
      </c>
      <c r="E84" s="47" t="str">
        <f>IFERROR(VLOOKUP($A$1&amp;"-"&amp;ROW(E83),基本資料填寫!$A:$DN,COLUMN(基本資料填寫!S84),0),"")</f>
        <v/>
      </c>
      <c r="G84" s="47" t="str">
        <f>IFERROR(VLOOKUP($A$1&amp;"-"&amp;ROW(G83),基本資料填寫!$A:$DN,COLUMN(基本資料填寫!V84),0),"")</f>
        <v/>
      </c>
      <c r="H84" s="47" t="str">
        <f>IFERROR(VLOOKUP($A$1&amp;"-"&amp;ROW(BI83),基本資料填寫!$A:$DN,COLUMN(基本資料填寫!BW84),0),"")</f>
        <v/>
      </c>
      <c r="I84" s="47" t="str">
        <f>IFERROR(VLOOKUP($A$1&amp;"-"&amp;ROW(I83),基本資料填寫!$A:$DN,COLUMN(基本資料填寫!AN84),0),"")</f>
        <v/>
      </c>
      <c r="J84" s="47" t="str">
        <f>IFERROR(VLOOKUP($A$1&amp;"-"&amp;ROW(K83),基本資料填寫!$A:$DN,COLUMN(基本資料填寫!R84),0),"")</f>
        <v/>
      </c>
      <c r="K84" s="47" t="str">
        <f>IFERROR(VLOOKUP($A$1&amp;"-"&amp;ROW(AA83),基本資料填寫!$A:$DN,COLUMN(基本資料填寫!BX84),0),"")</f>
        <v/>
      </c>
      <c r="L84" s="47" t="str">
        <f>IFERROR(VLOOKUP($A$1&amp;"-"&amp;ROW(S83),基本資料填寫!$A:$DN,COLUMN(基本資料填寫!Z84),0),"")</f>
        <v/>
      </c>
      <c r="M84" s="47" t="str">
        <f>IFERROR(VLOOKUP($A$1&amp;"-"&amp;ROW(T83),基本資料填寫!$A:$DN,COLUMN(基本資料填寫!AA84),0),"")</f>
        <v/>
      </c>
      <c r="N84" s="47" t="str">
        <f>IFERROR(VLOOKUP($A$1&amp;"-"&amp;ROW(AB83),基本資料填寫!$A:$DN,COLUMN(基本資料填寫!BY84),0),"")</f>
        <v/>
      </c>
      <c r="O84" s="47" t="str">
        <f>IFERROR(VLOOKUP($A$1&amp;"-"&amp;ROW(AC83),基本資料填寫!$A:$DN,COLUMN(基本資料填寫!BZ84),0),"")</f>
        <v/>
      </c>
      <c r="P84" s="47" t="str">
        <f>IFERROR(VLOOKUP($A$1&amp;"-"&amp;ROW(AD83),基本資料填寫!$A:$DN,COLUMN(基本資料填寫!CA84),0),"")</f>
        <v/>
      </c>
      <c r="Q84" s="47" t="str">
        <f>IFERROR(VLOOKUP($A$1&amp;"-"&amp;ROW(J83),基本資料填寫!$A:$DN,COLUMN(基本資料填寫!AO84),0),"")</f>
        <v/>
      </c>
      <c r="R84" s="47" t="str">
        <f>IFERROR(VLOOKUP($A$1&amp;"-"&amp;ROW(AE83),基本資料填寫!$A:$DN,COLUMN(基本資料填寫!CB84),0),"")</f>
        <v/>
      </c>
      <c r="S84" s="47" t="str">
        <f>IFERROR(VLOOKUP($A$1&amp;"-"&amp;ROW(AF83),基本資料填寫!$A:$DN,COLUMN(基本資料填寫!CC84),0),"")</f>
        <v/>
      </c>
      <c r="T84" s="47" t="str">
        <f>IFERROR(VLOOKUP($A$1&amp;"-"&amp;ROW(AG83),基本資料填寫!$A:$DN,COLUMN(基本資料填寫!CD84),0),"")</f>
        <v/>
      </c>
      <c r="U84" s="47" t="str">
        <f>IFERROR(VLOOKUP($A$1&amp;"-"&amp;ROW(AH83),基本資料填寫!$A:$DN,COLUMN(基本資料填寫!CE84),0),"")</f>
        <v/>
      </c>
      <c r="V84" s="47" t="str">
        <f>IFERROR(VLOOKUP($A$1&amp;"-"&amp;ROW(AI83),基本資料填寫!$A:$DN,COLUMN(基本資料填寫!CF84),0),"")</f>
        <v/>
      </c>
      <c r="W84" s="47" t="str">
        <f>IFERROR(VLOOKUP($A$1&amp;"-"&amp;ROW(AJ83),基本資料填寫!$A:$DN,COLUMN(基本資料填寫!CG84),0),"")</f>
        <v/>
      </c>
      <c r="X84" s="47" t="str">
        <f>IFERROR(VLOOKUP($A$1&amp;"-"&amp;ROW(AK83),基本資料填寫!$A:$DN,COLUMN(基本資料填寫!CH84),0),"")</f>
        <v/>
      </c>
      <c r="Y84" s="47" t="str">
        <f>IFERROR(VLOOKUP($A$1&amp;"-"&amp;ROW(AL83),基本資料填寫!$A:$DN,COLUMN(基本資料填寫!CI84),0),"")</f>
        <v/>
      </c>
      <c r="Z84" s="47" t="str">
        <f>IFERROR(VLOOKUP($A$1&amp;"-"&amp;ROW(H83),基本資料填寫!$A:$DN,COLUMN(基本資料填寫!O84),0),"")</f>
        <v/>
      </c>
      <c r="AA84" s="47" t="str">
        <f>IFERROR(VLOOKUP($A$1&amp;"-"&amp;ROW(AM83),基本資料填寫!$A:$DN,COLUMN(基本資料填寫!CJ84),0),"")</f>
        <v/>
      </c>
      <c r="AB84" s="47" t="str">
        <f>IFERROR(VLOOKUP($A$1&amp;"-"&amp;ROW(AN83),基本資料填寫!$A:$DN,COLUMN(基本資料填寫!CK84),0),"")</f>
        <v/>
      </c>
      <c r="AC84" s="47" t="str">
        <f>IFERROR(VLOOKUP($A$1&amp;"-"&amp;ROW(AP83),基本資料填寫!$A:$DN,COLUMN(基本資料填寫!CN84),0),"")</f>
        <v/>
      </c>
      <c r="AD84" s="47" t="str">
        <f>IFERROR(VLOOKUP($A$1&amp;"-"&amp;ROW(AQ83),基本資料填寫!$A:$DN,COLUMN(基本資料填寫!CO84),0),"")</f>
        <v/>
      </c>
      <c r="AE84" s="47" t="str">
        <f>IFERROR(VLOOKUP($A$1&amp;"-"&amp;ROW(AR83),基本資料填寫!$A:$DN,COLUMN(基本資料填寫!CP84),0),"")</f>
        <v/>
      </c>
      <c r="AF84" s="47" t="str">
        <f>IFERROR(VLOOKUP($A$1&amp;"-"&amp;ROW(AS83),基本資料填寫!$A:$DN,COLUMN(基本資料填寫!CQ84),0),"")</f>
        <v/>
      </c>
      <c r="AG84" s="47" t="str">
        <f>IFERROR(VLOOKUP($A$1&amp;"-"&amp;ROW(AT83),基本資料填寫!$A:$DN,COLUMN(基本資料填寫!CR84),0),"")</f>
        <v/>
      </c>
      <c r="AH84" s="47" t="str">
        <f>IFERROR(VLOOKUP($A$1&amp;"-"&amp;ROW(AU83),基本資料填寫!$A:$DN,COLUMN(基本資料填寫!CS84),0),"")</f>
        <v/>
      </c>
      <c r="AI84" s="47" t="str">
        <f>IFERROR(VLOOKUP($A$1&amp;"-"&amp;ROW(P83),基本資料填寫!$A:$DN,COLUMN(基本資料填寫!X84),0),"")</f>
        <v/>
      </c>
      <c r="AJ84" s="47" t="str">
        <f>IFERROR(VLOOKUP($A$1&amp;"-"&amp;ROW(AV83),基本資料填寫!$A:$DN,COLUMN(基本資料填寫!CT84),0),"")</f>
        <v/>
      </c>
      <c r="AK84" s="47" t="str">
        <f>IFERROR(VLOOKUP($A$1&amp;"-"&amp;ROW(AC83),基本資料填寫!$A:$DN,COLUMN(基本資料填寫!AQ84),0),"")</f>
        <v/>
      </c>
      <c r="AL84" s="47" t="str">
        <f>IFERROR(VLOOKUP($A$1&amp;"-"&amp;ROW(AO83),基本資料填寫!$A:$DN,COLUMN(基本資料填寫!CM84),0),"")</f>
        <v/>
      </c>
      <c r="AM84" s="47" t="str">
        <f>IFERROR(VLOOKUP($A$1&amp;"-"&amp;ROW(AD83),基本資料填寫!$A:$DN,COLUMN(基本資料填寫!AR84),0),"")</f>
        <v/>
      </c>
      <c r="AN84" s="47" t="str">
        <f>IFERROR(VLOOKUP($A$1&amp;"-"&amp;ROW(K83),基本資料填寫!$A:$DN,COLUMN(基本資料填寫!AP84),0),"")</f>
        <v/>
      </c>
      <c r="AO84" s="47" t="str">
        <f>IFERROR(VLOOKUP($A$1&amp;"-"&amp;ROW(J83),基本資料填寫!$A:$DN,COLUMN(基本資料填寫!AO84),0),"")</f>
        <v/>
      </c>
      <c r="AP84" s="47" t="str">
        <f>IFERROR(VLOOKUP($A$1&amp;"-"&amp;ROW(AE83),基本資料填寫!$A:$DN,COLUMN(基本資料填寫!AS84),0),"")</f>
        <v/>
      </c>
      <c r="AQ84" s="47" t="str">
        <f>IFERROR(VLOOKUP($A$1&amp;"-"&amp;ROW(AF83),基本資料填寫!$A:$DN,COLUMN(基本資料填寫!AT84),0),"")</f>
        <v/>
      </c>
      <c r="AR84" s="47" t="str">
        <f>IFERROR(VLOOKUP($A$1&amp;"-"&amp;ROW(AG83),基本資料填寫!$A:$DN,COLUMN(基本資料填寫!AU84),0),"")</f>
        <v/>
      </c>
      <c r="AS84" s="47" t="str">
        <f>IFERROR(VLOOKUP($A$1&amp;"-"&amp;ROW(AH83),基本資料填寫!$A:$DN,COLUMN(基本資料填寫!AV84),0),"")</f>
        <v/>
      </c>
      <c r="AT84" s="47" t="str">
        <f>IFERROR(VLOOKUP($A$1&amp;"-"&amp;ROW(AI83),基本資料填寫!$A:$DN,COLUMN(基本資料填寫!AW84),0),"")</f>
        <v/>
      </c>
      <c r="AU84" s="47" t="str">
        <f>IFERROR(VLOOKUP($A$1&amp;"-"&amp;ROW(AJ83),基本資料填寫!$A:$DN,COLUMN(基本資料填寫!AX84),0),"")</f>
        <v/>
      </c>
      <c r="AV84" s="47" t="str">
        <f>IFERROR(VLOOKUP($A$1&amp;"-"&amp;ROW(AK83),基本資料填寫!$A:$DN,COLUMN(基本資料填寫!AY84),0),"")</f>
        <v/>
      </c>
      <c r="AW84" s="47" t="str">
        <f>IFERROR(VLOOKUP($A$1&amp;"-"&amp;ROW(AL83),基本資料填寫!$A:$DN,COLUMN(基本資料填寫!AZ84),0),"")</f>
        <v/>
      </c>
      <c r="AX84" s="47" t="str">
        <f>IFERROR(VLOOKUP($A$1&amp;"-"&amp;ROW(AM83),基本資料填寫!$A:$DN,COLUMN(基本資料填寫!BA84),0),"")</f>
        <v/>
      </c>
      <c r="AY84" s="47" t="str">
        <f>IFERROR(VLOOKUP($A$1&amp;"-"&amp;ROW(AN83),基本資料填寫!$A:$DN,COLUMN(基本資料填寫!BB84),0),"")</f>
        <v/>
      </c>
      <c r="AZ84" s="47" t="str">
        <f>IFERROR(VLOOKUP($A$1&amp;"-"&amp;ROW(AO83),基本資料填寫!$A:$DN,COLUMN(基本資料填寫!BC84),0),"")</f>
        <v/>
      </c>
      <c r="BA84" s="47" t="str">
        <f>IFERROR(VLOOKUP($A$1&amp;"-"&amp;ROW(AP83),基本資料填寫!$A:$DN,COLUMN(基本資料填寫!BD84),0),"")</f>
        <v/>
      </c>
      <c r="BB84" s="47" t="str">
        <f>IFERROR(VLOOKUP($A$1&amp;"-"&amp;ROW(AQ83),基本資料填寫!$A:$DN,COLUMN(基本資料填寫!BE84),0),"")</f>
        <v/>
      </c>
      <c r="BC84" s="47" t="str">
        <f>IFERROR(VLOOKUP($A$1&amp;"-"&amp;ROW(AR83),基本資料填寫!$A:$DN,COLUMN(基本資料填寫!BF84),0),"")</f>
        <v/>
      </c>
      <c r="BD84" s="47" t="str">
        <f>IFERROR(VLOOKUP($A$1&amp;"-"&amp;ROW(AS83),基本資料填寫!$A:$DN,COLUMN(基本資料填寫!BG84),0),"")</f>
        <v/>
      </c>
      <c r="BE84" s="47" t="str">
        <f>IFERROR(VLOOKUP($A$1&amp;"-"&amp;ROW(AT83),基本資料填寫!$A:$DN,COLUMN(基本資料填寫!BH84),0),"")</f>
        <v/>
      </c>
      <c r="BF84" s="47" t="str">
        <f>IFERROR(VLOOKUP($A$1&amp;"-"&amp;ROW(AU83),基本資料填寫!$A:$DN,COLUMN(基本資料填寫!BI84),0),"")</f>
        <v/>
      </c>
      <c r="BG84" s="47" t="str">
        <f>IFERROR(VLOOKUP($A$1&amp;"-"&amp;ROW(AV83),基本資料填寫!$A:$DN,COLUMN(基本資料填寫!BJ84),0),"")</f>
        <v/>
      </c>
      <c r="BH84" s="47" t="str">
        <f>IFERROR(VLOOKUP($A$1&amp;"-"&amp;ROW(AW83),基本資料填寫!$A:$DN,COLUMN(基本資料填寫!BK84),0),"")</f>
        <v/>
      </c>
      <c r="BI84" s="47" t="str">
        <f>IFERROR(VLOOKUP($A$1&amp;"-"&amp;ROW(AX83),基本資料填寫!$A:$DN,COLUMN(基本資料填寫!BL84),0),"")</f>
        <v/>
      </c>
      <c r="BJ84" s="47" t="str">
        <f>IFERROR(VLOOKUP($A$1&amp;"-"&amp;ROW(AY83),基本資料填寫!$A:$DN,COLUMN(基本資料填寫!BM84),0),"")</f>
        <v/>
      </c>
      <c r="BK84" s="47" t="str">
        <f>IFERROR(VLOOKUP($A$1&amp;"-"&amp;ROW(AZ83),基本資料填寫!$A:$DN,COLUMN(基本資料填寫!BN84),0),"")</f>
        <v/>
      </c>
      <c r="BL84" s="47" t="str">
        <f>IFERROR(VLOOKUP($A$1&amp;"-"&amp;ROW(BA83),基本資料填寫!$A:$DN,COLUMN(基本資料填寫!BO84),0),"")</f>
        <v/>
      </c>
      <c r="BM84" s="47" t="str">
        <f>IFERROR(VLOOKUP($A$1&amp;"-"&amp;ROW(BB83),基本資料填寫!$A:$DN,COLUMN(基本資料填寫!BP84),0),"")</f>
        <v/>
      </c>
      <c r="BN84" s="47" t="str">
        <f>IFERROR(VLOOKUP($A$1&amp;"-"&amp;ROW(BC83),基本資料填寫!$A:$DN,COLUMN(基本資料填寫!BQ84),0),"")</f>
        <v/>
      </c>
      <c r="BO84" s="47" t="str">
        <f>IFERROR(VLOOKUP($A$1&amp;"-"&amp;ROW(BD83),基本資料填寫!$A:$DN,COLUMN(基本資料填寫!BR84),0),"")</f>
        <v/>
      </c>
    </row>
    <row r="85" spans="2:67" x14ac:dyDescent="0.3">
      <c r="B85" s="47" t="str">
        <f>IFERROR(VLOOKUP($A$1&amp;"-"&amp;ROW(A84),基本資料填寫!$A:$DN,COLUMN(基本資料填寫!K85),0),"")</f>
        <v/>
      </c>
      <c r="C85" s="47" t="str">
        <f>IFERROR(VLOOKUP($A$1&amp;"-"&amp;ROW(B84),基本資料填寫!$A:$DN,COLUMN(基本資料填寫!L85),0),"")</f>
        <v/>
      </c>
      <c r="D85" s="47" t="str">
        <f>IF(E85="","",COUNTA($E$2:E85))</f>
        <v/>
      </c>
      <c r="E85" s="47" t="str">
        <f>IFERROR(VLOOKUP($A$1&amp;"-"&amp;ROW(E84),基本資料填寫!$A:$DN,COLUMN(基本資料填寫!S85),0),"")</f>
        <v/>
      </c>
      <c r="G85" s="47" t="str">
        <f>IFERROR(VLOOKUP($A$1&amp;"-"&amp;ROW(G84),基本資料填寫!$A:$DN,COLUMN(基本資料填寫!V85),0),"")</f>
        <v/>
      </c>
      <c r="H85" s="47" t="str">
        <f>IFERROR(VLOOKUP($A$1&amp;"-"&amp;ROW(BI84),基本資料填寫!$A:$DN,COLUMN(基本資料填寫!BW85),0),"")</f>
        <v/>
      </c>
      <c r="I85" s="47" t="str">
        <f>IFERROR(VLOOKUP($A$1&amp;"-"&amp;ROW(I84),基本資料填寫!$A:$DN,COLUMN(基本資料填寫!AN85),0),"")</f>
        <v/>
      </c>
      <c r="J85" s="47" t="str">
        <f>IFERROR(VLOOKUP($A$1&amp;"-"&amp;ROW(K84),基本資料填寫!$A:$DN,COLUMN(基本資料填寫!R85),0),"")</f>
        <v/>
      </c>
      <c r="K85" s="47" t="str">
        <f>IFERROR(VLOOKUP($A$1&amp;"-"&amp;ROW(AA84),基本資料填寫!$A:$DN,COLUMN(基本資料填寫!BX85),0),"")</f>
        <v/>
      </c>
      <c r="L85" s="47" t="str">
        <f>IFERROR(VLOOKUP($A$1&amp;"-"&amp;ROW(S84),基本資料填寫!$A:$DN,COLUMN(基本資料填寫!Z85),0),"")</f>
        <v/>
      </c>
      <c r="M85" s="47" t="str">
        <f>IFERROR(VLOOKUP($A$1&amp;"-"&amp;ROW(T84),基本資料填寫!$A:$DN,COLUMN(基本資料填寫!AA85),0),"")</f>
        <v/>
      </c>
      <c r="N85" s="47" t="str">
        <f>IFERROR(VLOOKUP($A$1&amp;"-"&amp;ROW(AB84),基本資料填寫!$A:$DN,COLUMN(基本資料填寫!BY85),0),"")</f>
        <v/>
      </c>
      <c r="O85" s="47" t="str">
        <f>IFERROR(VLOOKUP($A$1&amp;"-"&amp;ROW(AC84),基本資料填寫!$A:$DN,COLUMN(基本資料填寫!BZ85),0),"")</f>
        <v/>
      </c>
      <c r="P85" s="47" t="str">
        <f>IFERROR(VLOOKUP($A$1&amp;"-"&amp;ROW(AD84),基本資料填寫!$A:$DN,COLUMN(基本資料填寫!CA85),0),"")</f>
        <v/>
      </c>
      <c r="Q85" s="47" t="str">
        <f>IFERROR(VLOOKUP($A$1&amp;"-"&amp;ROW(J84),基本資料填寫!$A:$DN,COLUMN(基本資料填寫!AO85),0),"")</f>
        <v/>
      </c>
      <c r="R85" s="47" t="str">
        <f>IFERROR(VLOOKUP($A$1&amp;"-"&amp;ROW(AE84),基本資料填寫!$A:$DN,COLUMN(基本資料填寫!CB85),0),"")</f>
        <v/>
      </c>
      <c r="S85" s="47" t="str">
        <f>IFERROR(VLOOKUP($A$1&amp;"-"&amp;ROW(AF84),基本資料填寫!$A:$DN,COLUMN(基本資料填寫!CC85),0),"")</f>
        <v/>
      </c>
      <c r="T85" s="47" t="str">
        <f>IFERROR(VLOOKUP($A$1&amp;"-"&amp;ROW(AG84),基本資料填寫!$A:$DN,COLUMN(基本資料填寫!CD85),0),"")</f>
        <v/>
      </c>
      <c r="U85" s="47" t="str">
        <f>IFERROR(VLOOKUP($A$1&amp;"-"&amp;ROW(AH84),基本資料填寫!$A:$DN,COLUMN(基本資料填寫!CE85),0),"")</f>
        <v/>
      </c>
      <c r="V85" s="47" t="str">
        <f>IFERROR(VLOOKUP($A$1&amp;"-"&amp;ROW(AI84),基本資料填寫!$A:$DN,COLUMN(基本資料填寫!CF85),0),"")</f>
        <v/>
      </c>
      <c r="W85" s="47" t="str">
        <f>IFERROR(VLOOKUP($A$1&amp;"-"&amp;ROW(AJ84),基本資料填寫!$A:$DN,COLUMN(基本資料填寫!CG85),0),"")</f>
        <v/>
      </c>
      <c r="X85" s="47" t="str">
        <f>IFERROR(VLOOKUP($A$1&amp;"-"&amp;ROW(AK84),基本資料填寫!$A:$DN,COLUMN(基本資料填寫!CH85),0),"")</f>
        <v/>
      </c>
      <c r="Y85" s="47" t="str">
        <f>IFERROR(VLOOKUP($A$1&amp;"-"&amp;ROW(AL84),基本資料填寫!$A:$DN,COLUMN(基本資料填寫!CI85),0),"")</f>
        <v/>
      </c>
      <c r="Z85" s="47" t="str">
        <f>IFERROR(VLOOKUP($A$1&amp;"-"&amp;ROW(H84),基本資料填寫!$A:$DN,COLUMN(基本資料填寫!O85),0),"")</f>
        <v/>
      </c>
      <c r="AA85" s="47" t="str">
        <f>IFERROR(VLOOKUP($A$1&amp;"-"&amp;ROW(AM84),基本資料填寫!$A:$DN,COLUMN(基本資料填寫!CJ85),0),"")</f>
        <v/>
      </c>
      <c r="AB85" s="47" t="str">
        <f>IFERROR(VLOOKUP($A$1&amp;"-"&amp;ROW(AN84),基本資料填寫!$A:$DN,COLUMN(基本資料填寫!CK85),0),"")</f>
        <v/>
      </c>
      <c r="AC85" s="47" t="str">
        <f>IFERROR(VLOOKUP($A$1&amp;"-"&amp;ROW(AP84),基本資料填寫!$A:$DN,COLUMN(基本資料填寫!CN85),0),"")</f>
        <v/>
      </c>
      <c r="AD85" s="47" t="str">
        <f>IFERROR(VLOOKUP($A$1&amp;"-"&amp;ROW(AQ84),基本資料填寫!$A:$DN,COLUMN(基本資料填寫!CO85),0),"")</f>
        <v/>
      </c>
      <c r="AE85" s="47" t="str">
        <f>IFERROR(VLOOKUP($A$1&amp;"-"&amp;ROW(AR84),基本資料填寫!$A:$DN,COLUMN(基本資料填寫!CP85),0),"")</f>
        <v/>
      </c>
      <c r="AF85" s="47" t="str">
        <f>IFERROR(VLOOKUP($A$1&amp;"-"&amp;ROW(AS84),基本資料填寫!$A:$DN,COLUMN(基本資料填寫!CQ85),0),"")</f>
        <v/>
      </c>
      <c r="AG85" s="47" t="str">
        <f>IFERROR(VLOOKUP($A$1&amp;"-"&amp;ROW(AT84),基本資料填寫!$A:$DN,COLUMN(基本資料填寫!CR85),0),"")</f>
        <v/>
      </c>
      <c r="AH85" s="47" t="str">
        <f>IFERROR(VLOOKUP($A$1&amp;"-"&amp;ROW(AU84),基本資料填寫!$A:$DN,COLUMN(基本資料填寫!CS85),0),"")</f>
        <v/>
      </c>
      <c r="AI85" s="47" t="str">
        <f>IFERROR(VLOOKUP($A$1&amp;"-"&amp;ROW(P84),基本資料填寫!$A:$DN,COLUMN(基本資料填寫!X85),0),"")</f>
        <v/>
      </c>
      <c r="AJ85" s="47" t="str">
        <f>IFERROR(VLOOKUP($A$1&amp;"-"&amp;ROW(AV84),基本資料填寫!$A:$DN,COLUMN(基本資料填寫!CT85),0),"")</f>
        <v/>
      </c>
      <c r="AK85" s="47" t="str">
        <f>IFERROR(VLOOKUP($A$1&amp;"-"&amp;ROW(AC84),基本資料填寫!$A:$DN,COLUMN(基本資料填寫!AQ85),0),"")</f>
        <v/>
      </c>
      <c r="AL85" s="47" t="str">
        <f>IFERROR(VLOOKUP($A$1&amp;"-"&amp;ROW(AO84),基本資料填寫!$A:$DN,COLUMN(基本資料填寫!CM85),0),"")</f>
        <v/>
      </c>
      <c r="AM85" s="47" t="str">
        <f>IFERROR(VLOOKUP($A$1&amp;"-"&amp;ROW(AD84),基本資料填寫!$A:$DN,COLUMN(基本資料填寫!AR85),0),"")</f>
        <v/>
      </c>
      <c r="AN85" s="47" t="str">
        <f>IFERROR(VLOOKUP($A$1&amp;"-"&amp;ROW(K84),基本資料填寫!$A:$DN,COLUMN(基本資料填寫!AP85),0),"")</f>
        <v/>
      </c>
      <c r="AO85" s="47" t="str">
        <f>IFERROR(VLOOKUP($A$1&amp;"-"&amp;ROW(J84),基本資料填寫!$A:$DN,COLUMN(基本資料填寫!AO85),0),"")</f>
        <v/>
      </c>
      <c r="AP85" s="47" t="str">
        <f>IFERROR(VLOOKUP($A$1&amp;"-"&amp;ROW(AE84),基本資料填寫!$A:$DN,COLUMN(基本資料填寫!AS85),0),"")</f>
        <v/>
      </c>
      <c r="AQ85" s="47" t="str">
        <f>IFERROR(VLOOKUP($A$1&amp;"-"&amp;ROW(AF84),基本資料填寫!$A:$DN,COLUMN(基本資料填寫!AT85),0),"")</f>
        <v/>
      </c>
      <c r="AR85" s="47" t="str">
        <f>IFERROR(VLOOKUP($A$1&amp;"-"&amp;ROW(AG84),基本資料填寫!$A:$DN,COLUMN(基本資料填寫!AU85),0),"")</f>
        <v/>
      </c>
      <c r="AS85" s="47" t="str">
        <f>IFERROR(VLOOKUP($A$1&amp;"-"&amp;ROW(AH84),基本資料填寫!$A:$DN,COLUMN(基本資料填寫!AV85),0),"")</f>
        <v/>
      </c>
      <c r="AT85" s="47" t="str">
        <f>IFERROR(VLOOKUP($A$1&amp;"-"&amp;ROW(AI84),基本資料填寫!$A:$DN,COLUMN(基本資料填寫!AW85),0),"")</f>
        <v/>
      </c>
      <c r="AU85" s="47" t="str">
        <f>IFERROR(VLOOKUP($A$1&amp;"-"&amp;ROW(AJ84),基本資料填寫!$A:$DN,COLUMN(基本資料填寫!AX85),0),"")</f>
        <v/>
      </c>
      <c r="AV85" s="47" t="str">
        <f>IFERROR(VLOOKUP($A$1&amp;"-"&amp;ROW(AK84),基本資料填寫!$A:$DN,COLUMN(基本資料填寫!AY85),0),"")</f>
        <v/>
      </c>
      <c r="AW85" s="47" t="str">
        <f>IFERROR(VLOOKUP($A$1&amp;"-"&amp;ROW(AL84),基本資料填寫!$A:$DN,COLUMN(基本資料填寫!AZ85),0),"")</f>
        <v/>
      </c>
      <c r="AX85" s="47" t="str">
        <f>IFERROR(VLOOKUP($A$1&amp;"-"&amp;ROW(AM84),基本資料填寫!$A:$DN,COLUMN(基本資料填寫!BA85),0),"")</f>
        <v/>
      </c>
      <c r="AY85" s="47" t="str">
        <f>IFERROR(VLOOKUP($A$1&amp;"-"&amp;ROW(AN84),基本資料填寫!$A:$DN,COLUMN(基本資料填寫!BB85),0),"")</f>
        <v/>
      </c>
      <c r="AZ85" s="47" t="str">
        <f>IFERROR(VLOOKUP($A$1&amp;"-"&amp;ROW(AO84),基本資料填寫!$A:$DN,COLUMN(基本資料填寫!BC85),0),"")</f>
        <v/>
      </c>
      <c r="BA85" s="47" t="str">
        <f>IFERROR(VLOOKUP($A$1&amp;"-"&amp;ROW(AP84),基本資料填寫!$A:$DN,COLUMN(基本資料填寫!BD85),0),"")</f>
        <v/>
      </c>
      <c r="BB85" s="47" t="str">
        <f>IFERROR(VLOOKUP($A$1&amp;"-"&amp;ROW(AQ84),基本資料填寫!$A:$DN,COLUMN(基本資料填寫!BE85),0),"")</f>
        <v/>
      </c>
      <c r="BC85" s="47" t="str">
        <f>IFERROR(VLOOKUP($A$1&amp;"-"&amp;ROW(AR84),基本資料填寫!$A:$DN,COLUMN(基本資料填寫!BF85),0),"")</f>
        <v/>
      </c>
      <c r="BD85" s="47" t="str">
        <f>IFERROR(VLOOKUP($A$1&amp;"-"&amp;ROW(AS84),基本資料填寫!$A:$DN,COLUMN(基本資料填寫!BG85),0),"")</f>
        <v/>
      </c>
      <c r="BE85" s="47" t="str">
        <f>IFERROR(VLOOKUP($A$1&amp;"-"&amp;ROW(AT84),基本資料填寫!$A:$DN,COLUMN(基本資料填寫!BH85),0),"")</f>
        <v/>
      </c>
      <c r="BF85" s="47" t="str">
        <f>IFERROR(VLOOKUP($A$1&amp;"-"&amp;ROW(AU84),基本資料填寫!$A:$DN,COLUMN(基本資料填寫!BI85),0),"")</f>
        <v/>
      </c>
      <c r="BG85" s="47" t="str">
        <f>IFERROR(VLOOKUP($A$1&amp;"-"&amp;ROW(AV84),基本資料填寫!$A:$DN,COLUMN(基本資料填寫!BJ85),0),"")</f>
        <v/>
      </c>
      <c r="BH85" s="47" t="str">
        <f>IFERROR(VLOOKUP($A$1&amp;"-"&amp;ROW(AW84),基本資料填寫!$A:$DN,COLUMN(基本資料填寫!BK85),0),"")</f>
        <v/>
      </c>
      <c r="BI85" s="47" t="str">
        <f>IFERROR(VLOOKUP($A$1&amp;"-"&amp;ROW(AX84),基本資料填寫!$A:$DN,COLUMN(基本資料填寫!BL85),0),"")</f>
        <v/>
      </c>
      <c r="BJ85" s="47" t="str">
        <f>IFERROR(VLOOKUP($A$1&amp;"-"&amp;ROW(AY84),基本資料填寫!$A:$DN,COLUMN(基本資料填寫!BM85),0),"")</f>
        <v/>
      </c>
      <c r="BK85" s="47" t="str">
        <f>IFERROR(VLOOKUP($A$1&amp;"-"&amp;ROW(AZ84),基本資料填寫!$A:$DN,COLUMN(基本資料填寫!BN85),0),"")</f>
        <v/>
      </c>
      <c r="BL85" s="47" t="str">
        <f>IFERROR(VLOOKUP($A$1&amp;"-"&amp;ROW(BA84),基本資料填寫!$A:$DN,COLUMN(基本資料填寫!BO85),0),"")</f>
        <v/>
      </c>
      <c r="BM85" s="47" t="str">
        <f>IFERROR(VLOOKUP($A$1&amp;"-"&amp;ROW(BB84),基本資料填寫!$A:$DN,COLUMN(基本資料填寫!BP85),0),"")</f>
        <v/>
      </c>
      <c r="BN85" s="47" t="str">
        <f>IFERROR(VLOOKUP($A$1&amp;"-"&amp;ROW(BC84),基本資料填寫!$A:$DN,COLUMN(基本資料填寫!BQ85),0),"")</f>
        <v/>
      </c>
      <c r="BO85" s="47" t="str">
        <f>IFERROR(VLOOKUP($A$1&amp;"-"&amp;ROW(BD84),基本資料填寫!$A:$DN,COLUMN(基本資料填寫!BR85),0),"")</f>
        <v/>
      </c>
    </row>
    <row r="86" spans="2:67" x14ac:dyDescent="0.3">
      <c r="B86" s="47" t="str">
        <f>IFERROR(VLOOKUP($A$1&amp;"-"&amp;ROW(A85),基本資料填寫!$A:$DN,COLUMN(基本資料填寫!K86),0),"")</f>
        <v/>
      </c>
      <c r="C86" s="47" t="str">
        <f>IFERROR(VLOOKUP($A$1&amp;"-"&amp;ROW(B85),基本資料填寫!$A:$DN,COLUMN(基本資料填寫!L86),0),"")</f>
        <v/>
      </c>
      <c r="D86" s="47" t="str">
        <f>IF(E86="","",COUNTA($E$2:E86))</f>
        <v/>
      </c>
      <c r="E86" s="47" t="str">
        <f>IFERROR(VLOOKUP($A$1&amp;"-"&amp;ROW(E85),基本資料填寫!$A:$DN,COLUMN(基本資料填寫!S86),0),"")</f>
        <v/>
      </c>
      <c r="G86" s="47" t="str">
        <f>IFERROR(VLOOKUP($A$1&amp;"-"&amp;ROW(G85),基本資料填寫!$A:$DN,COLUMN(基本資料填寫!V86),0),"")</f>
        <v/>
      </c>
      <c r="H86" s="47" t="str">
        <f>IFERROR(VLOOKUP($A$1&amp;"-"&amp;ROW(BI85),基本資料填寫!$A:$DN,COLUMN(基本資料填寫!BW86),0),"")</f>
        <v/>
      </c>
      <c r="I86" s="47" t="str">
        <f>IFERROR(VLOOKUP($A$1&amp;"-"&amp;ROW(I85),基本資料填寫!$A:$DN,COLUMN(基本資料填寫!AN86),0),"")</f>
        <v/>
      </c>
      <c r="J86" s="47" t="str">
        <f>IFERROR(VLOOKUP($A$1&amp;"-"&amp;ROW(K85),基本資料填寫!$A:$DN,COLUMN(基本資料填寫!R86),0),"")</f>
        <v/>
      </c>
      <c r="K86" s="47" t="str">
        <f>IFERROR(VLOOKUP($A$1&amp;"-"&amp;ROW(AA85),基本資料填寫!$A:$DN,COLUMN(基本資料填寫!BX86),0),"")</f>
        <v/>
      </c>
      <c r="L86" s="47" t="str">
        <f>IFERROR(VLOOKUP($A$1&amp;"-"&amp;ROW(S85),基本資料填寫!$A:$DN,COLUMN(基本資料填寫!Z86),0),"")</f>
        <v/>
      </c>
      <c r="M86" s="47" t="str">
        <f>IFERROR(VLOOKUP($A$1&amp;"-"&amp;ROW(T85),基本資料填寫!$A:$DN,COLUMN(基本資料填寫!AA86),0),"")</f>
        <v/>
      </c>
      <c r="N86" s="47" t="str">
        <f>IFERROR(VLOOKUP($A$1&amp;"-"&amp;ROW(AB85),基本資料填寫!$A:$DN,COLUMN(基本資料填寫!BY86),0),"")</f>
        <v/>
      </c>
      <c r="O86" s="47" t="str">
        <f>IFERROR(VLOOKUP($A$1&amp;"-"&amp;ROW(AC85),基本資料填寫!$A:$DN,COLUMN(基本資料填寫!BZ86),0),"")</f>
        <v/>
      </c>
      <c r="P86" s="47" t="str">
        <f>IFERROR(VLOOKUP($A$1&amp;"-"&amp;ROW(AD85),基本資料填寫!$A:$DN,COLUMN(基本資料填寫!CA86),0),"")</f>
        <v/>
      </c>
      <c r="Q86" s="47" t="str">
        <f>IFERROR(VLOOKUP($A$1&amp;"-"&amp;ROW(J85),基本資料填寫!$A:$DN,COLUMN(基本資料填寫!AO86),0),"")</f>
        <v/>
      </c>
      <c r="R86" s="47" t="str">
        <f>IFERROR(VLOOKUP($A$1&amp;"-"&amp;ROW(AE85),基本資料填寫!$A:$DN,COLUMN(基本資料填寫!CB86),0),"")</f>
        <v/>
      </c>
      <c r="S86" s="47" t="str">
        <f>IFERROR(VLOOKUP($A$1&amp;"-"&amp;ROW(AF85),基本資料填寫!$A:$DN,COLUMN(基本資料填寫!CC86),0),"")</f>
        <v/>
      </c>
      <c r="T86" s="47" t="str">
        <f>IFERROR(VLOOKUP($A$1&amp;"-"&amp;ROW(AG85),基本資料填寫!$A:$DN,COLUMN(基本資料填寫!CD86),0),"")</f>
        <v/>
      </c>
      <c r="U86" s="47" t="str">
        <f>IFERROR(VLOOKUP($A$1&amp;"-"&amp;ROW(AH85),基本資料填寫!$A:$DN,COLUMN(基本資料填寫!CE86),0),"")</f>
        <v/>
      </c>
      <c r="V86" s="47" t="str">
        <f>IFERROR(VLOOKUP($A$1&amp;"-"&amp;ROW(AI85),基本資料填寫!$A:$DN,COLUMN(基本資料填寫!CF86),0),"")</f>
        <v/>
      </c>
      <c r="W86" s="47" t="str">
        <f>IFERROR(VLOOKUP($A$1&amp;"-"&amp;ROW(AJ85),基本資料填寫!$A:$DN,COLUMN(基本資料填寫!CG86),0),"")</f>
        <v/>
      </c>
      <c r="X86" s="47" t="str">
        <f>IFERROR(VLOOKUP($A$1&amp;"-"&amp;ROW(AK85),基本資料填寫!$A:$DN,COLUMN(基本資料填寫!CH86),0),"")</f>
        <v/>
      </c>
      <c r="Y86" s="47" t="str">
        <f>IFERROR(VLOOKUP($A$1&amp;"-"&amp;ROW(AL85),基本資料填寫!$A:$DN,COLUMN(基本資料填寫!CI86),0),"")</f>
        <v/>
      </c>
      <c r="Z86" s="47" t="str">
        <f>IFERROR(VLOOKUP($A$1&amp;"-"&amp;ROW(H85),基本資料填寫!$A:$DN,COLUMN(基本資料填寫!O86),0),"")</f>
        <v/>
      </c>
      <c r="AA86" s="47" t="str">
        <f>IFERROR(VLOOKUP($A$1&amp;"-"&amp;ROW(AM85),基本資料填寫!$A:$DN,COLUMN(基本資料填寫!CJ86),0),"")</f>
        <v/>
      </c>
      <c r="AB86" s="47" t="str">
        <f>IFERROR(VLOOKUP($A$1&amp;"-"&amp;ROW(AN85),基本資料填寫!$A:$DN,COLUMN(基本資料填寫!CK86),0),"")</f>
        <v/>
      </c>
      <c r="AC86" s="47" t="str">
        <f>IFERROR(VLOOKUP($A$1&amp;"-"&amp;ROW(AP85),基本資料填寫!$A:$DN,COLUMN(基本資料填寫!CN86),0),"")</f>
        <v/>
      </c>
      <c r="AD86" s="47" t="str">
        <f>IFERROR(VLOOKUP($A$1&amp;"-"&amp;ROW(AQ85),基本資料填寫!$A:$DN,COLUMN(基本資料填寫!CO86),0),"")</f>
        <v/>
      </c>
      <c r="AE86" s="47" t="str">
        <f>IFERROR(VLOOKUP($A$1&amp;"-"&amp;ROW(AR85),基本資料填寫!$A:$DN,COLUMN(基本資料填寫!CP86),0),"")</f>
        <v/>
      </c>
      <c r="AF86" s="47" t="str">
        <f>IFERROR(VLOOKUP($A$1&amp;"-"&amp;ROW(AS85),基本資料填寫!$A:$DN,COLUMN(基本資料填寫!CQ86),0),"")</f>
        <v/>
      </c>
      <c r="AG86" s="47" t="str">
        <f>IFERROR(VLOOKUP($A$1&amp;"-"&amp;ROW(AT85),基本資料填寫!$A:$DN,COLUMN(基本資料填寫!CR86),0),"")</f>
        <v/>
      </c>
      <c r="AH86" s="47" t="str">
        <f>IFERROR(VLOOKUP($A$1&amp;"-"&amp;ROW(AU85),基本資料填寫!$A:$DN,COLUMN(基本資料填寫!CS86),0),"")</f>
        <v/>
      </c>
      <c r="AI86" s="47" t="str">
        <f>IFERROR(VLOOKUP($A$1&amp;"-"&amp;ROW(P85),基本資料填寫!$A:$DN,COLUMN(基本資料填寫!X86),0),"")</f>
        <v/>
      </c>
      <c r="AJ86" s="47" t="str">
        <f>IFERROR(VLOOKUP($A$1&amp;"-"&amp;ROW(AV85),基本資料填寫!$A:$DN,COLUMN(基本資料填寫!CT86),0),"")</f>
        <v/>
      </c>
      <c r="AK86" s="47" t="str">
        <f>IFERROR(VLOOKUP($A$1&amp;"-"&amp;ROW(AC85),基本資料填寫!$A:$DN,COLUMN(基本資料填寫!AQ86),0),"")</f>
        <v/>
      </c>
      <c r="AL86" s="47" t="str">
        <f>IFERROR(VLOOKUP($A$1&amp;"-"&amp;ROW(AO85),基本資料填寫!$A:$DN,COLUMN(基本資料填寫!CM86),0),"")</f>
        <v/>
      </c>
      <c r="AM86" s="47" t="str">
        <f>IFERROR(VLOOKUP($A$1&amp;"-"&amp;ROW(AD85),基本資料填寫!$A:$DN,COLUMN(基本資料填寫!AR86),0),"")</f>
        <v/>
      </c>
      <c r="AN86" s="47" t="str">
        <f>IFERROR(VLOOKUP($A$1&amp;"-"&amp;ROW(K85),基本資料填寫!$A:$DN,COLUMN(基本資料填寫!AP86),0),"")</f>
        <v/>
      </c>
      <c r="AO86" s="47" t="str">
        <f>IFERROR(VLOOKUP($A$1&amp;"-"&amp;ROW(J85),基本資料填寫!$A:$DN,COLUMN(基本資料填寫!AO86),0),"")</f>
        <v/>
      </c>
      <c r="AP86" s="47" t="str">
        <f>IFERROR(VLOOKUP($A$1&amp;"-"&amp;ROW(AE85),基本資料填寫!$A:$DN,COLUMN(基本資料填寫!AS86),0),"")</f>
        <v/>
      </c>
      <c r="AQ86" s="47" t="str">
        <f>IFERROR(VLOOKUP($A$1&amp;"-"&amp;ROW(AF85),基本資料填寫!$A:$DN,COLUMN(基本資料填寫!AT86),0),"")</f>
        <v/>
      </c>
      <c r="AR86" s="47" t="str">
        <f>IFERROR(VLOOKUP($A$1&amp;"-"&amp;ROW(AG85),基本資料填寫!$A:$DN,COLUMN(基本資料填寫!AU86),0),"")</f>
        <v/>
      </c>
      <c r="AS86" s="47" t="str">
        <f>IFERROR(VLOOKUP($A$1&amp;"-"&amp;ROW(AH85),基本資料填寫!$A:$DN,COLUMN(基本資料填寫!AV86),0),"")</f>
        <v/>
      </c>
      <c r="AT86" s="47" t="str">
        <f>IFERROR(VLOOKUP($A$1&amp;"-"&amp;ROW(AI85),基本資料填寫!$A:$DN,COLUMN(基本資料填寫!AW86),0),"")</f>
        <v/>
      </c>
      <c r="AU86" s="47" t="str">
        <f>IFERROR(VLOOKUP($A$1&amp;"-"&amp;ROW(AJ85),基本資料填寫!$A:$DN,COLUMN(基本資料填寫!AX86),0),"")</f>
        <v/>
      </c>
      <c r="AV86" s="47" t="str">
        <f>IFERROR(VLOOKUP($A$1&amp;"-"&amp;ROW(AK85),基本資料填寫!$A:$DN,COLUMN(基本資料填寫!AY86),0),"")</f>
        <v/>
      </c>
      <c r="AW86" s="47" t="str">
        <f>IFERROR(VLOOKUP($A$1&amp;"-"&amp;ROW(AL85),基本資料填寫!$A:$DN,COLUMN(基本資料填寫!AZ86),0),"")</f>
        <v/>
      </c>
      <c r="AX86" s="47" t="str">
        <f>IFERROR(VLOOKUP($A$1&amp;"-"&amp;ROW(AM85),基本資料填寫!$A:$DN,COLUMN(基本資料填寫!BA86),0),"")</f>
        <v/>
      </c>
      <c r="AY86" s="47" t="str">
        <f>IFERROR(VLOOKUP($A$1&amp;"-"&amp;ROW(AN85),基本資料填寫!$A:$DN,COLUMN(基本資料填寫!BB86),0),"")</f>
        <v/>
      </c>
      <c r="AZ86" s="47" t="str">
        <f>IFERROR(VLOOKUP($A$1&amp;"-"&amp;ROW(AO85),基本資料填寫!$A:$DN,COLUMN(基本資料填寫!BC86),0),"")</f>
        <v/>
      </c>
      <c r="BA86" s="47" t="str">
        <f>IFERROR(VLOOKUP($A$1&amp;"-"&amp;ROW(AP85),基本資料填寫!$A:$DN,COLUMN(基本資料填寫!BD86),0),"")</f>
        <v/>
      </c>
      <c r="BB86" s="47" t="str">
        <f>IFERROR(VLOOKUP($A$1&amp;"-"&amp;ROW(AQ85),基本資料填寫!$A:$DN,COLUMN(基本資料填寫!BE86),0),"")</f>
        <v/>
      </c>
      <c r="BC86" s="47" t="str">
        <f>IFERROR(VLOOKUP($A$1&amp;"-"&amp;ROW(AR85),基本資料填寫!$A:$DN,COLUMN(基本資料填寫!BF86),0),"")</f>
        <v/>
      </c>
      <c r="BD86" s="47" t="str">
        <f>IFERROR(VLOOKUP($A$1&amp;"-"&amp;ROW(AS85),基本資料填寫!$A:$DN,COLUMN(基本資料填寫!BG86),0),"")</f>
        <v/>
      </c>
      <c r="BE86" s="47" t="str">
        <f>IFERROR(VLOOKUP($A$1&amp;"-"&amp;ROW(AT85),基本資料填寫!$A:$DN,COLUMN(基本資料填寫!BH86),0),"")</f>
        <v/>
      </c>
      <c r="BF86" s="47" t="str">
        <f>IFERROR(VLOOKUP($A$1&amp;"-"&amp;ROW(AU85),基本資料填寫!$A:$DN,COLUMN(基本資料填寫!BI86),0),"")</f>
        <v/>
      </c>
      <c r="BG86" s="47" t="str">
        <f>IFERROR(VLOOKUP($A$1&amp;"-"&amp;ROW(AV85),基本資料填寫!$A:$DN,COLUMN(基本資料填寫!BJ86),0),"")</f>
        <v/>
      </c>
      <c r="BH86" s="47" t="str">
        <f>IFERROR(VLOOKUP($A$1&amp;"-"&amp;ROW(AW85),基本資料填寫!$A:$DN,COLUMN(基本資料填寫!BK86),0),"")</f>
        <v/>
      </c>
      <c r="BI86" s="47" t="str">
        <f>IFERROR(VLOOKUP($A$1&amp;"-"&amp;ROW(AX85),基本資料填寫!$A:$DN,COLUMN(基本資料填寫!BL86),0),"")</f>
        <v/>
      </c>
      <c r="BJ86" s="47" t="str">
        <f>IFERROR(VLOOKUP($A$1&amp;"-"&amp;ROW(AY85),基本資料填寫!$A:$DN,COLUMN(基本資料填寫!BM86),0),"")</f>
        <v/>
      </c>
      <c r="BK86" s="47" t="str">
        <f>IFERROR(VLOOKUP($A$1&amp;"-"&amp;ROW(AZ85),基本資料填寫!$A:$DN,COLUMN(基本資料填寫!BN86),0),"")</f>
        <v/>
      </c>
      <c r="BL86" s="47" t="str">
        <f>IFERROR(VLOOKUP($A$1&amp;"-"&amp;ROW(BA85),基本資料填寫!$A:$DN,COLUMN(基本資料填寫!BO86),0),"")</f>
        <v/>
      </c>
      <c r="BM86" s="47" t="str">
        <f>IFERROR(VLOOKUP($A$1&amp;"-"&amp;ROW(BB85),基本資料填寫!$A:$DN,COLUMN(基本資料填寫!BP86),0),"")</f>
        <v/>
      </c>
      <c r="BN86" s="47" t="str">
        <f>IFERROR(VLOOKUP($A$1&amp;"-"&amp;ROW(BC85),基本資料填寫!$A:$DN,COLUMN(基本資料填寫!BQ86),0),"")</f>
        <v/>
      </c>
      <c r="BO86" s="47" t="str">
        <f>IFERROR(VLOOKUP($A$1&amp;"-"&amp;ROW(BD85),基本資料填寫!$A:$DN,COLUMN(基本資料填寫!BR86),0),"")</f>
        <v/>
      </c>
    </row>
    <row r="87" spans="2:67" x14ac:dyDescent="0.3">
      <c r="B87" s="47" t="str">
        <f>IFERROR(VLOOKUP($A$1&amp;"-"&amp;ROW(A86),基本資料填寫!$A:$DN,COLUMN(基本資料填寫!K87),0),"")</f>
        <v/>
      </c>
      <c r="C87" s="47" t="str">
        <f>IFERROR(VLOOKUP($A$1&amp;"-"&amp;ROW(B86),基本資料填寫!$A:$DN,COLUMN(基本資料填寫!L87),0),"")</f>
        <v/>
      </c>
      <c r="D87" s="47" t="str">
        <f>IF(E87="","",COUNTA($E$2:E87))</f>
        <v/>
      </c>
      <c r="E87" s="47" t="str">
        <f>IFERROR(VLOOKUP($A$1&amp;"-"&amp;ROW(E86),基本資料填寫!$A:$DN,COLUMN(基本資料填寫!S87),0),"")</f>
        <v/>
      </c>
      <c r="G87" s="47" t="str">
        <f>IFERROR(VLOOKUP($A$1&amp;"-"&amp;ROW(G86),基本資料填寫!$A:$DN,COLUMN(基本資料填寫!V87),0),"")</f>
        <v/>
      </c>
      <c r="H87" s="47" t="str">
        <f>IFERROR(VLOOKUP($A$1&amp;"-"&amp;ROW(BI86),基本資料填寫!$A:$DN,COLUMN(基本資料填寫!BW87),0),"")</f>
        <v/>
      </c>
      <c r="I87" s="47" t="str">
        <f>IFERROR(VLOOKUP($A$1&amp;"-"&amp;ROW(I86),基本資料填寫!$A:$DN,COLUMN(基本資料填寫!AN87),0),"")</f>
        <v/>
      </c>
      <c r="J87" s="47" t="str">
        <f>IFERROR(VLOOKUP($A$1&amp;"-"&amp;ROW(K86),基本資料填寫!$A:$DN,COLUMN(基本資料填寫!R87),0),"")</f>
        <v/>
      </c>
      <c r="K87" s="47" t="str">
        <f>IFERROR(VLOOKUP($A$1&amp;"-"&amp;ROW(AA86),基本資料填寫!$A:$DN,COLUMN(基本資料填寫!BX87),0),"")</f>
        <v/>
      </c>
      <c r="L87" s="47" t="str">
        <f>IFERROR(VLOOKUP($A$1&amp;"-"&amp;ROW(S86),基本資料填寫!$A:$DN,COLUMN(基本資料填寫!Z87),0),"")</f>
        <v/>
      </c>
      <c r="M87" s="47" t="str">
        <f>IFERROR(VLOOKUP($A$1&amp;"-"&amp;ROW(T86),基本資料填寫!$A:$DN,COLUMN(基本資料填寫!AA87),0),"")</f>
        <v/>
      </c>
      <c r="N87" s="47" t="str">
        <f>IFERROR(VLOOKUP($A$1&amp;"-"&amp;ROW(AB86),基本資料填寫!$A:$DN,COLUMN(基本資料填寫!BY87),0),"")</f>
        <v/>
      </c>
      <c r="O87" s="47" t="str">
        <f>IFERROR(VLOOKUP($A$1&amp;"-"&amp;ROW(AC86),基本資料填寫!$A:$DN,COLUMN(基本資料填寫!BZ87),0),"")</f>
        <v/>
      </c>
      <c r="P87" s="47" t="str">
        <f>IFERROR(VLOOKUP($A$1&amp;"-"&amp;ROW(AD86),基本資料填寫!$A:$DN,COLUMN(基本資料填寫!CA87),0),"")</f>
        <v/>
      </c>
      <c r="Q87" s="47" t="str">
        <f>IFERROR(VLOOKUP($A$1&amp;"-"&amp;ROW(J86),基本資料填寫!$A:$DN,COLUMN(基本資料填寫!AO87),0),"")</f>
        <v/>
      </c>
      <c r="R87" s="47" t="str">
        <f>IFERROR(VLOOKUP($A$1&amp;"-"&amp;ROW(AE86),基本資料填寫!$A:$DN,COLUMN(基本資料填寫!CB87),0),"")</f>
        <v/>
      </c>
      <c r="S87" s="47" t="str">
        <f>IFERROR(VLOOKUP($A$1&amp;"-"&amp;ROW(AF86),基本資料填寫!$A:$DN,COLUMN(基本資料填寫!CC87),0),"")</f>
        <v/>
      </c>
      <c r="T87" s="47" t="str">
        <f>IFERROR(VLOOKUP($A$1&amp;"-"&amp;ROW(AG86),基本資料填寫!$A:$DN,COLUMN(基本資料填寫!CD87),0),"")</f>
        <v/>
      </c>
      <c r="U87" s="47" t="str">
        <f>IFERROR(VLOOKUP($A$1&amp;"-"&amp;ROW(AH86),基本資料填寫!$A:$DN,COLUMN(基本資料填寫!CE87),0),"")</f>
        <v/>
      </c>
      <c r="V87" s="47" t="str">
        <f>IFERROR(VLOOKUP($A$1&amp;"-"&amp;ROW(AI86),基本資料填寫!$A:$DN,COLUMN(基本資料填寫!CF87),0),"")</f>
        <v/>
      </c>
      <c r="W87" s="47" t="str">
        <f>IFERROR(VLOOKUP($A$1&amp;"-"&amp;ROW(AJ86),基本資料填寫!$A:$DN,COLUMN(基本資料填寫!CG87),0),"")</f>
        <v/>
      </c>
      <c r="X87" s="47" t="str">
        <f>IFERROR(VLOOKUP($A$1&amp;"-"&amp;ROW(AK86),基本資料填寫!$A:$DN,COLUMN(基本資料填寫!CH87),0),"")</f>
        <v/>
      </c>
      <c r="Y87" s="47" t="str">
        <f>IFERROR(VLOOKUP($A$1&amp;"-"&amp;ROW(AL86),基本資料填寫!$A:$DN,COLUMN(基本資料填寫!CI87),0),"")</f>
        <v/>
      </c>
      <c r="Z87" s="47" t="str">
        <f>IFERROR(VLOOKUP($A$1&amp;"-"&amp;ROW(H86),基本資料填寫!$A:$DN,COLUMN(基本資料填寫!O87),0),"")</f>
        <v/>
      </c>
      <c r="AA87" s="47" t="str">
        <f>IFERROR(VLOOKUP($A$1&amp;"-"&amp;ROW(AM86),基本資料填寫!$A:$DN,COLUMN(基本資料填寫!CJ87),0),"")</f>
        <v/>
      </c>
      <c r="AB87" s="47" t="str">
        <f>IFERROR(VLOOKUP($A$1&amp;"-"&amp;ROW(AN86),基本資料填寫!$A:$DN,COLUMN(基本資料填寫!CK87),0),"")</f>
        <v/>
      </c>
      <c r="AC87" s="47" t="str">
        <f>IFERROR(VLOOKUP($A$1&amp;"-"&amp;ROW(AP86),基本資料填寫!$A:$DN,COLUMN(基本資料填寫!CN87),0),"")</f>
        <v/>
      </c>
      <c r="AD87" s="47" t="str">
        <f>IFERROR(VLOOKUP($A$1&amp;"-"&amp;ROW(AQ86),基本資料填寫!$A:$DN,COLUMN(基本資料填寫!CO87),0),"")</f>
        <v/>
      </c>
      <c r="AE87" s="47" t="str">
        <f>IFERROR(VLOOKUP($A$1&amp;"-"&amp;ROW(AR86),基本資料填寫!$A:$DN,COLUMN(基本資料填寫!CP87),0),"")</f>
        <v/>
      </c>
      <c r="AF87" s="47" t="str">
        <f>IFERROR(VLOOKUP($A$1&amp;"-"&amp;ROW(AS86),基本資料填寫!$A:$DN,COLUMN(基本資料填寫!CQ87),0),"")</f>
        <v/>
      </c>
      <c r="AG87" s="47" t="str">
        <f>IFERROR(VLOOKUP($A$1&amp;"-"&amp;ROW(AT86),基本資料填寫!$A:$DN,COLUMN(基本資料填寫!CR87),0),"")</f>
        <v/>
      </c>
      <c r="AH87" s="47" t="str">
        <f>IFERROR(VLOOKUP($A$1&amp;"-"&amp;ROW(AU86),基本資料填寫!$A:$DN,COLUMN(基本資料填寫!CS87),0),"")</f>
        <v/>
      </c>
      <c r="AI87" s="47" t="str">
        <f>IFERROR(VLOOKUP($A$1&amp;"-"&amp;ROW(P86),基本資料填寫!$A:$DN,COLUMN(基本資料填寫!X87),0),"")</f>
        <v/>
      </c>
      <c r="AJ87" s="47" t="str">
        <f>IFERROR(VLOOKUP($A$1&amp;"-"&amp;ROW(AV86),基本資料填寫!$A:$DN,COLUMN(基本資料填寫!CT87),0),"")</f>
        <v/>
      </c>
      <c r="AK87" s="47" t="str">
        <f>IFERROR(VLOOKUP($A$1&amp;"-"&amp;ROW(AC86),基本資料填寫!$A:$DN,COLUMN(基本資料填寫!AQ87),0),"")</f>
        <v/>
      </c>
      <c r="AL87" s="47" t="str">
        <f>IFERROR(VLOOKUP($A$1&amp;"-"&amp;ROW(AO86),基本資料填寫!$A:$DN,COLUMN(基本資料填寫!CM87),0),"")</f>
        <v/>
      </c>
      <c r="AM87" s="47" t="str">
        <f>IFERROR(VLOOKUP($A$1&amp;"-"&amp;ROW(AD86),基本資料填寫!$A:$DN,COLUMN(基本資料填寫!AR87),0),"")</f>
        <v/>
      </c>
      <c r="AN87" s="47" t="str">
        <f>IFERROR(VLOOKUP($A$1&amp;"-"&amp;ROW(K86),基本資料填寫!$A:$DN,COLUMN(基本資料填寫!AP87),0),"")</f>
        <v/>
      </c>
      <c r="AO87" s="47" t="str">
        <f>IFERROR(VLOOKUP($A$1&amp;"-"&amp;ROW(J86),基本資料填寫!$A:$DN,COLUMN(基本資料填寫!AO87),0),"")</f>
        <v/>
      </c>
      <c r="AP87" s="47" t="str">
        <f>IFERROR(VLOOKUP($A$1&amp;"-"&amp;ROW(AE86),基本資料填寫!$A:$DN,COLUMN(基本資料填寫!AS87),0),"")</f>
        <v/>
      </c>
      <c r="AQ87" s="47" t="str">
        <f>IFERROR(VLOOKUP($A$1&amp;"-"&amp;ROW(AF86),基本資料填寫!$A:$DN,COLUMN(基本資料填寫!AT87),0),"")</f>
        <v/>
      </c>
      <c r="AR87" s="47" t="str">
        <f>IFERROR(VLOOKUP($A$1&amp;"-"&amp;ROW(AG86),基本資料填寫!$A:$DN,COLUMN(基本資料填寫!AU87),0),"")</f>
        <v/>
      </c>
      <c r="AS87" s="47" t="str">
        <f>IFERROR(VLOOKUP($A$1&amp;"-"&amp;ROW(AH86),基本資料填寫!$A:$DN,COLUMN(基本資料填寫!AV87),0),"")</f>
        <v/>
      </c>
      <c r="AT87" s="47" t="str">
        <f>IFERROR(VLOOKUP($A$1&amp;"-"&amp;ROW(AI86),基本資料填寫!$A:$DN,COLUMN(基本資料填寫!AW87),0),"")</f>
        <v/>
      </c>
      <c r="AU87" s="47" t="str">
        <f>IFERROR(VLOOKUP($A$1&amp;"-"&amp;ROW(AJ86),基本資料填寫!$A:$DN,COLUMN(基本資料填寫!AX87),0),"")</f>
        <v/>
      </c>
      <c r="AV87" s="47" t="str">
        <f>IFERROR(VLOOKUP($A$1&amp;"-"&amp;ROW(AK86),基本資料填寫!$A:$DN,COLUMN(基本資料填寫!AY87),0),"")</f>
        <v/>
      </c>
      <c r="AW87" s="47" t="str">
        <f>IFERROR(VLOOKUP($A$1&amp;"-"&amp;ROW(AL86),基本資料填寫!$A:$DN,COLUMN(基本資料填寫!AZ87),0),"")</f>
        <v/>
      </c>
      <c r="AX87" s="47" t="str">
        <f>IFERROR(VLOOKUP($A$1&amp;"-"&amp;ROW(AM86),基本資料填寫!$A:$DN,COLUMN(基本資料填寫!BA87),0),"")</f>
        <v/>
      </c>
      <c r="AY87" s="47" t="str">
        <f>IFERROR(VLOOKUP($A$1&amp;"-"&amp;ROW(AN86),基本資料填寫!$A:$DN,COLUMN(基本資料填寫!BB87),0),"")</f>
        <v/>
      </c>
      <c r="AZ87" s="47" t="str">
        <f>IFERROR(VLOOKUP($A$1&amp;"-"&amp;ROW(AO86),基本資料填寫!$A:$DN,COLUMN(基本資料填寫!BC87),0),"")</f>
        <v/>
      </c>
      <c r="BA87" s="47" t="str">
        <f>IFERROR(VLOOKUP($A$1&amp;"-"&amp;ROW(AP86),基本資料填寫!$A:$DN,COLUMN(基本資料填寫!BD87),0),"")</f>
        <v/>
      </c>
      <c r="BB87" s="47" t="str">
        <f>IFERROR(VLOOKUP($A$1&amp;"-"&amp;ROW(AQ86),基本資料填寫!$A:$DN,COLUMN(基本資料填寫!BE87),0),"")</f>
        <v/>
      </c>
      <c r="BC87" s="47" t="str">
        <f>IFERROR(VLOOKUP($A$1&amp;"-"&amp;ROW(AR86),基本資料填寫!$A:$DN,COLUMN(基本資料填寫!BF87),0),"")</f>
        <v/>
      </c>
      <c r="BD87" s="47" t="str">
        <f>IFERROR(VLOOKUP($A$1&amp;"-"&amp;ROW(AS86),基本資料填寫!$A:$DN,COLUMN(基本資料填寫!BG87),0),"")</f>
        <v/>
      </c>
      <c r="BE87" s="47" t="str">
        <f>IFERROR(VLOOKUP($A$1&amp;"-"&amp;ROW(AT86),基本資料填寫!$A:$DN,COLUMN(基本資料填寫!BH87),0),"")</f>
        <v/>
      </c>
      <c r="BF87" s="47" t="str">
        <f>IFERROR(VLOOKUP($A$1&amp;"-"&amp;ROW(AU86),基本資料填寫!$A:$DN,COLUMN(基本資料填寫!BI87),0),"")</f>
        <v/>
      </c>
      <c r="BG87" s="47" t="str">
        <f>IFERROR(VLOOKUP($A$1&amp;"-"&amp;ROW(AV86),基本資料填寫!$A:$DN,COLUMN(基本資料填寫!BJ87),0),"")</f>
        <v/>
      </c>
      <c r="BH87" s="47" t="str">
        <f>IFERROR(VLOOKUP($A$1&amp;"-"&amp;ROW(AW86),基本資料填寫!$A:$DN,COLUMN(基本資料填寫!BK87),0),"")</f>
        <v/>
      </c>
      <c r="BI87" s="47" t="str">
        <f>IFERROR(VLOOKUP($A$1&amp;"-"&amp;ROW(AX86),基本資料填寫!$A:$DN,COLUMN(基本資料填寫!BL87),0),"")</f>
        <v/>
      </c>
      <c r="BJ87" s="47" t="str">
        <f>IFERROR(VLOOKUP($A$1&amp;"-"&amp;ROW(AY86),基本資料填寫!$A:$DN,COLUMN(基本資料填寫!BM87),0),"")</f>
        <v/>
      </c>
      <c r="BK87" s="47" t="str">
        <f>IFERROR(VLOOKUP($A$1&amp;"-"&amp;ROW(AZ86),基本資料填寫!$A:$DN,COLUMN(基本資料填寫!BN87),0),"")</f>
        <v/>
      </c>
      <c r="BL87" s="47" t="str">
        <f>IFERROR(VLOOKUP($A$1&amp;"-"&amp;ROW(BA86),基本資料填寫!$A:$DN,COLUMN(基本資料填寫!BO87),0),"")</f>
        <v/>
      </c>
      <c r="BM87" s="47" t="str">
        <f>IFERROR(VLOOKUP($A$1&amp;"-"&amp;ROW(BB86),基本資料填寫!$A:$DN,COLUMN(基本資料填寫!BP87),0),"")</f>
        <v/>
      </c>
      <c r="BN87" s="47" t="str">
        <f>IFERROR(VLOOKUP($A$1&amp;"-"&amp;ROW(BC86),基本資料填寫!$A:$DN,COLUMN(基本資料填寫!BQ87),0),"")</f>
        <v/>
      </c>
      <c r="BO87" s="47" t="str">
        <f>IFERROR(VLOOKUP($A$1&amp;"-"&amp;ROW(BD86),基本資料填寫!$A:$DN,COLUMN(基本資料填寫!BR87),0),"")</f>
        <v/>
      </c>
    </row>
    <row r="88" spans="2:67" x14ac:dyDescent="0.3">
      <c r="B88" s="47" t="str">
        <f>IFERROR(VLOOKUP($A$1&amp;"-"&amp;ROW(A87),基本資料填寫!$A:$DN,COLUMN(基本資料填寫!K88),0),"")</f>
        <v/>
      </c>
      <c r="C88" s="47" t="str">
        <f>IFERROR(VLOOKUP($A$1&amp;"-"&amp;ROW(B87),基本資料填寫!$A:$DN,COLUMN(基本資料填寫!L88),0),"")</f>
        <v/>
      </c>
      <c r="D88" s="47" t="str">
        <f>IF(E88="","",COUNTA($E$2:E88))</f>
        <v/>
      </c>
      <c r="E88" s="47" t="str">
        <f>IFERROR(VLOOKUP($A$1&amp;"-"&amp;ROW(E87),基本資料填寫!$A:$DN,COLUMN(基本資料填寫!S88),0),"")</f>
        <v/>
      </c>
      <c r="G88" s="47" t="str">
        <f>IFERROR(VLOOKUP($A$1&amp;"-"&amp;ROW(G87),基本資料填寫!$A:$DN,COLUMN(基本資料填寫!V88),0),"")</f>
        <v/>
      </c>
      <c r="H88" s="47" t="str">
        <f>IFERROR(VLOOKUP($A$1&amp;"-"&amp;ROW(BI87),基本資料填寫!$A:$DN,COLUMN(基本資料填寫!BW88),0),"")</f>
        <v/>
      </c>
      <c r="I88" s="47" t="str">
        <f>IFERROR(VLOOKUP($A$1&amp;"-"&amp;ROW(I87),基本資料填寫!$A:$DN,COLUMN(基本資料填寫!AN88),0),"")</f>
        <v/>
      </c>
      <c r="J88" s="47" t="str">
        <f>IFERROR(VLOOKUP($A$1&amp;"-"&amp;ROW(K87),基本資料填寫!$A:$DN,COLUMN(基本資料填寫!R88),0),"")</f>
        <v/>
      </c>
      <c r="K88" s="47" t="str">
        <f>IFERROR(VLOOKUP($A$1&amp;"-"&amp;ROW(AA87),基本資料填寫!$A:$DN,COLUMN(基本資料填寫!BX88),0),"")</f>
        <v/>
      </c>
      <c r="L88" s="47" t="str">
        <f>IFERROR(VLOOKUP($A$1&amp;"-"&amp;ROW(S87),基本資料填寫!$A:$DN,COLUMN(基本資料填寫!Z88),0),"")</f>
        <v/>
      </c>
      <c r="M88" s="47" t="str">
        <f>IFERROR(VLOOKUP($A$1&amp;"-"&amp;ROW(T87),基本資料填寫!$A:$DN,COLUMN(基本資料填寫!AA88),0),"")</f>
        <v/>
      </c>
      <c r="N88" s="47" t="str">
        <f>IFERROR(VLOOKUP($A$1&amp;"-"&amp;ROW(AB87),基本資料填寫!$A:$DN,COLUMN(基本資料填寫!BY88),0),"")</f>
        <v/>
      </c>
      <c r="O88" s="47" t="str">
        <f>IFERROR(VLOOKUP($A$1&amp;"-"&amp;ROW(AC87),基本資料填寫!$A:$DN,COLUMN(基本資料填寫!BZ88),0),"")</f>
        <v/>
      </c>
      <c r="P88" s="47" t="str">
        <f>IFERROR(VLOOKUP($A$1&amp;"-"&amp;ROW(AD87),基本資料填寫!$A:$DN,COLUMN(基本資料填寫!CA88),0),"")</f>
        <v/>
      </c>
      <c r="Q88" s="47" t="str">
        <f>IFERROR(VLOOKUP($A$1&amp;"-"&amp;ROW(J87),基本資料填寫!$A:$DN,COLUMN(基本資料填寫!AO88),0),"")</f>
        <v/>
      </c>
      <c r="R88" s="47" t="str">
        <f>IFERROR(VLOOKUP($A$1&amp;"-"&amp;ROW(AE87),基本資料填寫!$A:$DN,COLUMN(基本資料填寫!CB88),0),"")</f>
        <v/>
      </c>
      <c r="S88" s="47" t="str">
        <f>IFERROR(VLOOKUP($A$1&amp;"-"&amp;ROW(AF87),基本資料填寫!$A:$DN,COLUMN(基本資料填寫!CC88),0),"")</f>
        <v/>
      </c>
      <c r="T88" s="47" t="str">
        <f>IFERROR(VLOOKUP($A$1&amp;"-"&amp;ROW(AG87),基本資料填寫!$A:$DN,COLUMN(基本資料填寫!CD88),0),"")</f>
        <v/>
      </c>
      <c r="U88" s="47" t="str">
        <f>IFERROR(VLOOKUP($A$1&amp;"-"&amp;ROW(AH87),基本資料填寫!$A:$DN,COLUMN(基本資料填寫!CE88),0),"")</f>
        <v/>
      </c>
      <c r="V88" s="47" t="str">
        <f>IFERROR(VLOOKUP($A$1&amp;"-"&amp;ROW(AI87),基本資料填寫!$A:$DN,COLUMN(基本資料填寫!CF88),0),"")</f>
        <v/>
      </c>
      <c r="W88" s="47" t="str">
        <f>IFERROR(VLOOKUP($A$1&amp;"-"&amp;ROW(AJ87),基本資料填寫!$A:$DN,COLUMN(基本資料填寫!CG88),0),"")</f>
        <v/>
      </c>
      <c r="X88" s="47" t="str">
        <f>IFERROR(VLOOKUP($A$1&amp;"-"&amp;ROW(AK87),基本資料填寫!$A:$DN,COLUMN(基本資料填寫!CH88),0),"")</f>
        <v/>
      </c>
      <c r="Y88" s="47" t="str">
        <f>IFERROR(VLOOKUP($A$1&amp;"-"&amp;ROW(AL87),基本資料填寫!$A:$DN,COLUMN(基本資料填寫!CI88),0),"")</f>
        <v/>
      </c>
      <c r="Z88" s="47" t="str">
        <f>IFERROR(VLOOKUP($A$1&amp;"-"&amp;ROW(H87),基本資料填寫!$A:$DN,COLUMN(基本資料填寫!O88),0),"")</f>
        <v/>
      </c>
      <c r="AA88" s="47" t="str">
        <f>IFERROR(VLOOKUP($A$1&amp;"-"&amp;ROW(AM87),基本資料填寫!$A:$DN,COLUMN(基本資料填寫!CJ88),0),"")</f>
        <v/>
      </c>
      <c r="AB88" s="47" t="str">
        <f>IFERROR(VLOOKUP($A$1&amp;"-"&amp;ROW(AN87),基本資料填寫!$A:$DN,COLUMN(基本資料填寫!CK88),0),"")</f>
        <v/>
      </c>
      <c r="AC88" s="47" t="str">
        <f>IFERROR(VLOOKUP($A$1&amp;"-"&amp;ROW(AP87),基本資料填寫!$A:$DN,COLUMN(基本資料填寫!CN88),0),"")</f>
        <v/>
      </c>
      <c r="AD88" s="47" t="str">
        <f>IFERROR(VLOOKUP($A$1&amp;"-"&amp;ROW(AQ87),基本資料填寫!$A:$DN,COLUMN(基本資料填寫!CO88),0),"")</f>
        <v/>
      </c>
      <c r="AE88" s="47" t="str">
        <f>IFERROR(VLOOKUP($A$1&amp;"-"&amp;ROW(AR87),基本資料填寫!$A:$DN,COLUMN(基本資料填寫!CP88),0),"")</f>
        <v/>
      </c>
      <c r="AF88" s="47" t="str">
        <f>IFERROR(VLOOKUP($A$1&amp;"-"&amp;ROW(AS87),基本資料填寫!$A:$DN,COLUMN(基本資料填寫!CQ88),0),"")</f>
        <v/>
      </c>
      <c r="AG88" s="47" t="str">
        <f>IFERROR(VLOOKUP($A$1&amp;"-"&amp;ROW(AT87),基本資料填寫!$A:$DN,COLUMN(基本資料填寫!CR88),0),"")</f>
        <v/>
      </c>
      <c r="AH88" s="47" t="str">
        <f>IFERROR(VLOOKUP($A$1&amp;"-"&amp;ROW(AU87),基本資料填寫!$A:$DN,COLUMN(基本資料填寫!CS88),0),"")</f>
        <v/>
      </c>
      <c r="AI88" s="47" t="str">
        <f>IFERROR(VLOOKUP($A$1&amp;"-"&amp;ROW(P87),基本資料填寫!$A:$DN,COLUMN(基本資料填寫!X88),0),"")</f>
        <v/>
      </c>
      <c r="AJ88" s="47" t="str">
        <f>IFERROR(VLOOKUP($A$1&amp;"-"&amp;ROW(AV87),基本資料填寫!$A:$DN,COLUMN(基本資料填寫!CT88),0),"")</f>
        <v/>
      </c>
      <c r="AK88" s="47" t="str">
        <f>IFERROR(VLOOKUP($A$1&amp;"-"&amp;ROW(AC87),基本資料填寫!$A:$DN,COLUMN(基本資料填寫!AQ88),0),"")</f>
        <v/>
      </c>
      <c r="AL88" s="47" t="str">
        <f>IFERROR(VLOOKUP($A$1&amp;"-"&amp;ROW(AO87),基本資料填寫!$A:$DN,COLUMN(基本資料填寫!CM88),0),"")</f>
        <v/>
      </c>
      <c r="AM88" s="47" t="str">
        <f>IFERROR(VLOOKUP($A$1&amp;"-"&amp;ROW(AD87),基本資料填寫!$A:$DN,COLUMN(基本資料填寫!AR88),0),"")</f>
        <v/>
      </c>
      <c r="AN88" s="47" t="str">
        <f>IFERROR(VLOOKUP($A$1&amp;"-"&amp;ROW(K87),基本資料填寫!$A:$DN,COLUMN(基本資料填寫!AP88),0),"")</f>
        <v/>
      </c>
      <c r="AO88" s="47" t="str">
        <f>IFERROR(VLOOKUP($A$1&amp;"-"&amp;ROW(J87),基本資料填寫!$A:$DN,COLUMN(基本資料填寫!AO88),0),"")</f>
        <v/>
      </c>
      <c r="AP88" s="47" t="str">
        <f>IFERROR(VLOOKUP($A$1&amp;"-"&amp;ROW(AE87),基本資料填寫!$A:$DN,COLUMN(基本資料填寫!AS88),0),"")</f>
        <v/>
      </c>
      <c r="AQ88" s="47" t="str">
        <f>IFERROR(VLOOKUP($A$1&amp;"-"&amp;ROW(AF87),基本資料填寫!$A:$DN,COLUMN(基本資料填寫!AT88),0),"")</f>
        <v/>
      </c>
      <c r="AR88" s="47" t="str">
        <f>IFERROR(VLOOKUP($A$1&amp;"-"&amp;ROW(AG87),基本資料填寫!$A:$DN,COLUMN(基本資料填寫!AU88),0),"")</f>
        <v/>
      </c>
      <c r="AS88" s="47" t="str">
        <f>IFERROR(VLOOKUP($A$1&amp;"-"&amp;ROW(AH87),基本資料填寫!$A:$DN,COLUMN(基本資料填寫!AV88),0),"")</f>
        <v/>
      </c>
      <c r="AT88" s="47" t="str">
        <f>IFERROR(VLOOKUP($A$1&amp;"-"&amp;ROW(AI87),基本資料填寫!$A:$DN,COLUMN(基本資料填寫!AW88),0),"")</f>
        <v/>
      </c>
      <c r="AU88" s="47" t="str">
        <f>IFERROR(VLOOKUP($A$1&amp;"-"&amp;ROW(AJ87),基本資料填寫!$A:$DN,COLUMN(基本資料填寫!AX88),0),"")</f>
        <v/>
      </c>
      <c r="AV88" s="47" t="str">
        <f>IFERROR(VLOOKUP($A$1&amp;"-"&amp;ROW(AK87),基本資料填寫!$A:$DN,COLUMN(基本資料填寫!AY88),0),"")</f>
        <v/>
      </c>
      <c r="AW88" s="47" t="str">
        <f>IFERROR(VLOOKUP($A$1&amp;"-"&amp;ROW(AL87),基本資料填寫!$A:$DN,COLUMN(基本資料填寫!AZ88),0),"")</f>
        <v/>
      </c>
      <c r="AX88" s="47" t="str">
        <f>IFERROR(VLOOKUP($A$1&amp;"-"&amp;ROW(AM87),基本資料填寫!$A:$DN,COLUMN(基本資料填寫!BA88),0),"")</f>
        <v/>
      </c>
      <c r="AY88" s="47" t="str">
        <f>IFERROR(VLOOKUP($A$1&amp;"-"&amp;ROW(AN87),基本資料填寫!$A:$DN,COLUMN(基本資料填寫!BB88),0),"")</f>
        <v/>
      </c>
      <c r="AZ88" s="47" t="str">
        <f>IFERROR(VLOOKUP($A$1&amp;"-"&amp;ROW(AO87),基本資料填寫!$A:$DN,COLUMN(基本資料填寫!BC88),0),"")</f>
        <v/>
      </c>
      <c r="BA88" s="47" t="str">
        <f>IFERROR(VLOOKUP($A$1&amp;"-"&amp;ROW(AP87),基本資料填寫!$A:$DN,COLUMN(基本資料填寫!BD88),0),"")</f>
        <v/>
      </c>
      <c r="BB88" s="47" t="str">
        <f>IFERROR(VLOOKUP($A$1&amp;"-"&amp;ROW(AQ87),基本資料填寫!$A:$DN,COLUMN(基本資料填寫!BE88),0),"")</f>
        <v/>
      </c>
      <c r="BC88" s="47" t="str">
        <f>IFERROR(VLOOKUP($A$1&amp;"-"&amp;ROW(AR87),基本資料填寫!$A:$DN,COLUMN(基本資料填寫!BF88),0),"")</f>
        <v/>
      </c>
      <c r="BD88" s="47" t="str">
        <f>IFERROR(VLOOKUP($A$1&amp;"-"&amp;ROW(AS87),基本資料填寫!$A:$DN,COLUMN(基本資料填寫!BG88),0),"")</f>
        <v/>
      </c>
      <c r="BE88" s="47" t="str">
        <f>IFERROR(VLOOKUP($A$1&amp;"-"&amp;ROW(AT87),基本資料填寫!$A:$DN,COLUMN(基本資料填寫!BH88),0),"")</f>
        <v/>
      </c>
      <c r="BF88" s="47" t="str">
        <f>IFERROR(VLOOKUP($A$1&amp;"-"&amp;ROW(AU87),基本資料填寫!$A:$DN,COLUMN(基本資料填寫!BI88),0),"")</f>
        <v/>
      </c>
      <c r="BG88" s="47" t="str">
        <f>IFERROR(VLOOKUP($A$1&amp;"-"&amp;ROW(AV87),基本資料填寫!$A:$DN,COLUMN(基本資料填寫!BJ88),0),"")</f>
        <v/>
      </c>
      <c r="BH88" s="47" t="str">
        <f>IFERROR(VLOOKUP($A$1&amp;"-"&amp;ROW(AW87),基本資料填寫!$A:$DN,COLUMN(基本資料填寫!BK88),0),"")</f>
        <v/>
      </c>
      <c r="BI88" s="47" t="str">
        <f>IFERROR(VLOOKUP($A$1&amp;"-"&amp;ROW(AX87),基本資料填寫!$A:$DN,COLUMN(基本資料填寫!BL88),0),"")</f>
        <v/>
      </c>
      <c r="BJ88" s="47" t="str">
        <f>IFERROR(VLOOKUP($A$1&amp;"-"&amp;ROW(AY87),基本資料填寫!$A:$DN,COLUMN(基本資料填寫!BM88),0),"")</f>
        <v/>
      </c>
      <c r="BK88" s="47" t="str">
        <f>IFERROR(VLOOKUP($A$1&amp;"-"&amp;ROW(AZ87),基本資料填寫!$A:$DN,COLUMN(基本資料填寫!BN88),0),"")</f>
        <v/>
      </c>
      <c r="BL88" s="47" t="str">
        <f>IFERROR(VLOOKUP($A$1&amp;"-"&amp;ROW(BA87),基本資料填寫!$A:$DN,COLUMN(基本資料填寫!BO88),0),"")</f>
        <v/>
      </c>
      <c r="BM88" s="47" t="str">
        <f>IFERROR(VLOOKUP($A$1&amp;"-"&amp;ROW(BB87),基本資料填寫!$A:$DN,COLUMN(基本資料填寫!BP88),0),"")</f>
        <v/>
      </c>
      <c r="BN88" s="47" t="str">
        <f>IFERROR(VLOOKUP($A$1&amp;"-"&amp;ROW(BC87),基本資料填寫!$A:$DN,COLUMN(基本資料填寫!BQ88),0),"")</f>
        <v/>
      </c>
      <c r="BO88" s="47" t="str">
        <f>IFERROR(VLOOKUP($A$1&amp;"-"&amp;ROW(BD87),基本資料填寫!$A:$DN,COLUMN(基本資料填寫!BR88),0),"")</f>
        <v/>
      </c>
    </row>
    <row r="89" spans="2:67" x14ac:dyDescent="0.3">
      <c r="B89" s="47" t="str">
        <f>IFERROR(VLOOKUP($A$1&amp;"-"&amp;ROW(A88),基本資料填寫!$A:$DN,COLUMN(基本資料填寫!K89),0),"")</f>
        <v/>
      </c>
      <c r="C89" s="47" t="str">
        <f>IFERROR(VLOOKUP($A$1&amp;"-"&amp;ROW(B88),基本資料填寫!$A:$DN,COLUMN(基本資料填寫!L89),0),"")</f>
        <v/>
      </c>
      <c r="D89" s="47" t="str">
        <f>IF(E89="","",COUNTA($E$2:E89))</f>
        <v/>
      </c>
      <c r="E89" s="47" t="str">
        <f>IFERROR(VLOOKUP($A$1&amp;"-"&amp;ROW(E88),基本資料填寫!$A:$DN,COLUMN(基本資料填寫!S89),0),"")</f>
        <v/>
      </c>
      <c r="G89" s="47" t="str">
        <f>IFERROR(VLOOKUP($A$1&amp;"-"&amp;ROW(G88),基本資料填寫!$A:$DN,COLUMN(基本資料填寫!V89),0),"")</f>
        <v/>
      </c>
      <c r="H89" s="47" t="str">
        <f>IFERROR(VLOOKUP($A$1&amp;"-"&amp;ROW(BI88),基本資料填寫!$A:$DN,COLUMN(基本資料填寫!BW89),0),"")</f>
        <v/>
      </c>
      <c r="I89" s="47" t="str">
        <f>IFERROR(VLOOKUP($A$1&amp;"-"&amp;ROW(I88),基本資料填寫!$A:$DN,COLUMN(基本資料填寫!AN89),0),"")</f>
        <v/>
      </c>
      <c r="J89" s="47" t="str">
        <f>IFERROR(VLOOKUP($A$1&amp;"-"&amp;ROW(K88),基本資料填寫!$A:$DN,COLUMN(基本資料填寫!R89),0),"")</f>
        <v/>
      </c>
      <c r="K89" s="47" t="str">
        <f>IFERROR(VLOOKUP($A$1&amp;"-"&amp;ROW(AA88),基本資料填寫!$A:$DN,COLUMN(基本資料填寫!BX89),0),"")</f>
        <v/>
      </c>
      <c r="L89" s="47" t="str">
        <f>IFERROR(VLOOKUP($A$1&amp;"-"&amp;ROW(S88),基本資料填寫!$A:$DN,COLUMN(基本資料填寫!Z89),0),"")</f>
        <v/>
      </c>
      <c r="M89" s="47" t="str">
        <f>IFERROR(VLOOKUP($A$1&amp;"-"&amp;ROW(T88),基本資料填寫!$A:$DN,COLUMN(基本資料填寫!AA89),0),"")</f>
        <v/>
      </c>
      <c r="N89" s="47" t="str">
        <f>IFERROR(VLOOKUP($A$1&amp;"-"&amp;ROW(AB88),基本資料填寫!$A:$DN,COLUMN(基本資料填寫!BY89),0),"")</f>
        <v/>
      </c>
      <c r="O89" s="47" t="str">
        <f>IFERROR(VLOOKUP($A$1&amp;"-"&amp;ROW(AC88),基本資料填寫!$A:$DN,COLUMN(基本資料填寫!BZ89),0),"")</f>
        <v/>
      </c>
      <c r="P89" s="47" t="str">
        <f>IFERROR(VLOOKUP($A$1&amp;"-"&amp;ROW(AD88),基本資料填寫!$A:$DN,COLUMN(基本資料填寫!CA89),0),"")</f>
        <v/>
      </c>
      <c r="Q89" s="47" t="str">
        <f>IFERROR(VLOOKUP($A$1&amp;"-"&amp;ROW(J88),基本資料填寫!$A:$DN,COLUMN(基本資料填寫!AO89),0),"")</f>
        <v/>
      </c>
      <c r="R89" s="47" t="str">
        <f>IFERROR(VLOOKUP($A$1&amp;"-"&amp;ROW(AE88),基本資料填寫!$A:$DN,COLUMN(基本資料填寫!CB89),0),"")</f>
        <v/>
      </c>
      <c r="S89" s="47" t="str">
        <f>IFERROR(VLOOKUP($A$1&amp;"-"&amp;ROW(AF88),基本資料填寫!$A:$DN,COLUMN(基本資料填寫!CC89),0),"")</f>
        <v/>
      </c>
      <c r="T89" s="47" t="str">
        <f>IFERROR(VLOOKUP($A$1&amp;"-"&amp;ROW(AG88),基本資料填寫!$A:$DN,COLUMN(基本資料填寫!CD89),0),"")</f>
        <v/>
      </c>
      <c r="U89" s="47" t="str">
        <f>IFERROR(VLOOKUP($A$1&amp;"-"&amp;ROW(AH88),基本資料填寫!$A:$DN,COLUMN(基本資料填寫!CE89),0),"")</f>
        <v/>
      </c>
      <c r="V89" s="47" t="str">
        <f>IFERROR(VLOOKUP($A$1&amp;"-"&amp;ROW(AI88),基本資料填寫!$A:$DN,COLUMN(基本資料填寫!CF89),0),"")</f>
        <v/>
      </c>
      <c r="W89" s="47" t="str">
        <f>IFERROR(VLOOKUP($A$1&amp;"-"&amp;ROW(AJ88),基本資料填寫!$A:$DN,COLUMN(基本資料填寫!CG89),0),"")</f>
        <v/>
      </c>
      <c r="X89" s="47" t="str">
        <f>IFERROR(VLOOKUP($A$1&amp;"-"&amp;ROW(AK88),基本資料填寫!$A:$DN,COLUMN(基本資料填寫!CH89),0),"")</f>
        <v/>
      </c>
      <c r="Y89" s="47" t="str">
        <f>IFERROR(VLOOKUP($A$1&amp;"-"&amp;ROW(AL88),基本資料填寫!$A:$DN,COLUMN(基本資料填寫!CI89),0),"")</f>
        <v/>
      </c>
      <c r="Z89" s="47" t="str">
        <f>IFERROR(VLOOKUP($A$1&amp;"-"&amp;ROW(H88),基本資料填寫!$A:$DN,COLUMN(基本資料填寫!O89),0),"")</f>
        <v/>
      </c>
      <c r="AA89" s="47" t="str">
        <f>IFERROR(VLOOKUP($A$1&amp;"-"&amp;ROW(AM88),基本資料填寫!$A:$DN,COLUMN(基本資料填寫!CJ89),0),"")</f>
        <v/>
      </c>
      <c r="AB89" s="47" t="str">
        <f>IFERROR(VLOOKUP($A$1&amp;"-"&amp;ROW(AN88),基本資料填寫!$A:$DN,COLUMN(基本資料填寫!CK89),0),"")</f>
        <v/>
      </c>
      <c r="AC89" s="47" t="str">
        <f>IFERROR(VLOOKUP($A$1&amp;"-"&amp;ROW(AP88),基本資料填寫!$A:$DN,COLUMN(基本資料填寫!CN89),0),"")</f>
        <v/>
      </c>
      <c r="AD89" s="47" t="str">
        <f>IFERROR(VLOOKUP($A$1&amp;"-"&amp;ROW(AQ88),基本資料填寫!$A:$DN,COLUMN(基本資料填寫!CO89),0),"")</f>
        <v/>
      </c>
      <c r="AE89" s="47" t="str">
        <f>IFERROR(VLOOKUP($A$1&amp;"-"&amp;ROW(AR88),基本資料填寫!$A:$DN,COLUMN(基本資料填寫!CP89),0),"")</f>
        <v/>
      </c>
      <c r="AF89" s="47" t="str">
        <f>IFERROR(VLOOKUP($A$1&amp;"-"&amp;ROW(AS88),基本資料填寫!$A:$DN,COLUMN(基本資料填寫!CQ89),0),"")</f>
        <v/>
      </c>
      <c r="AG89" s="47" t="str">
        <f>IFERROR(VLOOKUP($A$1&amp;"-"&amp;ROW(AT88),基本資料填寫!$A:$DN,COLUMN(基本資料填寫!CR89),0),"")</f>
        <v/>
      </c>
      <c r="AH89" s="47" t="str">
        <f>IFERROR(VLOOKUP($A$1&amp;"-"&amp;ROW(AU88),基本資料填寫!$A:$DN,COLUMN(基本資料填寫!CS89),0),"")</f>
        <v/>
      </c>
      <c r="AI89" s="47" t="str">
        <f>IFERROR(VLOOKUP($A$1&amp;"-"&amp;ROW(P88),基本資料填寫!$A:$DN,COLUMN(基本資料填寫!X89),0),"")</f>
        <v/>
      </c>
      <c r="AJ89" s="47" t="str">
        <f>IFERROR(VLOOKUP($A$1&amp;"-"&amp;ROW(AV88),基本資料填寫!$A:$DN,COLUMN(基本資料填寫!CT89),0),"")</f>
        <v/>
      </c>
      <c r="AK89" s="47" t="str">
        <f>IFERROR(VLOOKUP($A$1&amp;"-"&amp;ROW(AC88),基本資料填寫!$A:$DN,COLUMN(基本資料填寫!AQ89),0),"")</f>
        <v/>
      </c>
      <c r="AL89" s="47" t="str">
        <f>IFERROR(VLOOKUP($A$1&amp;"-"&amp;ROW(AO88),基本資料填寫!$A:$DN,COLUMN(基本資料填寫!CM89),0),"")</f>
        <v/>
      </c>
      <c r="AM89" s="47" t="str">
        <f>IFERROR(VLOOKUP($A$1&amp;"-"&amp;ROW(AD88),基本資料填寫!$A:$DN,COLUMN(基本資料填寫!AR89),0),"")</f>
        <v/>
      </c>
      <c r="AN89" s="47" t="str">
        <f>IFERROR(VLOOKUP($A$1&amp;"-"&amp;ROW(K88),基本資料填寫!$A:$DN,COLUMN(基本資料填寫!AP89),0),"")</f>
        <v/>
      </c>
      <c r="AO89" s="47" t="str">
        <f>IFERROR(VLOOKUP($A$1&amp;"-"&amp;ROW(J88),基本資料填寫!$A:$DN,COLUMN(基本資料填寫!AO89),0),"")</f>
        <v/>
      </c>
      <c r="AP89" s="47" t="str">
        <f>IFERROR(VLOOKUP($A$1&amp;"-"&amp;ROW(AE88),基本資料填寫!$A:$DN,COLUMN(基本資料填寫!AS89),0),"")</f>
        <v/>
      </c>
      <c r="AQ89" s="47" t="str">
        <f>IFERROR(VLOOKUP($A$1&amp;"-"&amp;ROW(AF88),基本資料填寫!$A:$DN,COLUMN(基本資料填寫!AT89),0),"")</f>
        <v/>
      </c>
      <c r="AR89" s="47" t="str">
        <f>IFERROR(VLOOKUP($A$1&amp;"-"&amp;ROW(AG88),基本資料填寫!$A:$DN,COLUMN(基本資料填寫!AU89),0),"")</f>
        <v/>
      </c>
      <c r="AS89" s="47" t="str">
        <f>IFERROR(VLOOKUP($A$1&amp;"-"&amp;ROW(AH88),基本資料填寫!$A:$DN,COLUMN(基本資料填寫!AV89),0),"")</f>
        <v/>
      </c>
      <c r="AT89" s="47" t="str">
        <f>IFERROR(VLOOKUP($A$1&amp;"-"&amp;ROW(AI88),基本資料填寫!$A:$DN,COLUMN(基本資料填寫!AW89),0),"")</f>
        <v/>
      </c>
      <c r="AU89" s="47" t="str">
        <f>IFERROR(VLOOKUP($A$1&amp;"-"&amp;ROW(AJ88),基本資料填寫!$A:$DN,COLUMN(基本資料填寫!AX89),0),"")</f>
        <v/>
      </c>
      <c r="AV89" s="47" t="str">
        <f>IFERROR(VLOOKUP($A$1&amp;"-"&amp;ROW(AK88),基本資料填寫!$A:$DN,COLUMN(基本資料填寫!AY89),0),"")</f>
        <v/>
      </c>
      <c r="AW89" s="47" t="str">
        <f>IFERROR(VLOOKUP($A$1&amp;"-"&amp;ROW(AL88),基本資料填寫!$A:$DN,COLUMN(基本資料填寫!AZ89),0),"")</f>
        <v/>
      </c>
      <c r="AX89" s="47" t="str">
        <f>IFERROR(VLOOKUP($A$1&amp;"-"&amp;ROW(AM88),基本資料填寫!$A:$DN,COLUMN(基本資料填寫!BA89),0),"")</f>
        <v/>
      </c>
      <c r="AY89" s="47" t="str">
        <f>IFERROR(VLOOKUP($A$1&amp;"-"&amp;ROW(AN88),基本資料填寫!$A:$DN,COLUMN(基本資料填寫!BB89),0),"")</f>
        <v/>
      </c>
      <c r="AZ89" s="47" t="str">
        <f>IFERROR(VLOOKUP($A$1&amp;"-"&amp;ROW(AO88),基本資料填寫!$A:$DN,COLUMN(基本資料填寫!BC89),0),"")</f>
        <v/>
      </c>
      <c r="BA89" s="47" t="str">
        <f>IFERROR(VLOOKUP($A$1&amp;"-"&amp;ROW(AP88),基本資料填寫!$A:$DN,COLUMN(基本資料填寫!BD89),0),"")</f>
        <v/>
      </c>
      <c r="BB89" s="47" t="str">
        <f>IFERROR(VLOOKUP($A$1&amp;"-"&amp;ROW(AQ88),基本資料填寫!$A:$DN,COLUMN(基本資料填寫!BE89),0),"")</f>
        <v/>
      </c>
      <c r="BC89" s="47" t="str">
        <f>IFERROR(VLOOKUP($A$1&amp;"-"&amp;ROW(AR88),基本資料填寫!$A:$DN,COLUMN(基本資料填寫!BF89),0),"")</f>
        <v/>
      </c>
      <c r="BD89" s="47" t="str">
        <f>IFERROR(VLOOKUP($A$1&amp;"-"&amp;ROW(AS88),基本資料填寫!$A:$DN,COLUMN(基本資料填寫!BG89),0),"")</f>
        <v/>
      </c>
      <c r="BE89" s="47" t="str">
        <f>IFERROR(VLOOKUP($A$1&amp;"-"&amp;ROW(AT88),基本資料填寫!$A:$DN,COLUMN(基本資料填寫!BH89),0),"")</f>
        <v/>
      </c>
      <c r="BF89" s="47" t="str">
        <f>IFERROR(VLOOKUP($A$1&amp;"-"&amp;ROW(AU88),基本資料填寫!$A:$DN,COLUMN(基本資料填寫!BI89),0),"")</f>
        <v/>
      </c>
      <c r="BG89" s="47" t="str">
        <f>IFERROR(VLOOKUP($A$1&amp;"-"&amp;ROW(AV88),基本資料填寫!$A:$DN,COLUMN(基本資料填寫!BJ89),0),"")</f>
        <v/>
      </c>
      <c r="BH89" s="47" t="str">
        <f>IFERROR(VLOOKUP($A$1&amp;"-"&amp;ROW(AW88),基本資料填寫!$A:$DN,COLUMN(基本資料填寫!BK89),0),"")</f>
        <v/>
      </c>
      <c r="BI89" s="47" t="str">
        <f>IFERROR(VLOOKUP($A$1&amp;"-"&amp;ROW(AX88),基本資料填寫!$A:$DN,COLUMN(基本資料填寫!BL89),0),"")</f>
        <v/>
      </c>
      <c r="BJ89" s="47" t="str">
        <f>IFERROR(VLOOKUP($A$1&amp;"-"&amp;ROW(AY88),基本資料填寫!$A:$DN,COLUMN(基本資料填寫!BM89),0),"")</f>
        <v/>
      </c>
      <c r="BK89" s="47" t="str">
        <f>IFERROR(VLOOKUP($A$1&amp;"-"&amp;ROW(AZ88),基本資料填寫!$A:$DN,COLUMN(基本資料填寫!BN89),0),"")</f>
        <v/>
      </c>
      <c r="BL89" s="47" t="str">
        <f>IFERROR(VLOOKUP($A$1&amp;"-"&amp;ROW(BA88),基本資料填寫!$A:$DN,COLUMN(基本資料填寫!BO89),0),"")</f>
        <v/>
      </c>
      <c r="BM89" s="47" t="str">
        <f>IFERROR(VLOOKUP($A$1&amp;"-"&amp;ROW(BB88),基本資料填寫!$A:$DN,COLUMN(基本資料填寫!BP89),0),"")</f>
        <v/>
      </c>
      <c r="BN89" s="47" t="str">
        <f>IFERROR(VLOOKUP($A$1&amp;"-"&amp;ROW(BC88),基本資料填寫!$A:$DN,COLUMN(基本資料填寫!BQ89),0),"")</f>
        <v/>
      </c>
      <c r="BO89" s="47" t="str">
        <f>IFERROR(VLOOKUP($A$1&amp;"-"&amp;ROW(BD88),基本資料填寫!$A:$DN,COLUMN(基本資料填寫!BR89),0),"")</f>
        <v/>
      </c>
    </row>
    <row r="90" spans="2:67" x14ac:dyDescent="0.3">
      <c r="B90" s="47" t="str">
        <f>IFERROR(VLOOKUP($A$1&amp;"-"&amp;ROW(A89),基本資料填寫!$A:$DN,COLUMN(基本資料填寫!K90),0),"")</f>
        <v/>
      </c>
      <c r="C90" s="47" t="str">
        <f>IFERROR(VLOOKUP($A$1&amp;"-"&amp;ROW(B89),基本資料填寫!$A:$DN,COLUMN(基本資料填寫!L90),0),"")</f>
        <v/>
      </c>
      <c r="D90" s="47" t="str">
        <f>IF(E90="","",COUNTA($E$2:E90))</f>
        <v/>
      </c>
      <c r="E90" s="47" t="str">
        <f>IFERROR(VLOOKUP($A$1&amp;"-"&amp;ROW(E89),基本資料填寫!$A:$DN,COLUMN(基本資料填寫!S90),0),"")</f>
        <v/>
      </c>
      <c r="G90" s="47" t="str">
        <f>IFERROR(VLOOKUP($A$1&amp;"-"&amp;ROW(G89),基本資料填寫!$A:$DN,COLUMN(基本資料填寫!V90),0),"")</f>
        <v/>
      </c>
      <c r="H90" s="47" t="str">
        <f>IFERROR(VLOOKUP($A$1&amp;"-"&amp;ROW(BI89),基本資料填寫!$A:$DN,COLUMN(基本資料填寫!BW90),0),"")</f>
        <v/>
      </c>
      <c r="I90" s="47" t="str">
        <f>IFERROR(VLOOKUP($A$1&amp;"-"&amp;ROW(I89),基本資料填寫!$A:$DN,COLUMN(基本資料填寫!AN90),0),"")</f>
        <v/>
      </c>
      <c r="J90" s="47" t="str">
        <f>IFERROR(VLOOKUP($A$1&amp;"-"&amp;ROW(K89),基本資料填寫!$A:$DN,COLUMN(基本資料填寫!R90),0),"")</f>
        <v/>
      </c>
      <c r="K90" s="47" t="str">
        <f>IFERROR(VLOOKUP($A$1&amp;"-"&amp;ROW(AA89),基本資料填寫!$A:$DN,COLUMN(基本資料填寫!BX90),0),"")</f>
        <v/>
      </c>
      <c r="L90" s="47" t="str">
        <f>IFERROR(VLOOKUP($A$1&amp;"-"&amp;ROW(S89),基本資料填寫!$A:$DN,COLUMN(基本資料填寫!Z90),0),"")</f>
        <v/>
      </c>
      <c r="M90" s="47" t="str">
        <f>IFERROR(VLOOKUP($A$1&amp;"-"&amp;ROW(T89),基本資料填寫!$A:$DN,COLUMN(基本資料填寫!AA90),0),"")</f>
        <v/>
      </c>
      <c r="N90" s="47" t="str">
        <f>IFERROR(VLOOKUP($A$1&amp;"-"&amp;ROW(AB89),基本資料填寫!$A:$DN,COLUMN(基本資料填寫!BY90),0),"")</f>
        <v/>
      </c>
      <c r="O90" s="47" t="str">
        <f>IFERROR(VLOOKUP($A$1&amp;"-"&amp;ROW(AC89),基本資料填寫!$A:$DN,COLUMN(基本資料填寫!BZ90),0),"")</f>
        <v/>
      </c>
      <c r="P90" s="47" t="str">
        <f>IFERROR(VLOOKUP($A$1&amp;"-"&amp;ROW(AD89),基本資料填寫!$A:$DN,COLUMN(基本資料填寫!CA90),0),"")</f>
        <v/>
      </c>
      <c r="Q90" s="47" t="str">
        <f>IFERROR(VLOOKUP($A$1&amp;"-"&amp;ROW(J89),基本資料填寫!$A:$DN,COLUMN(基本資料填寫!AO90),0),"")</f>
        <v/>
      </c>
      <c r="R90" s="47" t="str">
        <f>IFERROR(VLOOKUP($A$1&amp;"-"&amp;ROW(AE89),基本資料填寫!$A:$DN,COLUMN(基本資料填寫!CB90),0),"")</f>
        <v/>
      </c>
      <c r="S90" s="47" t="str">
        <f>IFERROR(VLOOKUP($A$1&amp;"-"&amp;ROW(AF89),基本資料填寫!$A:$DN,COLUMN(基本資料填寫!CC90),0),"")</f>
        <v/>
      </c>
      <c r="T90" s="47" t="str">
        <f>IFERROR(VLOOKUP($A$1&amp;"-"&amp;ROW(AG89),基本資料填寫!$A:$DN,COLUMN(基本資料填寫!CD90),0),"")</f>
        <v/>
      </c>
      <c r="U90" s="47" t="str">
        <f>IFERROR(VLOOKUP($A$1&amp;"-"&amp;ROW(AH89),基本資料填寫!$A:$DN,COLUMN(基本資料填寫!CE90),0),"")</f>
        <v/>
      </c>
      <c r="V90" s="47" t="str">
        <f>IFERROR(VLOOKUP($A$1&amp;"-"&amp;ROW(AI89),基本資料填寫!$A:$DN,COLUMN(基本資料填寫!CF90),0),"")</f>
        <v/>
      </c>
      <c r="W90" s="47" t="str">
        <f>IFERROR(VLOOKUP($A$1&amp;"-"&amp;ROW(AJ89),基本資料填寫!$A:$DN,COLUMN(基本資料填寫!CG90),0),"")</f>
        <v/>
      </c>
      <c r="X90" s="47" t="str">
        <f>IFERROR(VLOOKUP($A$1&amp;"-"&amp;ROW(AK89),基本資料填寫!$A:$DN,COLUMN(基本資料填寫!CH90),0),"")</f>
        <v/>
      </c>
      <c r="Y90" s="47" t="str">
        <f>IFERROR(VLOOKUP($A$1&amp;"-"&amp;ROW(AL89),基本資料填寫!$A:$DN,COLUMN(基本資料填寫!CI90),0),"")</f>
        <v/>
      </c>
      <c r="Z90" s="47" t="str">
        <f>IFERROR(VLOOKUP($A$1&amp;"-"&amp;ROW(H89),基本資料填寫!$A:$DN,COLUMN(基本資料填寫!O90),0),"")</f>
        <v/>
      </c>
      <c r="AA90" s="47" t="str">
        <f>IFERROR(VLOOKUP($A$1&amp;"-"&amp;ROW(AM89),基本資料填寫!$A:$DN,COLUMN(基本資料填寫!CJ90),0),"")</f>
        <v/>
      </c>
      <c r="AB90" s="47" t="str">
        <f>IFERROR(VLOOKUP($A$1&amp;"-"&amp;ROW(AN89),基本資料填寫!$A:$DN,COLUMN(基本資料填寫!CK90),0),"")</f>
        <v/>
      </c>
      <c r="AC90" s="47" t="str">
        <f>IFERROR(VLOOKUP($A$1&amp;"-"&amp;ROW(AP89),基本資料填寫!$A:$DN,COLUMN(基本資料填寫!CN90),0),"")</f>
        <v/>
      </c>
      <c r="AD90" s="47" t="str">
        <f>IFERROR(VLOOKUP($A$1&amp;"-"&amp;ROW(AQ89),基本資料填寫!$A:$DN,COLUMN(基本資料填寫!CO90),0),"")</f>
        <v/>
      </c>
      <c r="AE90" s="47" t="str">
        <f>IFERROR(VLOOKUP($A$1&amp;"-"&amp;ROW(AR89),基本資料填寫!$A:$DN,COLUMN(基本資料填寫!CP90),0),"")</f>
        <v/>
      </c>
      <c r="AF90" s="47" t="str">
        <f>IFERROR(VLOOKUP($A$1&amp;"-"&amp;ROW(AS89),基本資料填寫!$A:$DN,COLUMN(基本資料填寫!CQ90),0),"")</f>
        <v/>
      </c>
      <c r="AG90" s="47" t="str">
        <f>IFERROR(VLOOKUP($A$1&amp;"-"&amp;ROW(AT89),基本資料填寫!$A:$DN,COLUMN(基本資料填寫!CR90),0),"")</f>
        <v/>
      </c>
      <c r="AH90" s="47" t="str">
        <f>IFERROR(VLOOKUP($A$1&amp;"-"&amp;ROW(AU89),基本資料填寫!$A:$DN,COLUMN(基本資料填寫!CS90),0),"")</f>
        <v/>
      </c>
      <c r="AI90" s="47" t="str">
        <f>IFERROR(VLOOKUP($A$1&amp;"-"&amp;ROW(P89),基本資料填寫!$A:$DN,COLUMN(基本資料填寫!X90),0),"")</f>
        <v/>
      </c>
      <c r="AJ90" s="47" t="str">
        <f>IFERROR(VLOOKUP($A$1&amp;"-"&amp;ROW(AV89),基本資料填寫!$A:$DN,COLUMN(基本資料填寫!CT90),0),"")</f>
        <v/>
      </c>
      <c r="AK90" s="47" t="str">
        <f>IFERROR(VLOOKUP($A$1&amp;"-"&amp;ROW(AC89),基本資料填寫!$A:$DN,COLUMN(基本資料填寫!AQ90),0),"")</f>
        <v/>
      </c>
      <c r="AL90" s="47" t="str">
        <f>IFERROR(VLOOKUP($A$1&amp;"-"&amp;ROW(AO89),基本資料填寫!$A:$DN,COLUMN(基本資料填寫!CM90),0),"")</f>
        <v/>
      </c>
      <c r="AM90" s="47" t="str">
        <f>IFERROR(VLOOKUP($A$1&amp;"-"&amp;ROW(AD89),基本資料填寫!$A:$DN,COLUMN(基本資料填寫!AR90),0),"")</f>
        <v/>
      </c>
      <c r="AN90" s="47" t="str">
        <f>IFERROR(VLOOKUP($A$1&amp;"-"&amp;ROW(K89),基本資料填寫!$A:$DN,COLUMN(基本資料填寫!AP90),0),"")</f>
        <v/>
      </c>
      <c r="AO90" s="47" t="str">
        <f>IFERROR(VLOOKUP($A$1&amp;"-"&amp;ROW(J89),基本資料填寫!$A:$DN,COLUMN(基本資料填寫!AO90),0),"")</f>
        <v/>
      </c>
      <c r="AP90" s="47" t="str">
        <f>IFERROR(VLOOKUP($A$1&amp;"-"&amp;ROW(AE89),基本資料填寫!$A:$DN,COLUMN(基本資料填寫!AS90),0),"")</f>
        <v/>
      </c>
      <c r="AQ90" s="47" t="str">
        <f>IFERROR(VLOOKUP($A$1&amp;"-"&amp;ROW(AF89),基本資料填寫!$A:$DN,COLUMN(基本資料填寫!AT90),0),"")</f>
        <v/>
      </c>
      <c r="AR90" s="47" t="str">
        <f>IFERROR(VLOOKUP($A$1&amp;"-"&amp;ROW(AG89),基本資料填寫!$A:$DN,COLUMN(基本資料填寫!AU90),0),"")</f>
        <v/>
      </c>
      <c r="AS90" s="47" t="str">
        <f>IFERROR(VLOOKUP($A$1&amp;"-"&amp;ROW(AH89),基本資料填寫!$A:$DN,COLUMN(基本資料填寫!AV90),0),"")</f>
        <v/>
      </c>
      <c r="AT90" s="47" t="str">
        <f>IFERROR(VLOOKUP($A$1&amp;"-"&amp;ROW(AI89),基本資料填寫!$A:$DN,COLUMN(基本資料填寫!AW90),0),"")</f>
        <v/>
      </c>
      <c r="AU90" s="47" t="str">
        <f>IFERROR(VLOOKUP($A$1&amp;"-"&amp;ROW(AJ89),基本資料填寫!$A:$DN,COLUMN(基本資料填寫!AX90),0),"")</f>
        <v/>
      </c>
      <c r="AV90" s="47" t="str">
        <f>IFERROR(VLOOKUP($A$1&amp;"-"&amp;ROW(AK89),基本資料填寫!$A:$DN,COLUMN(基本資料填寫!AY90),0),"")</f>
        <v/>
      </c>
      <c r="AW90" s="47" t="str">
        <f>IFERROR(VLOOKUP($A$1&amp;"-"&amp;ROW(AL89),基本資料填寫!$A:$DN,COLUMN(基本資料填寫!AZ90),0),"")</f>
        <v/>
      </c>
      <c r="AX90" s="47" t="str">
        <f>IFERROR(VLOOKUP($A$1&amp;"-"&amp;ROW(AM89),基本資料填寫!$A:$DN,COLUMN(基本資料填寫!BA90),0),"")</f>
        <v/>
      </c>
      <c r="AY90" s="47" t="str">
        <f>IFERROR(VLOOKUP($A$1&amp;"-"&amp;ROW(AN89),基本資料填寫!$A:$DN,COLUMN(基本資料填寫!BB90),0),"")</f>
        <v/>
      </c>
      <c r="AZ90" s="47" t="str">
        <f>IFERROR(VLOOKUP($A$1&amp;"-"&amp;ROW(AO89),基本資料填寫!$A:$DN,COLUMN(基本資料填寫!BC90),0),"")</f>
        <v/>
      </c>
      <c r="BA90" s="47" t="str">
        <f>IFERROR(VLOOKUP($A$1&amp;"-"&amp;ROW(AP89),基本資料填寫!$A:$DN,COLUMN(基本資料填寫!BD90),0),"")</f>
        <v/>
      </c>
      <c r="BB90" s="47" t="str">
        <f>IFERROR(VLOOKUP($A$1&amp;"-"&amp;ROW(AQ89),基本資料填寫!$A:$DN,COLUMN(基本資料填寫!BE90),0),"")</f>
        <v/>
      </c>
      <c r="BC90" s="47" t="str">
        <f>IFERROR(VLOOKUP($A$1&amp;"-"&amp;ROW(AR89),基本資料填寫!$A:$DN,COLUMN(基本資料填寫!BF90),0),"")</f>
        <v/>
      </c>
      <c r="BD90" s="47" t="str">
        <f>IFERROR(VLOOKUP($A$1&amp;"-"&amp;ROW(AS89),基本資料填寫!$A:$DN,COLUMN(基本資料填寫!BG90),0),"")</f>
        <v/>
      </c>
      <c r="BE90" s="47" t="str">
        <f>IFERROR(VLOOKUP($A$1&amp;"-"&amp;ROW(AT89),基本資料填寫!$A:$DN,COLUMN(基本資料填寫!BH90),0),"")</f>
        <v/>
      </c>
      <c r="BF90" s="47" t="str">
        <f>IFERROR(VLOOKUP($A$1&amp;"-"&amp;ROW(AU89),基本資料填寫!$A:$DN,COLUMN(基本資料填寫!BI90),0),"")</f>
        <v/>
      </c>
      <c r="BG90" s="47" t="str">
        <f>IFERROR(VLOOKUP($A$1&amp;"-"&amp;ROW(AV89),基本資料填寫!$A:$DN,COLUMN(基本資料填寫!BJ90),0),"")</f>
        <v/>
      </c>
      <c r="BH90" s="47" t="str">
        <f>IFERROR(VLOOKUP($A$1&amp;"-"&amp;ROW(AW89),基本資料填寫!$A:$DN,COLUMN(基本資料填寫!BK90),0),"")</f>
        <v/>
      </c>
      <c r="BI90" s="47" t="str">
        <f>IFERROR(VLOOKUP($A$1&amp;"-"&amp;ROW(AX89),基本資料填寫!$A:$DN,COLUMN(基本資料填寫!BL90),0),"")</f>
        <v/>
      </c>
      <c r="BJ90" s="47" t="str">
        <f>IFERROR(VLOOKUP($A$1&amp;"-"&amp;ROW(AY89),基本資料填寫!$A:$DN,COLUMN(基本資料填寫!BM90),0),"")</f>
        <v/>
      </c>
      <c r="BK90" s="47" t="str">
        <f>IFERROR(VLOOKUP($A$1&amp;"-"&amp;ROW(AZ89),基本資料填寫!$A:$DN,COLUMN(基本資料填寫!BN90),0),"")</f>
        <v/>
      </c>
      <c r="BL90" s="47" t="str">
        <f>IFERROR(VLOOKUP($A$1&amp;"-"&amp;ROW(BA89),基本資料填寫!$A:$DN,COLUMN(基本資料填寫!BO90),0),"")</f>
        <v/>
      </c>
      <c r="BM90" s="47" t="str">
        <f>IFERROR(VLOOKUP($A$1&amp;"-"&amp;ROW(BB89),基本資料填寫!$A:$DN,COLUMN(基本資料填寫!BP90),0),"")</f>
        <v/>
      </c>
      <c r="BN90" s="47" t="str">
        <f>IFERROR(VLOOKUP($A$1&amp;"-"&amp;ROW(BC89),基本資料填寫!$A:$DN,COLUMN(基本資料填寫!BQ90),0),"")</f>
        <v/>
      </c>
      <c r="BO90" s="47" t="str">
        <f>IFERROR(VLOOKUP($A$1&amp;"-"&amp;ROW(BD89),基本資料填寫!$A:$DN,COLUMN(基本資料填寫!BR90),0),"")</f>
        <v/>
      </c>
    </row>
    <row r="91" spans="2:67" x14ac:dyDescent="0.3">
      <c r="B91" s="47" t="str">
        <f>IFERROR(VLOOKUP($A$1&amp;"-"&amp;ROW(A90),基本資料填寫!$A:$DN,COLUMN(基本資料填寫!K91),0),"")</f>
        <v/>
      </c>
      <c r="C91" s="47" t="str">
        <f>IFERROR(VLOOKUP($A$1&amp;"-"&amp;ROW(B90),基本資料填寫!$A:$DN,COLUMN(基本資料填寫!L91),0),"")</f>
        <v/>
      </c>
      <c r="D91" s="47" t="str">
        <f>IF(E91="","",COUNTA($E$2:E91))</f>
        <v/>
      </c>
      <c r="E91" s="47" t="str">
        <f>IFERROR(VLOOKUP($A$1&amp;"-"&amp;ROW(E90),基本資料填寫!$A:$DN,COLUMN(基本資料填寫!S91),0),"")</f>
        <v/>
      </c>
      <c r="G91" s="47" t="str">
        <f>IFERROR(VLOOKUP($A$1&amp;"-"&amp;ROW(G90),基本資料填寫!$A:$DN,COLUMN(基本資料填寫!V91),0),"")</f>
        <v/>
      </c>
      <c r="H91" s="47" t="str">
        <f>IFERROR(VLOOKUP($A$1&amp;"-"&amp;ROW(BI90),基本資料填寫!$A:$DN,COLUMN(基本資料填寫!BW91),0),"")</f>
        <v/>
      </c>
      <c r="I91" s="47" t="str">
        <f>IFERROR(VLOOKUP($A$1&amp;"-"&amp;ROW(I90),基本資料填寫!$A:$DN,COLUMN(基本資料填寫!AN91),0),"")</f>
        <v/>
      </c>
      <c r="J91" s="47" t="str">
        <f>IFERROR(VLOOKUP($A$1&amp;"-"&amp;ROW(K90),基本資料填寫!$A:$DN,COLUMN(基本資料填寫!R91),0),"")</f>
        <v/>
      </c>
      <c r="K91" s="47" t="str">
        <f>IFERROR(VLOOKUP($A$1&amp;"-"&amp;ROW(AA90),基本資料填寫!$A:$DN,COLUMN(基本資料填寫!BX91),0),"")</f>
        <v/>
      </c>
      <c r="L91" s="47" t="str">
        <f>IFERROR(VLOOKUP($A$1&amp;"-"&amp;ROW(S90),基本資料填寫!$A:$DN,COLUMN(基本資料填寫!Z91),0),"")</f>
        <v/>
      </c>
      <c r="M91" s="47" t="str">
        <f>IFERROR(VLOOKUP($A$1&amp;"-"&amp;ROW(T90),基本資料填寫!$A:$DN,COLUMN(基本資料填寫!AA91),0),"")</f>
        <v/>
      </c>
      <c r="N91" s="47" t="str">
        <f>IFERROR(VLOOKUP($A$1&amp;"-"&amp;ROW(AB90),基本資料填寫!$A:$DN,COLUMN(基本資料填寫!BY91),0),"")</f>
        <v/>
      </c>
      <c r="O91" s="47" t="str">
        <f>IFERROR(VLOOKUP($A$1&amp;"-"&amp;ROW(AC90),基本資料填寫!$A:$DN,COLUMN(基本資料填寫!BZ91),0),"")</f>
        <v/>
      </c>
      <c r="P91" s="47" t="str">
        <f>IFERROR(VLOOKUP($A$1&amp;"-"&amp;ROW(AD90),基本資料填寫!$A:$DN,COLUMN(基本資料填寫!CA91),0),"")</f>
        <v/>
      </c>
      <c r="Q91" s="47" t="str">
        <f>IFERROR(VLOOKUP($A$1&amp;"-"&amp;ROW(J90),基本資料填寫!$A:$DN,COLUMN(基本資料填寫!AO91),0),"")</f>
        <v/>
      </c>
      <c r="R91" s="47" t="str">
        <f>IFERROR(VLOOKUP($A$1&amp;"-"&amp;ROW(AE90),基本資料填寫!$A:$DN,COLUMN(基本資料填寫!CB91),0),"")</f>
        <v/>
      </c>
      <c r="S91" s="47" t="str">
        <f>IFERROR(VLOOKUP($A$1&amp;"-"&amp;ROW(AF90),基本資料填寫!$A:$DN,COLUMN(基本資料填寫!CC91),0),"")</f>
        <v/>
      </c>
      <c r="T91" s="47" t="str">
        <f>IFERROR(VLOOKUP($A$1&amp;"-"&amp;ROW(AG90),基本資料填寫!$A:$DN,COLUMN(基本資料填寫!CD91),0),"")</f>
        <v/>
      </c>
      <c r="U91" s="47" t="str">
        <f>IFERROR(VLOOKUP($A$1&amp;"-"&amp;ROW(AH90),基本資料填寫!$A:$DN,COLUMN(基本資料填寫!CE91),0),"")</f>
        <v/>
      </c>
      <c r="V91" s="47" t="str">
        <f>IFERROR(VLOOKUP($A$1&amp;"-"&amp;ROW(AI90),基本資料填寫!$A:$DN,COLUMN(基本資料填寫!CF91),0),"")</f>
        <v/>
      </c>
      <c r="W91" s="47" t="str">
        <f>IFERROR(VLOOKUP($A$1&amp;"-"&amp;ROW(AJ90),基本資料填寫!$A:$DN,COLUMN(基本資料填寫!CG91),0),"")</f>
        <v/>
      </c>
      <c r="X91" s="47" t="str">
        <f>IFERROR(VLOOKUP($A$1&amp;"-"&amp;ROW(AK90),基本資料填寫!$A:$DN,COLUMN(基本資料填寫!CH91),0),"")</f>
        <v/>
      </c>
      <c r="Y91" s="47" t="str">
        <f>IFERROR(VLOOKUP($A$1&amp;"-"&amp;ROW(AL90),基本資料填寫!$A:$DN,COLUMN(基本資料填寫!CI91),0),"")</f>
        <v/>
      </c>
      <c r="Z91" s="47" t="str">
        <f>IFERROR(VLOOKUP($A$1&amp;"-"&amp;ROW(H90),基本資料填寫!$A:$DN,COLUMN(基本資料填寫!O91),0),"")</f>
        <v/>
      </c>
      <c r="AA91" s="47" t="str">
        <f>IFERROR(VLOOKUP($A$1&amp;"-"&amp;ROW(AM90),基本資料填寫!$A:$DN,COLUMN(基本資料填寫!CJ91),0),"")</f>
        <v/>
      </c>
      <c r="AB91" s="47" t="str">
        <f>IFERROR(VLOOKUP($A$1&amp;"-"&amp;ROW(AN90),基本資料填寫!$A:$DN,COLUMN(基本資料填寫!CK91),0),"")</f>
        <v/>
      </c>
      <c r="AC91" s="47" t="str">
        <f>IFERROR(VLOOKUP($A$1&amp;"-"&amp;ROW(AP90),基本資料填寫!$A:$DN,COLUMN(基本資料填寫!CN91),0),"")</f>
        <v/>
      </c>
      <c r="AD91" s="47" t="str">
        <f>IFERROR(VLOOKUP($A$1&amp;"-"&amp;ROW(AQ90),基本資料填寫!$A:$DN,COLUMN(基本資料填寫!CO91),0),"")</f>
        <v/>
      </c>
      <c r="AE91" s="47" t="str">
        <f>IFERROR(VLOOKUP($A$1&amp;"-"&amp;ROW(AR90),基本資料填寫!$A:$DN,COLUMN(基本資料填寫!CP91),0),"")</f>
        <v/>
      </c>
      <c r="AF91" s="47" t="str">
        <f>IFERROR(VLOOKUP($A$1&amp;"-"&amp;ROW(AS90),基本資料填寫!$A:$DN,COLUMN(基本資料填寫!CQ91),0),"")</f>
        <v/>
      </c>
      <c r="AG91" s="47" t="str">
        <f>IFERROR(VLOOKUP($A$1&amp;"-"&amp;ROW(AT90),基本資料填寫!$A:$DN,COLUMN(基本資料填寫!CR91),0),"")</f>
        <v/>
      </c>
      <c r="AH91" s="47" t="str">
        <f>IFERROR(VLOOKUP($A$1&amp;"-"&amp;ROW(AU90),基本資料填寫!$A:$DN,COLUMN(基本資料填寫!CS91),0),"")</f>
        <v/>
      </c>
      <c r="AI91" s="47" t="str">
        <f>IFERROR(VLOOKUP($A$1&amp;"-"&amp;ROW(P90),基本資料填寫!$A:$DN,COLUMN(基本資料填寫!X91),0),"")</f>
        <v/>
      </c>
      <c r="AJ91" s="47" t="str">
        <f>IFERROR(VLOOKUP($A$1&amp;"-"&amp;ROW(AV90),基本資料填寫!$A:$DN,COLUMN(基本資料填寫!CT91),0),"")</f>
        <v/>
      </c>
      <c r="AK91" s="47" t="str">
        <f>IFERROR(VLOOKUP($A$1&amp;"-"&amp;ROW(AC90),基本資料填寫!$A:$DN,COLUMN(基本資料填寫!AQ91),0),"")</f>
        <v/>
      </c>
      <c r="AL91" s="47" t="str">
        <f>IFERROR(VLOOKUP($A$1&amp;"-"&amp;ROW(AO90),基本資料填寫!$A:$DN,COLUMN(基本資料填寫!CM91),0),"")</f>
        <v/>
      </c>
      <c r="AM91" s="47" t="str">
        <f>IFERROR(VLOOKUP($A$1&amp;"-"&amp;ROW(AD90),基本資料填寫!$A:$DN,COLUMN(基本資料填寫!AR91),0),"")</f>
        <v/>
      </c>
      <c r="AN91" s="47" t="str">
        <f>IFERROR(VLOOKUP($A$1&amp;"-"&amp;ROW(K90),基本資料填寫!$A:$DN,COLUMN(基本資料填寫!AP91),0),"")</f>
        <v/>
      </c>
      <c r="AO91" s="47" t="str">
        <f>IFERROR(VLOOKUP($A$1&amp;"-"&amp;ROW(J90),基本資料填寫!$A:$DN,COLUMN(基本資料填寫!AO91),0),"")</f>
        <v/>
      </c>
      <c r="AP91" s="47" t="str">
        <f>IFERROR(VLOOKUP($A$1&amp;"-"&amp;ROW(AE90),基本資料填寫!$A:$DN,COLUMN(基本資料填寫!AS91),0),"")</f>
        <v/>
      </c>
      <c r="AQ91" s="47" t="str">
        <f>IFERROR(VLOOKUP($A$1&amp;"-"&amp;ROW(AF90),基本資料填寫!$A:$DN,COLUMN(基本資料填寫!AT91),0),"")</f>
        <v/>
      </c>
      <c r="AR91" s="47" t="str">
        <f>IFERROR(VLOOKUP($A$1&amp;"-"&amp;ROW(AG90),基本資料填寫!$A:$DN,COLUMN(基本資料填寫!AU91),0),"")</f>
        <v/>
      </c>
      <c r="AS91" s="47" t="str">
        <f>IFERROR(VLOOKUP($A$1&amp;"-"&amp;ROW(AH90),基本資料填寫!$A:$DN,COLUMN(基本資料填寫!AV91),0),"")</f>
        <v/>
      </c>
      <c r="AT91" s="47" t="str">
        <f>IFERROR(VLOOKUP($A$1&amp;"-"&amp;ROW(AI90),基本資料填寫!$A:$DN,COLUMN(基本資料填寫!AW91),0),"")</f>
        <v/>
      </c>
      <c r="AU91" s="47" t="str">
        <f>IFERROR(VLOOKUP($A$1&amp;"-"&amp;ROW(AJ90),基本資料填寫!$A:$DN,COLUMN(基本資料填寫!AX91),0),"")</f>
        <v/>
      </c>
      <c r="AV91" s="47" t="str">
        <f>IFERROR(VLOOKUP($A$1&amp;"-"&amp;ROW(AK90),基本資料填寫!$A:$DN,COLUMN(基本資料填寫!AY91),0),"")</f>
        <v/>
      </c>
      <c r="AW91" s="47" t="str">
        <f>IFERROR(VLOOKUP($A$1&amp;"-"&amp;ROW(AL90),基本資料填寫!$A:$DN,COLUMN(基本資料填寫!AZ91),0),"")</f>
        <v/>
      </c>
      <c r="AX91" s="47" t="str">
        <f>IFERROR(VLOOKUP($A$1&amp;"-"&amp;ROW(AM90),基本資料填寫!$A:$DN,COLUMN(基本資料填寫!BA91),0),"")</f>
        <v/>
      </c>
      <c r="AY91" s="47" t="str">
        <f>IFERROR(VLOOKUP($A$1&amp;"-"&amp;ROW(AN90),基本資料填寫!$A:$DN,COLUMN(基本資料填寫!BB91),0),"")</f>
        <v/>
      </c>
      <c r="AZ91" s="47" t="str">
        <f>IFERROR(VLOOKUP($A$1&amp;"-"&amp;ROW(AO90),基本資料填寫!$A:$DN,COLUMN(基本資料填寫!BC91),0),"")</f>
        <v/>
      </c>
      <c r="BA91" s="47" t="str">
        <f>IFERROR(VLOOKUP($A$1&amp;"-"&amp;ROW(AP90),基本資料填寫!$A:$DN,COLUMN(基本資料填寫!BD91),0),"")</f>
        <v/>
      </c>
      <c r="BB91" s="47" t="str">
        <f>IFERROR(VLOOKUP($A$1&amp;"-"&amp;ROW(AQ90),基本資料填寫!$A:$DN,COLUMN(基本資料填寫!BE91),0),"")</f>
        <v/>
      </c>
      <c r="BC91" s="47" t="str">
        <f>IFERROR(VLOOKUP($A$1&amp;"-"&amp;ROW(AR90),基本資料填寫!$A:$DN,COLUMN(基本資料填寫!BF91),0),"")</f>
        <v/>
      </c>
      <c r="BD91" s="47" t="str">
        <f>IFERROR(VLOOKUP($A$1&amp;"-"&amp;ROW(AS90),基本資料填寫!$A:$DN,COLUMN(基本資料填寫!BG91),0),"")</f>
        <v/>
      </c>
      <c r="BE91" s="47" t="str">
        <f>IFERROR(VLOOKUP($A$1&amp;"-"&amp;ROW(AT90),基本資料填寫!$A:$DN,COLUMN(基本資料填寫!BH91),0),"")</f>
        <v/>
      </c>
      <c r="BF91" s="47" t="str">
        <f>IFERROR(VLOOKUP($A$1&amp;"-"&amp;ROW(AU90),基本資料填寫!$A:$DN,COLUMN(基本資料填寫!BI91),0),"")</f>
        <v/>
      </c>
      <c r="BG91" s="47" t="str">
        <f>IFERROR(VLOOKUP($A$1&amp;"-"&amp;ROW(AV90),基本資料填寫!$A:$DN,COLUMN(基本資料填寫!BJ91),0),"")</f>
        <v/>
      </c>
      <c r="BH91" s="47" t="str">
        <f>IFERROR(VLOOKUP($A$1&amp;"-"&amp;ROW(AW90),基本資料填寫!$A:$DN,COLUMN(基本資料填寫!BK91),0),"")</f>
        <v/>
      </c>
      <c r="BI91" s="47" t="str">
        <f>IFERROR(VLOOKUP($A$1&amp;"-"&amp;ROW(AX90),基本資料填寫!$A:$DN,COLUMN(基本資料填寫!BL91),0),"")</f>
        <v/>
      </c>
      <c r="BJ91" s="47" t="str">
        <f>IFERROR(VLOOKUP($A$1&amp;"-"&amp;ROW(AY90),基本資料填寫!$A:$DN,COLUMN(基本資料填寫!BM91),0),"")</f>
        <v/>
      </c>
      <c r="BK91" s="47" t="str">
        <f>IFERROR(VLOOKUP($A$1&amp;"-"&amp;ROW(AZ90),基本資料填寫!$A:$DN,COLUMN(基本資料填寫!BN91),0),"")</f>
        <v/>
      </c>
      <c r="BL91" s="47" t="str">
        <f>IFERROR(VLOOKUP($A$1&amp;"-"&amp;ROW(BA90),基本資料填寫!$A:$DN,COLUMN(基本資料填寫!BO91),0),"")</f>
        <v/>
      </c>
      <c r="BM91" s="47" t="str">
        <f>IFERROR(VLOOKUP($A$1&amp;"-"&amp;ROW(BB90),基本資料填寫!$A:$DN,COLUMN(基本資料填寫!BP91),0),"")</f>
        <v/>
      </c>
      <c r="BN91" s="47" t="str">
        <f>IFERROR(VLOOKUP($A$1&amp;"-"&amp;ROW(BC90),基本資料填寫!$A:$DN,COLUMN(基本資料填寫!BQ91),0),"")</f>
        <v/>
      </c>
      <c r="BO91" s="47" t="str">
        <f>IFERROR(VLOOKUP($A$1&amp;"-"&amp;ROW(BD90),基本資料填寫!$A:$DN,COLUMN(基本資料填寫!BR91),0),"")</f>
        <v/>
      </c>
    </row>
    <row r="92" spans="2:67" x14ac:dyDescent="0.3">
      <c r="B92" s="47" t="str">
        <f>IFERROR(VLOOKUP($A$1&amp;"-"&amp;ROW(A91),基本資料填寫!$A:$DN,COLUMN(基本資料填寫!K92),0),"")</f>
        <v/>
      </c>
      <c r="C92" s="47" t="str">
        <f>IFERROR(VLOOKUP($A$1&amp;"-"&amp;ROW(B91),基本資料填寫!$A:$DN,COLUMN(基本資料填寫!L92),0),"")</f>
        <v/>
      </c>
      <c r="D92" s="47" t="str">
        <f>IF(E92="","",COUNTA($E$2:E92))</f>
        <v/>
      </c>
      <c r="E92" s="47" t="str">
        <f>IFERROR(VLOOKUP($A$1&amp;"-"&amp;ROW(E91),基本資料填寫!$A:$DN,COLUMN(基本資料填寫!S92),0),"")</f>
        <v/>
      </c>
      <c r="G92" s="47" t="str">
        <f>IFERROR(VLOOKUP($A$1&amp;"-"&amp;ROW(G91),基本資料填寫!$A:$DN,COLUMN(基本資料填寫!V92),0),"")</f>
        <v/>
      </c>
      <c r="H92" s="47" t="str">
        <f>IFERROR(VLOOKUP($A$1&amp;"-"&amp;ROW(BI91),基本資料填寫!$A:$DN,COLUMN(基本資料填寫!BW92),0),"")</f>
        <v/>
      </c>
      <c r="I92" s="47" t="str">
        <f>IFERROR(VLOOKUP($A$1&amp;"-"&amp;ROW(I91),基本資料填寫!$A:$DN,COLUMN(基本資料填寫!AN92),0),"")</f>
        <v/>
      </c>
      <c r="J92" s="47" t="str">
        <f>IFERROR(VLOOKUP($A$1&amp;"-"&amp;ROW(K91),基本資料填寫!$A:$DN,COLUMN(基本資料填寫!R92),0),"")</f>
        <v/>
      </c>
      <c r="K92" s="47" t="str">
        <f>IFERROR(VLOOKUP($A$1&amp;"-"&amp;ROW(AA91),基本資料填寫!$A:$DN,COLUMN(基本資料填寫!BX92),0),"")</f>
        <v/>
      </c>
      <c r="L92" s="47" t="str">
        <f>IFERROR(VLOOKUP($A$1&amp;"-"&amp;ROW(S91),基本資料填寫!$A:$DN,COLUMN(基本資料填寫!Z92),0),"")</f>
        <v/>
      </c>
      <c r="M92" s="47" t="str">
        <f>IFERROR(VLOOKUP($A$1&amp;"-"&amp;ROW(T91),基本資料填寫!$A:$DN,COLUMN(基本資料填寫!AA92),0),"")</f>
        <v/>
      </c>
      <c r="N92" s="47" t="str">
        <f>IFERROR(VLOOKUP($A$1&amp;"-"&amp;ROW(AB91),基本資料填寫!$A:$DN,COLUMN(基本資料填寫!BY92),0),"")</f>
        <v/>
      </c>
      <c r="O92" s="47" t="str">
        <f>IFERROR(VLOOKUP($A$1&amp;"-"&amp;ROW(AC91),基本資料填寫!$A:$DN,COLUMN(基本資料填寫!BZ92),0),"")</f>
        <v/>
      </c>
      <c r="P92" s="47" t="str">
        <f>IFERROR(VLOOKUP($A$1&amp;"-"&amp;ROW(AD91),基本資料填寫!$A:$DN,COLUMN(基本資料填寫!CA92),0),"")</f>
        <v/>
      </c>
      <c r="Q92" s="47" t="str">
        <f>IFERROR(VLOOKUP($A$1&amp;"-"&amp;ROW(J91),基本資料填寫!$A:$DN,COLUMN(基本資料填寫!AO92),0),"")</f>
        <v/>
      </c>
      <c r="R92" s="47" t="str">
        <f>IFERROR(VLOOKUP($A$1&amp;"-"&amp;ROW(AE91),基本資料填寫!$A:$DN,COLUMN(基本資料填寫!CB92),0),"")</f>
        <v/>
      </c>
      <c r="S92" s="47" t="str">
        <f>IFERROR(VLOOKUP($A$1&amp;"-"&amp;ROW(AF91),基本資料填寫!$A:$DN,COLUMN(基本資料填寫!CC92),0),"")</f>
        <v/>
      </c>
      <c r="T92" s="47" t="str">
        <f>IFERROR(VLOOKUP($A$1&amp;"-"&amp;ROW(AG91),基本資料填寫!$A:$DN,COLUMN(基本資料填寫!CD92),0),"")</f>
        <v/>
      </c>
      <c r="U92" s="47" t="str">
        <f>IFERROR(VLOOKUP($A$1&amp;"-"&amp;ROW(AH91),基本資料填寫!$A:$DN,COLUMN(基本資料填寫!CE92),0),"")</f>
        <v/>
      </c>
      <c r="V92" s="47" t="str">
        <f>IFERROR(VLOOKUP($A$1&amp;"-"&amp;ROW(AI91),基本資料填寫!$A:$DN,COLUMN(基本資料填寫!CF92),0),"")</f>
        <v/>
      </c>
      <c r="W92" s="47" t="str">
        <f>IFERROR(VLOOKUP($A$1&amp;"-"&amp;ROW(AJ91),基本資料填寫!$A:$DN,COLUMN(基本資料填寫!CG92),0),"")</f>
        <v/>
      </c>
      <c r="X92" s="47" t="str">
        <f>IFERROR(VLOOKUP($A$1&amp;"-"&amp;ROW(AK91),基本資料填寫!$A:$DN,COLUMN(基本資料填寫!CH92),0),"")</f>
        <v/>
      </c>
      <c r="Y92" s="47" t="str">
        <f>IFERROR(VLOOKUP($A$1&amp;"-"&amp;ROW(AL91),基本資料填寫!$A:$DN,COLUMN(基本資料填寫!CI92),0),"")</f>
        <v/>
      </c>
      <c r="Z92" s="47" t="str">
        <f>IFERROR(VLOOKUP($A$1&amp;"-"&amp;ROW(H91),基本資料填寫!$A:$DN,COLUMN(基本資料填寫!O92),0),"")</f>
        <v/>
      </c>
      <c r="AA92" s="47" t="str">
        <f>IFERROR(VLOOKUP($A$1&amp;"-"&amp;ROW(AM91),基本資料填寫!$A:$DN,COLUMN(基本資料填寫!CJ92),0),"")</f>
        <v/>
      </c>
      <c r="AB92" s="47" t="str">
        <f>IFERROR(VLOOKUP($A$1&amp;"-"&amp;ROW(AN91),基本資料填寫!$A:$DN,COLUMN(基本資料填寫!CK92),0),"")</f>
        <v/>
      </c>
      <c r="AC92" s="47" t="str">
        <f>IFERROR(VLOOKUP($A$1&amp;"-"&amp;ROW(AP91),基本資料填寫!$A:$DN,COLUMN(基本資料填寫!CN92),0),"")</f>
        <v/>
      </c>
      <c r="AD92" s="47" t="str">
        <f>IFERROR(VLOOKUP($A$1&amp;"-"&amp;ROW(AQ91),基本資料填寫!$A:$DN,COLUMN(基本資料填寫!CO92),0),"")</f>
        <v/>
      </c>
      <c r="AE92" s="47" t="str">
        <f>IFERROR(VLOOKUP($A$1&amp;"-"&amp;ROW(AR91),基本資料填寫!$A:$DN,COLUMN(基本資料填寫!CP92),0),"")</f>
        <v/>
      </c>
      <c r="AF92" s="47" t="str">
        <f>IFERROR(VLOOKUP($A$1&amp;"-"&amp;ROW(AS91),基本資料填寫!$A:$DN,COLUMN(基本資料填寫!CQ92),0),"")</f>
        <v/>
      </c>
      <c r="AG92" s="47" t="str">
        <f>IFERROR(VLOOKUP($A$1&amp;"-"&amp;ROW(AT91),基本資料填寫!$A:$DN,COLUMN(基本資料填寫!CR92),0),"")</f>
        <v/>
      </c>
      <c r="AH92" s="47" t="str">
        <f>IFERROR(VLOOKUP($A$1&amp;"-"&amp;ROW(AU91),基本資料填寫!$A:$DN,COLUMN(基本資料填寫!CS92),0),"")</f>
        <v/>
      </c>
      <c r="AI92" s="47" t="str">
        <f>IFERROR(VLOOKUP($A$1&amp;"-"&amp;ROW(P91),基本資料填寫!$A:$DN,COLUMN(基本資料填寫!X92),0),"")</f>
        <v/>
      </c>
      <c r="AJ92" s="47" t="str">
        <f>IFERROR(VLOOKUP($A$1&amp;"-"&amp;ROW(AV91),基本資料填寫!$A:$DN,COLUMN(基本資料填寫!CT92),0),"")</f>
        <v/>
      </c>
      <c r="AK92" s="47" t="str">
        <f>IFERROR(VLOOKUP($A$1&amp;"-"&amp;ROW(AC91),基本資料填寫!$A:$DN,COLUMN(基本資料填寫!AQ92),0),"")</f>
        <v/>
      </c>
      <c r="AL92" s="47" t="str">
        <f>IFERROR(VLOOKUP($A$1&amp;"-"&amp;ROW(AO91),基本資料填寫!$A:$DN,COLUMN(基本資料填寫!CM92),0),"")</f>
        <v/>
      </c>
      <c r="AM92" s="47" t="str">
        <f>IFERROR(VLOOKUP($A$1&amp;"-"&amp;ROW(AD91),基本資料填寫!$A:$DN,COLUMN(基本資料填寫!AR92),0),"")</f>
        <v/>
      </c>
      <c r="AN92" s="47" t="str">
        <f>IFERROR(VLOOKUP($A$1&amp;"-"&amp;ROW(K91),基本資料填寫!$A:$DN,COLUMN(基本資料填寫!AP92),0),"")</f>
        <v/>
      </c>
      <c r="AO92" s="47" t="str">
        <f>IFERROR(VLOOKUP($A$1&amp;"-"&amp;ROW(J91),基本資料填寫!$A:$DN,COLUMN(基本資料填寫!AO92),0),"")</f>
        <v/>
      </c>
      <c r="AP92" s="47" t="str">
        <f>IFERROR(VLOOKUP($A$1&amp;"-"&amp;ROW(AE91),基本資料填寫!$A:$DN,COLUMN(基本資料填寫!AS92),0),"")</f>
        <v/>
      </c>
      <c r="AQ92" s="47" t="str">
        <f>IFERROR(VLOOKUP($A$1&amp;"-"&amp;ROW(AF91),基本資料填寫!$A:$DN,COLUMN(基本資料填寫!AT92),0),"")</f>
        <v/>
      </c>
      <c r="AR92" s="47" t="str">
        <f>IFERROR(VLOOKUP($A$1&amp;"-"&amp;ROW(AG91),基本資料填寫!$A:$DN,COLUMN(基本資料填寫!AU92),0),"")</f>
        <v/>
      </c>
      <c r="AS92" s="47" t="str">
        <f>IFERROR(VLOOKUP($A$1&amp;"-"&amp;ROW(AH91),基本資料填寫!$A:$DN,COLUMN(基本資料填寫!AV92),0),"")</f>
        <v/>
      </c>
      <c r="AT92" s="47" t="str">
        <f>IFERROR(VLOOKUP($A$1&amp;"-"&amp;ROW(AI91),基本資料填寫!$A:$DN,COLUMN(基本資料填寫!AW92),0),"")</f>
        <v/>
      </c>
      <c r="AU92" s="47" t="str">
        <f>IFERROR(VLOOKUP($A$1&amp;"-"&amp;ROW(AJ91),基本資料填寫!$A:$DN,COLUMN(基本資料填寫!AX92),0),"")</f>
        <v/>
      </c>
      <c r="AV92" s="47" t="str">
        <f>IFERROR(VLOOKUP($A$1&amp;"-"&amp;ROW(AK91),基本資料填寫!$A:$DN,COLUMN(基本資料填寫!AY92),0),"")</f>
        <v/>
      </c>
      <c r="AW92" s="47" t="str">
        <f>IFERROR(VLOOKUP($A$1&amp;"-"&amp;ROW(AL91),基本資料填寫!$A:$DN,COLUMN(基本資料填寫!AZ92),0),"")</f>
        <v/>
      </c>
      <c r="AX92" s="47" t="str">
        <f>IFERROR(VLOOKUP($A$1&amp;"-"&amp;ROW(AM91),基本資料填寫!$A:$DN,COLUMN(基本資料填寫!BA92),0),"")</f>
        <v/>
      </c>
      <c r="AY92" s="47" t="str">
        <f>IFERROR(VLOOKUP($A$1&amp;"-"&amp;ROW(AN91),基本資料填寫!$A:$DN,COLUMN(基本資料填寫!BB92),0),"")</f>
        <v/>
      </c>
      <c r="AZ92" s="47" t="str">
        <f>IFERROR(VLOOKUP($A$1&amp;"-"&amp;ROW(AO91),基本資料填寫!$A:$DN,COLUMN(基本資料填寫!BC92),0),"")</f>
        <v/>
      </c>
      <c r="BA92" s="47" t="str">
        <f>IFERROR(VLOOKUP($A$1&amp;"-"&amp;ROW(AP91),基本資料填寫!$A:$DN,COLUMN(基本資料填寫!BD92),0),"")</f>
        <v/>
      </c>
      <c r="BB92" s="47" t="str">
        <f>IFERROR(VLOOKUP($A$1&amp;"-"&amp;ROW(AQ91),基本資料填寫!$A:$DN,COLUMN(基本資料填寫!BE92),0),"")</f>
        <v/>
      </c>
      <c r="BC92" s="47" t="str">
        <f>IFERROR(VLOOKUP($A$1&amp;"-"&amp;ROW(AR91),基本資料填寫!$A:$DN,COLUMN(基本資料填寫!BF92),0),"")</f>
        <v/>
      </c>
      <c r="BD92" s="47" t="str">
        <f>IFERROR(VLOOKUP($A$1&amp;"-"&amp;ROW(AS91),基本資料填寫!$A:$DN,COLUMN(基本資料填寫!BG92),0),"")</f>
        <v/>
      </c>
      <c r="BE92" s="47" t="str">
        <f>IFERROR(VLOOKUP($A$1&amp;"-"&amp;ROW(AT91),基本資料填寫!$A:$DN,COLUMN(基本資料填寫!BH92),0),"")</f>
        <v/>
      </c>
      <c r="BF92" s="47" t="str">
        <f>IFERROR(VLOOKUP($A$1&amp;"-"&amp;ROW(AU91),基本資料填寫!$A:$DN,COLUMN(基本資料填寫!BI92),0),"")</f>
        <v/>
      </c>
      <c r="BG92" s="47" t="str">
        <f>IFERROR(VLOOKUP($A$1&amp;"-"&amp;ROW(AV91),基本資料填寫!$A:$DN,COLUMN(基本資料填寫!BJ92),0),"")</f>
        <v/>
      </c>
      <c r="BH92" s="47" t="str">
        <f>IFERROR(VLOOKUP($A$1&amp;"-"&amp;ROW(AW91),基本資料填寫!$A:$DN,COLUMN(基本資料填寫!BK92),0),"")</f>
        <v/>
      </c>
      <c r="BI92" s="47" t="str">
        <f>IFERROR(VLOOKUP($A$1&amp;"-"&amp;ROW(AX91),基本資料填寫!$A:$DN,COLUMN(基本資料填寫!BL92),0),"")</f>
        <v/>
      </c>
      <c r="BJ92" s="47" t="str">
        <f>IFERROR(VLOOKUP($A$1&amp;"-"&amp;ROW(AY91),基本資料填寫!$A:$DN,COLUMN(基本資料填寫!BM92),0),"")</f>
        <v/>
      </c>
      <c r="BK92" s="47" t="str">
        <f>IFERROR(VLOOKUP($A$1&amp;"-"&amp;ROW(AZ91),基本資料填寫!$A:$DN,COLUMN(基本資料填寫!BN92),0),"")</f>
        <v/>
      </c>
      <c r="BL92" s="47" t="str">
        <f>IFERROR(VLOOKUP($A$1&amp;"-"&amp;ROW(BA91),基本資料填寫!$A:$DN,COLUMN(基本資料填寫!BO92),0),"")</f>
        <v/>
      </c>
      <c r="BM92" s="47" t="str">
        <f>IFERROR(VLOOKUP($A$1&amp;"-"&amp;ROW(BB91),基本資料填寫!$A:$DN,COLUMN(基本資料填寫!BP92),0),"")</f>
        <v/>
      </c>
      <c r="BN92" s="47" t="str">
        <f>IFERROR(VLOOKUP($A$1&amp;"-"&amp;ROW(BC91),基本資料填寫!$A:$DN,COLUMN(基本資料填寫!BQ92),0),"")</f>
        <v/>
      </c>
      <c r="BO92" s="47" t="str">
        <f>IFERROR(VLOOKUP($A$1&amp;"-"&amp;ROW(BD91),基本資料填寫!$A:$DN,COLUMN(基本資料填寫!BR92),0),"")</f>
        <v/>
      </c>
    </row>
    <row r="93" spans="2:67" x14ac:dyDescent="0.3">
      <c r="B93" s="47" t="str">
        <f>IFERROR(VLOOKUP($A$1&amp;"-"&amp;ROW(A92),基本資料填寫!$A:$DN,COLUMN(基本資料填寫!K93),0),"")</f>
        <v/>
      </c>
      <c r="C93" s="47" t="str">
        <f>IFERROR(VLOOKUP($A$1&amp;"-"&amp;ROW(B92),基本資料填寫!$A:$DN,COLUMN(基本資料填寫!L93),0),"")</f>
        <v/>
      </c>
      <c r="D93" s="47" t="str">
        <f>IF(E93="","",COUNTA($E$2:E93))</f>
        <v/>
      </c>
      <c r="E93" s="47" t="str">
        <f>IFERROR(VLOOKUP($A$1&amp;"-"&amp;ROW(E92),基本資料填寫!$A:$DN,COLUMN(基本資料填寫!S93),0),"")</f>
        <v/>
      </c>
      <c r="G93" s="47" t="str">
        <f>IFERROR(VLOOKUP($A$1&amp;"-"&amp;ROW(G92),基本資料填寫!$A:$DN,COLUMN(基本資料填寫!V93),0),"")</f>
        <v/>
      </c>
      <c r="H93" s="47" t="str">
        <f>IFERROR(VLOOKUP($A$1&amp;"-"&amp;ROW(BI92),基本資料填寫!$A:$DN,COLUMN(基本資料填寫!BW93),0),"")</f>
        <v/>
      </c>
      <c r="I93" s="47" t="str">
        <f>IFERROR(VLOOKUP($A$1&amp;"-"&amp;ROW(I92),基本資料填寫!$A:$DN,COLUMN(基本資料填寫!AN93),0),"")</f>
        <v/>
      </c>
      <c r="J93" s="47" t="str">
        <f>IFERROR(VLOOKUP($A$1&amp;"-"&amp;ROW(K92),基本資料填寫!$A:$DN,COLUMN(基本資料填寫!R93),0),"")</f>
        <v/>
      </c>
      <c r="K93" s="47" t="str">
        <f>IFERROR(VLOOKUP($A$1&amp;"-"&amp;ROW(AA92),基本資料填寫!$A:$DN,COLUMN(基本資料填寫!BX93),0),"")</f>
        <v/>
      </c>
      <c r="L93" s="47" t="str">
        <f>IFERROR(VLOOKUP($A$1&amp;"-"&amp;ROW(S92),基本資料填寫!$A:$DN,COLUMN(基本資料填寫!Z93),0),"")</f>
        <v/>
      </c>
      <c r="M93" s="47" t="str">
        <f>IFERROR(VLOOKUP($A$1&amp;"-"&amp;ROW(T92),基本資料填寫!$A:$DN,COLUMN(基本資料填寫!AA93),0),"")</f>
        <v/>
      </c>
      <c r="N93" s="47" t="str">
        <f>IFERROR(VLOOKUP($A$1&amp;"-"&amp;ROW(AB92),基本資料填寫!$A:$DN,COLUMN(基本資料填寫!BY93),0),"")</f>
        <v/>
      </c>
      <c r="O93" s="47" t="str">
        <f>IFERROR(VLOOKUP($A$1&amp;"-"&amp;ROW(AC92),基本資料填寫!$A:$DN,COLUMN(基本資料填寫!BZ93),0),"")</f>
        <v/>
      </c>
      <c r="P93" s="47" t="str">
        <f>IFERROR(VLOOKUP($A$1&amp;"-"&amp;ROW(AD92),基本資料填寫!$A:$DN,COLUMN(基本資料填寫!CA93),0),"")</f>
        <v/>
      </c>
      <c r="Q93" s="47" t="str">
        <f>IFERROR(VLOOKUP($A$1&amp;"-"&amp;ROW(J92),基本資料填寫!$A:$DN,COLUMN(基本資料填寫!AO93),0),"")</f>
        <v/>
      </c>
      <c r="R93" s="47" t="str">
        <f>IFERROR(VLOOKUP($A$1&amp;"-"&amp;ROW(AE92),基本資料填寫!$A:$DN,COLUMN(基本資料填寫!CB93),0),"")</f>
        <v/>
      </c>
      <c r="S93" s="47" t="str">
        <f>IFERROR(VLOOKUP($A$1&amp;"-"&amp;ROW(AF92),基本資料填寫!$A:$DN,COLUMN(基本資料填寫!CC93),0),"")</f>
        <v/>
      </c>
      <c r="T93" s="47" t="str">
        <f>IFERROR(VLOOKUP($A$1&amp;"-"&amp;ROW(AG92),基本資料填寫!$A:$DN,COLUMN(基本資料填寫!CD93),0),"")</f>
        <v/>
      </c>
      <c r="U93" s="47" t="str">
        <f>IFERROR(VLOOKUP($A$1&amp;"-"&amp;ROW(AH92),基本資料填寫!$A:$DN,COLUMN(基本資料填寫!CE93),0),"")</f>
        <v/>
      </c>
      <c r="V93" s="47" t="str">
        <f>IFERROR(VLOOKUP($A$1&amp;"-"&amp;ROW(AI92),基本資料填寫!$A:$DN,COLUMN(基本資料填寫!CF93),0),"")</f>
        <v/>
      </c>
      <c r="W93" s="47" t="str">
        <f>IFERROR(VLOOKUP($A$1&amp;"-"&amp;ROW(AJ92),基本資料填寫!$A:$DN,COLUMN(基本資料填寫!CG93),0),"")</f>
        <v/>
      </c>
      <c r="X93" s="47" t="str">
        <f>IFERROR(VLOOKUP($A$1&amp;"-"&amp;ROW(AK92),基本資料填寫!$A:$DN,COLUMN(基本資料填寫!CH93),0),"")</f>
        <v/>
      </c>
      <c r="Y93" s="47" t="str">
        <f>IFERROR(VLOOKUP($A$1&amp;"-"&amp;ROW(AL92),基本資料填寫!$A:$DN,COLUMN(基本資料填寫!CI93),0),"")</f>
        <v/>
      </c>
      <c r="Z93" s="47" t="str">
        <f>IFERROR(VLOOKUP($A$1&amp;"-"&amp;ROW(H92),基本資料填寫!$A:$DN,COLUMN(基本資料填寫!O93),0),"")</f>
        <v/>
      </c>
      <c r="AA93" s="47" t="str">
        <f>IFERROR(VLOOKUP($A$1&amp;"-"&amp;ROW(AM92),基本資料填寫!$A:$DN,COLUMN(基本資料填寫!CJ93),0),"")</f>
        <v/>
      </c>
      <c r="AB93" s="47" t="str">
        <f>IFERROR(VLOOKUP($A$1&amp;"-"&amp;ROW(AN92),基本資料填寫!$A:$DN,COLUMN(基本資料填寫!CK93),0),"")</f>
        <v/>
      </c>
      <c r="AC93" s="47" t="str">
        <f>IFERROR(VLOOKUP($A$1&amp;"-"&amp;ROW(AP92),基本資料填寫!$A:$DN,COLUMN(基本資料填寫!CN93),0),"")</f>
        <v/>
      </c>
      <c r="AD93" s="47" t="str">
        <f>IFERROR(VLOOKUP($A$1&amp;"-"&amp;ROW(AQ92),基本資料填寫!$A:$DN,COLUMN(基本資料填寫!CO93),0),"")</f>
        <v/>
      </c>
      <c r="AE93" s="47" t="str">
        <f>IFERROR(VLOOKUP($A$1&amp;"-"&amp;ROW(AR92),基本資料填寫!$A:$DN,COLUMN(基本資料填寫!CP93),0),"")</f>
        <v/>
      </c>
      <c r="AF93" s="47" t="str">
        <f>IFERROR(VLOOKUP($A$1&amp;"-"&amp;ROW(AS92),基本資料填寫!$A:$DN,COLUMN(基本資料填寫!CQ93),0),"")</f>
        <v/>
      </c>
      <c r="AG93" s="47" t="str">
        <f>IFERROR(VLOOKUP($A$1&amp;"-"&amp;ROW(AT92),基本資料填寫!$A:$DN,COLUMN(基本資料填寫!CR93),0),"")</f>
        <v/>
      </c>
      <c r="AH93" s="47" t="str">
        <f>IFERROR(VLOOKUP($A$1&amp;"-"&amp;ROW(AU92),基本資料填寫!$A:$DN,COLUMN(基本資料填寫!CS93),0),"")</f>
        <v/>
      </c>
      <c r="AI93" s="47" t="str">
        <f>IFERROR(VLOOKUP($A$1&amp;"-"&amp;ROW(P92),基本資料填寫!$A:$DN,COLUMN(基本資料填寫!X93),0),"")</f>
        <v/>
      </c>
      <c r="AJ93" s="47" t="str">
        <f>IFERROR(VLOOKUP($A$1&amp;"-"&amp;ROW(AV92),基本資料填寫!$A:$DN,COLUMN(基本資料填寫!CT93),0),"")</f>
        <v/>
      </c>
      <c r="AK93" s="47" t="str">
        <f>IFERROR(VLOOKUP($A$1&amp;"-"&amp;ROW(AC92),基本資料填寫!$A:$DN,COLUMN(基本資料填寫!AQ93),0),"")</f>
        <v/>
      </c>
      <c r="AL93" s="47" t="str">
        <f>IFERROR(VLOOKUP($A$1&amp;"-"&amp;ROW(AO92),基本資料填寫!$A:$DN,COLUMN(基本資料填寫!CM93),0),"")</f>
        <v/>
      </c>
      <c r="AM93" s="47" t="str">
        <f>IFERROR(VLOOKUP($A$1&amp;"-"&amp;ROW(AD92),基本資料填寫!$A:$DN,COLUMN(基本資料填寫!AR93),0),"")</f>
        <v/>
      </c>
      <c r="AN93" s="47" t="str">
        <f>IFERROR(VLOOKUP($A$1&amp;"-"&amp;ROW(K92),基本資料填寫!$A:$DN,COLUMN(基本資料填寫!AP93),0),"")</f>
        <v/>
      </c>
      <c r="AO93" s="47" t="str">
        <f>IFERROR(VLOOKUP($A$1&amp;"-"&amp;ROW(J92),基本資料填寫!$A:$DN,COLUMN(基本資料填寫!AO93),0),"")</f>
        <v/>
      </c>
      <c r="AP93" s="47" t="str">
        <f>IFERROR(VLOOKUP($A$1&amp;"-"&amp;ROW(AE92),基本資料填寫!$A:$DN,COLUMN(基本資料填寫!AS93),0),"")</f>
        <v/>
      </c>
      <c r="AQ93" s="47" t="str">
        <f>IFERROR(VLOOKUP($A$1&amp;"-"&amp;ROW(AF92),基本資料填寫!$A:$DN,COLUMN(基本資料填寫!AT93),0),"")</f>
        <v/>
      </c>
      <c r="AR93" s="47" t="str">
        <f>IFERROR(VLOOKUP($A$1&amp;"-"&amp;ROW(AG92),基本資料填寫!$A:$DN,COLUMN(基本資料填寫!AU93),0),"")</f>
        <v/>
      </c>
      <c r="AS93" s="47" t="str">
        <f>IFERROR(VLOOKUP($A$1&amp;"-"&amp;ROW(AH92),基本資料填寫!$A:$DN,COLUMN(基本資料填寫!AV93),0),"")</f>
        <v/>
      </c>
      <c r="AT93" s="47" t="str">
        <f>IFERROR(VLOOKUP($A$1&amp;"-"&amp;ROW(AI92),基本資料填寫!$A:$DN,COLUMN(基本資料填寫!AW93),0),"")</f>
        <v/>
      </c>
      <c r="AU93" s="47" t="str">
        <f>IFERROR(VLOOKUP($A$1&amp;"-"&amp;ROW(AJ92),基本資料填寫!$A:$DN,COLUMN(基本資料填寫!AX93),0),"")</f>
        <v/>
      </c>
      <c r="AV93" s="47" t="str">
        <f>IFERROR(VLOOKUP($A$1&amp;"-"&amp;ROW(AK92),基本資料填寫!$A:$DN,COLUMN(基本資料填寫!AY93),0),"")</f>
        <v/>
      </c>
      <c r="AW93" s="47" t="str">
        <f>IFERROR(VLOOKUP($A$1&amp;"-"&amp;ROW(AL92),基本資料填寫!$A:$DN,COLUMN(基本資料填寫!AZ93),0),"")</f>
        <v/>
      </c>
      <c r="AX93" s="47" t="str">
        <f>IFERROR(VLOOKUP($A$1&amp;"-"&amp;ROW(AM92),基本資料填寫!$A:$DN,COLUMN(基本資料填寫!BA93),0),"")</f>
        <v/>
      </c>
      <c r="AY93" s="47" t="str">
        <f>IFERROR(VLOOKUP($A$1&amp;"-"&amp;ROW(AN92),基本資料填寫!$A:$DN,COLUMN(基本資料填寫!BB93),0),"")</f>
        <v/>
      </c>
      <c r="AZ93" s="47" t="str">
        <f>IFERROR(VLOOKUP($A$1&amp;"-"&amp;ROW(AO92),基本資料填寫!$A:$DN,COLUMN(基本資料填寫!BC93),0),"")</f>
        <v/>
      </c>
      <c r="BA93" s="47" t="str">
        <f>IFERROR(VLOOKUP($A$1&amp;"-"&amp;ROW(AP92),基本資料填寫!$A:$DN,COLUMN(基本資料填寫!BD93),0),"")</f>
        <v/>
      </c>
      <c r="BB93" s="47" t="str">
        <f>IFERROR(VLOOKUP($A$1&amp;"-"&amp;ROW(AQ92),基本資料填寫!$A:$DN,COLUMN(基本資料填寫!BE93),0),"")</f>
        <v/>
      </c>
      <c r="BC93" s="47" t="str">
        <f>IFERROR(VLOOKUP($A$1&amp;"-"&amp;ROW(AR92),基本資料填寫!$A:$DN,COLUMN(基本資料填寫!BF93),0),"")</f>
        <v/>
      </c>
      <c r="BD93" s="47" t="str">
        <f>IFERROR(VLOOKUP($A$1&amp;"-"&amp;ROW(AS92),基本資料填寫!$A:$DN,COLUMN(基本資料填寫!BG93),0),"")</f>
        <v/>
      </c>
      <c r="BE93" s="47" t="str">
        <f>IFERROR(VLOOKUP($A$1&amp;"-"&amp;ROW(AT92),基本資料填寫!$A:$DN,COLUMN(基本資料填寫!BH93),0),"")</f>
        <v/>
      </c>
      <c r="BF93" s="47" t="str">
        <f>IFERROR(VLOOKUP($A$1&amp;"-"&amp;ROW(AU92),基本資料填寫!$A:$DN,COLUMN(基本資料填寫!BI93),0),"")</f>
        <v/>
      </c>
      <c r="BG93" s="47" t="str">
        <f>IFERROR(VLOOKUP($A$1&amp;"-"&amp;ROW(AV92),基本資料填寫!$A:$DN,COLUMN(基本資料填寫!BJ93),0),"")</f>
        <v/>
      </c>
      <c r="BH93" s="47" t="str">
        <f>IFERROR(VLOOKUP($A$1&amp;"-"&amp;ROW(AW92),基本資料填寫!$A:$DN,COLUMN(基本資料填寫!BK93),0),"")</f>
        <v/>
      </c>
      <c r="BI93" s="47" t="str">
        <f>IFERROR(VLOOKUP($A$1&amp;"-"&amp;ROW(AX92),基本資料填寫!$A:$DN,COLUMN(基本資料填寫!BL93),0),"")</f>
        <v/>
      </c>
      <c r="BJ93" s="47" t="str">
        <f>IFERROR(VLOOKUP($A$1&amp;"-"&amp;ROW(AY92),基本資料填寫!$A:$DN,COLUMN(基本資料填寫!BM93),0),"")</f>
        <v/>
      </c>
      <c r="BK93" s="47" t="str">
        <f>IFERROR(VLOOKUP($A$1&amp;"-"&amp;ROW(AZ92),基本資料填寫!$A:$DN,COLUMN(基本資料填寫!BN93),0),"")</f>
        <v/>
      </c>
      <c r="BL93" s="47" t="str">
        <f>IFERROR(VLOOKUP($A$1&amp;"-"&amp;ROW(BA92),基本資料填寫!$A:$DN,COLUMN(基本資料填寫!BO93),0),"")</f>
        <v/>
      </c>
      <c r="BM93" s="47" t="str">
        <f>IFERROR(VLOOKUP($A$1&amp;"-"&amp;ROW(BB92),基本資料填寫!$A:$DN,COLUMN(基本資料填寫!BP93),0),"")</f>
        <v/>
      </c>
      <c r="BN93" s="47" t="str">
        <f>IFERROR(VLOOKUP($A$1&amp;"-"&amp;ROW(BC92),基本資料填寫!$A:$DN,COLUMN(基本資料填寫!BQ93),0),"")</f>
        <v/>
      </c>
      <c r="BO93" s="47" t="str">
        <f>IFERROR(VLOOKUP($A$1&amp;"-"&amp;ROW(BD92),基本資料填寫!$A:$DN,COLUMN(基本資料填寫!BR93),0),"")</f>
        <v/>
      </c>
    </row>
    <row r="94" spans="2:67" x14ac:dyDescent="0.3">
      <c r="B94" s="47" t="str">
        <f>IFERROR(VLOOKUP($A$1&amp;"-"&amp;ROW(A93),基本資料填寫!$A:$DN,COLUMN(基本資料填寫!K94),0),"")</f>
        <v/>
      </c>
      <c r="C94" s="47" t="str">
        <f>IFERROR(VLOOKUP($A$1&amp;"-"&amp;ROW(B93),基本資料填寫!$A:$DN,COLUMN(基本資料填寫!L94),0),"")</f>
        <v/>
      </c>
      <c r="D94" s="47" t="str">
        <f>IF(E94="","",COUNTA($E$2:E94))</f>
        <v/>
      </c>
      <c r="E94" s="47" t="str">
        <f>IFERROR(VLOOKUP($A$1&amp;"-"&amp;ROW(E93),基本資料填寫!$A:$DN,COLUMN(基本資料填寫!S94),0),"")</f>
        <v/>
      </c>
      <c r="G94" s="47" t="str">
        <f>IFERROR(VLOOKUP($A$1&amp;"-"&amp;ROW(G93),基本資料填寫!$A:$DN,COLUMN(基本資料填寫!V94),0),"")</f>
        <v/>
      </c>
      <c r="H94" s="47" t="str">
        <f>IFERROR(VLOOKUP($A$1&amp;"-"&amp;ROW(BI93),基本資料填寫!$A:$DN,COLUMN(基本資料填寫!BW94),0),"")</f>
        <v/>
      </c>
      <c r="I94" s="47" t="str">
        <f>IFERROR(VLOOKUP($A$1&amp;"-"&amp;ROW(I93),基本資料填寫!$A:$DN,COLUMN(基本資料填寫!AN94),0),"")</f>
        <v/>
      </c>
      <c r="J94" s="47" t="str">
        <f>IFERROR(VLOOKUP($A$1&amp;"-"&amp;ROW(K93),基本資料填寫!$A:$DN,COLUMN(基本資料填寫!R94),0),"")</f>
        <v/>
      </c>
      <c r="K94" s="47" t="str">
        <f>IFERROR(VLOOKUP($A$1&amp;"-"&amp;ROW(AA93),基本資料填寫!$A:$DN,COLUMN(基本資料填寫!BX94),0),"")</f>
        <v/>
      </c>
      <c r="L94" s="47" t="str">
        <f>IFERROR(VLOOKUP($A$1&amp;"-"&amp;ROW(S93),基本資料填寫!$A:$DN,COLUMN(基本資料填寫!Z94),0),"")</f>
        <v/>
      </c>
      <c r="M94" s="47" t="str">
        <f>IFERROR(VLOOKUP($A$1&amp;"-"&amp;ROW(T93),基本資料填寫!$A:$DN,COLUMN(基本資料填寫!AA94),0),"")</f>
        <v/>
      </c>
      <c r="N94" s="47" t="str">
        <f>IFERROR(VLOOKUP($A$1&amp;"-"&amp;ROW(AB93),基本資料填寫!$A:$DN,COLUMN(基本資料填寫!BY94),0),"")</f>
        <v/>
      </c>
      <c r="O94" s="47" t="str">
        <f>IFERROR(VLOOKUP($A$1&amp;"-"&amp;ROW(AC93),基本資料填寫!$A:$DN,COLUMN(基本資料填寫!BZ94),0),"")</f>
        <v/>
      </c>
      <c r="P94" s="47" t="str">
        <f>IFERROR(VLOOKUP($A$1&amp;"-"&amp;ROW(AD93),基本資料填寫!$A:$DN,COLUMN(基本資料填寫!CA94),0),"")</f>
        <v/>
      </c>
      <c r="Q94" s="47" t="str">
        <f>IFERROR(VLOOKUP($A$1&amp;"-"&amp;ROW(J93),基本資料填寫!$A:$DN,COLUMN(基本資料填寫!AO94),0),"")</f>
        <v/>
      </c>
      <c r="R94" s="47" t="str">
        <f>IFERROR(VLOOKUP($A$1&amp;"-"&amp;ROW(AE93),基本資料填寫!$A:$DN,COLUMN(基本資料填寫!CB94),0),"")</f>
        <v/>
      </c>
      <c r="S94" s="47" t="str">
        <f>IFERROR(VLOOKUP($A$1&amp;"-"&amp;ROW(AF93),基本資料填寫!$A:$DN,COLUMN(基本資料填寫!CC94),0),"")</f>
        <v/>
      </c>
      <c r="T94" s="47" t="str">
        <f>IFERROR(VLOOKUP($A$1&amp;"-"&amp;ROW(AG93),基本資料填寫!$A:$DN,COLUMN(基本資料填寫!CD94),0),"")</f>
        <v/>
      </c>
      <c r="U94" s="47" t="str">
        <f>IFERROR(VLOOKUP($A$1&amp;"-"&amp;ROW(AH93),基本資料填寫!$A:$DN,COLUMN(基本資料填寫!CE94),0),"")</f>
        <v/>
      </c>
      <c r="V94" s="47" t="str">
        <f>IFERROR(VLOOKUP($A$1&amp;"-"&amp;ROW(AI93),基本資料填寫!$A:$DN,COLUMN(基本資料填寫!CF94),0),"")</f>
        <v/>
      </c>
      <c r="W94" s="47" t="str">
        <f>IFERROR(VLOOKUP($A$1&amp;"-"&amp;ROW(AJ93),基本資料填寫!$A:$DN,COLUMN(基本資料填寫!CG94),0),"")</f>
        <v/>
      </c>
      <c r="X94" s="47" t="str">
        <f>IFERROR(VLOOKUP($A$1&amp;"-"&amp;ROW(AK93),基本資料填寫!$A:$DN,COLUMN(基本資料填寫!CH94),0),"")</f>
        <v/>
      </c>
      <c r="Y94" s="47" t="str">
        <f>IFERROR(VLOOKUP($A$1&amp;"-"&amp;ROW(AL93),基本資料填寫!$A:$DN,COLUMN(基本資料填寫!CI94),0),"")</f>
        <v/>
      </c>
      <c r="Z94" s="47" t="str">
        <f>IFERROR(VLOOKUP($A$1&amp;"-"&amp;ROW(H93),基本資料填寫!$A:$DN,COLUMN(基本資料填寫!O94),0),"")</f>
        <v/>
      </c>
      <c r="AA94" s="47" t="str">
        <f>IFERROR(VLOOKUP($A$1&amp;"-"&amp;ROW(AM93),基本資料填寫!$A:$DN,COLUMN(基本資料填寫!CJ94),0),"")</f>
        <v/>
      </c>
      <c r="AB94" s="47" t="str">
        <f>IFERROR(VLOOKUP($A$1&amp;"-"&amp;ROW(AN93),基本資料填寫!$A:$DN,COLUMN(基本資料填寫!CK94),0),"")</f>
        <v/>
      </c>
      <c r="AC94" s="47" t="str">
        <f>IFERROR(VLOOKUP($A$1&amp;"-"&amp;ROW(AP93),基本資料填寫!$A:$DN,COLUMN(基本資料填寫!CN94),0),"")</f>
        <v/>
      </c>
      <c r="AD94" s="47" t="str">
        <f>IFERROR(VLOOKUP($A$1&amp;"-"&amp;ROW(AQ93),基本資料填寫!$A:$DN,COLUMN(基本資料填寫!CO94),0),"")</f>
        <v/>
      </c>
      <c r="AE94" s="47" t="str">
        <f>IFERROR(VLOOKUP($A$1&amp;"-"&amp;ROW(AR93),基本資料填寫!$A:$DN,COLUMN(基本資料填寫!CP94),0),"")</f>
        <v/>
      </c>
      <c r="AF94" s="47" t="str">
        <f>IFERROR(VLOOKUP($A$1&amp;"-"&amp;ROW(AS93),基本資料填寫!$A:$DN,COLUMN(基本資料填寫!CQ94),0),"")</f>
        <v/>
      </c>
      <c r="AG94" s="47" t="str">
        <f>IFERROR(VLOOKUP($A$1&amp;"-"&amp;ROW(AT93),基本資料填寫!$A:$DN,COLUMN(基本資料填寫!CR94),0),"")</f>
        <v/>
      </c>
      <c r="AH94" s="47" t="str">
        <f>IFERROR(VLOOKUP($A$1&amp;"-"&amp;ROW(AU93),基本資料填寫!$A:$DN,COLUMN(基本資料填寫!CS94),0),"")</f>
        <v/>
      </c>
      <c r="AI94" s="47" t="str">
        <f>IFERROR(VLOOKUP($A$1&amp;"-"&amp;ROW(P93),基本資料填寫!$A:$DN,COLUMN(基本資料填寫!X94),0),"")</f>
        <v/>
      </c>
      <c r="AJ94" s="47" t="str">
        <f>IFERROR(VLOOKUP($A$1&amp;"-"&amp;ROW(AV93),基本資料填寫!$A:$DN,COLUMN(基本資料填寫!CT94),0),"")</f>
        <v/>
      </c>
      <c r="AK94" s="47" t="str">
        <f>IFERROR(VLOOKUP($A$1&amp;"-"&amp;ROW(AC93),基本資料填寫!$A:$DN,COLUMN(基本資料填寫!AQ94),0),"")</f>
        <v/>
      </c>
      <c r="AL94" s="47" t="str">
        <f>IFERROR(VLOOKUP($A$1&amp;"-"&amp;ROW(AO93),基本資料填寫!$A:$DN,COLUMN(基本資料填寫!CM94),0),"")</f>
        <v/>
      </c>
      <c r="AM94" s="47" t="str">
        <f>IFERROR(VLOOKUP($A$1&amp;"-"&amp;ROW(AD93),基本資料填寫!$A:$DN,COLUMN(基本資料填寫!AR94),0),"")</f>
        <v/>
      </c>
      <c r="AN94" s="47" t="str">
        <f>IFERROR(VLOOKUP($A$1&amp;"-"&amp;ROW(K93),基本資料填寫!$A:$DN,COLUMN(基本資料填寫!AP94),0),"")</f>
        <v/>
      </c>
      <c r="AO94" s="47" t="str">
        <f>IFERROR(VLOOKUP($A$1&amp;"-"&amp;ROW(J93),基本資料填寫!$A:$DN,COLUMN(基本資料填寫!AO94),0),"")</f>
        <v/>
      </c>
      <c r="AP94" s="47" t="str">
        <f>IFERROR(VLOOKUP($A$1&amp;"-"&amp;ROW(AE93),基本資料填寫!$A:$DN,COLUMN(基本資料填寫!AS94),0),"")</f>
        <v/>
      </c>
      <c r="AQ94" s="47" t="str">
        <f>IFERROR(VLOOKUP($A$1&amp;"-"&amp;ROW(AF93),基本資料填寫!$A:$DN,COLUMN(基本資料填寫!AT94),0),"")</f>
        <v/>
      </c>
      <c r="AR94" s="47" t="str">
        <f>IFERROR(VLOOKUP($A$1&amp;"-"&amp;ROW(AG93),基本資料填寫!$A:$DN,COLUMN(基本資料填寫!AU94),0),"")</f>
        <v/>
      </c>
      <c r="AS94" s="47" t="str">
        <f>IFERROR(VLOOKUP($A$1&amp;"-"&amp;ROW(AH93),基本資料填寫!$A:$DN,COLUMN(基本資料填寫!AV94),0),"")</f>
        <v/>
      </c>
      <c r="AT94" s="47" t="str">
        <f>IFERROR(VLOOKUP($A$1&amp;"-"&amp;ROW(AI93),基本資料填寫!$A:$DN,COLUMN(基本資料填寫!AW94),0),"")</f>
        <v/>
      </c>
      <c r="AU94" s="47" t="str">
        <f>IFERROR(VLOOKUP($A$1&amp;"-"&amp;ROW(AJ93),基本資料填寫!$A:$DN,COLUMN(基本資料填寫!AX94),0),"")</f>
        <v/>
      </c>
      <c r="AV94" s="47" t="str">
        <f>IFERROR(VLOOKUP($A$1&amp;"-"&amp;ROW(AK93),基本資料填寫!$A:$DN,COLUMN(基本資料填寫!AY94),0),"")</f>
        <v/>
      </c>
      <c r="AW94" s="47" t="str">
        <f>IFERROR(VLOOKUP($A$1&amp;"-"&amp;ROW(AL93),基本資料填寫!$A:$DN,COLUMN(基本資料填寫!AZ94),0),"")</f>
        <v/>
      </c>
      <c r="AX94" s="47" t="str">
        <f>IFERROR(VLOOKUP($A$1&amp;"-"&amp;ROW(AM93),基本資料填寫!$A:$DN,COLUMN(基本資料填寫!BA94),0),"")</f>
        <v/>
      </c>
      <c r="AY94" s="47" t="str">
        <f>IFERROR(VLOOKUP($A$1&amp;"-"&amp;ROW(AN93),基本資料填寫!$A:$DN,COLUMN(基本資料填寫!BB94),0),"")</f>
        <v/>
      </c>
      <c r="AZ94" s="47" t="str">
        <f>IFERROR(VLOOKUP($A$1&amp;"-"&amp;ROW(AO93),基本資料填寫!$A:$DN,COLUMN(基本資料填寫!BC94),0),"")</f>
        <v/>
      </c>
      <c r="BA94" s="47" t="str">
        <f>IFERROR(VLOOKUP($A$1&amp;"-"&amp;ROW(AP93),基本資料填寫!$A:$DN,COLUMN(基本資料填寫!BD94),0),"")</f>
        <v/>
      </c>
      <c r="BB94" s="47" t="str">
        <f>IFERROR(VLOOKUP($A$1&amp;"-"&amp;ROW(AQ93),基本資料填寫!$A:$DN,COLUMN(基本資料填寫!BE94),0),"")</f>
        <v/>
      </c>
      <c r="BC94" s="47" t="str">
        <f>IFERROR(VLOOKUP($A$1&amp;"-"&amp;ROW(AR93),基本資料填寫!$A:$DN,COLUMN(基本資料填寫!BF94),0),"")</f>
        <v/>
      </c>
      <c r="BD94" s="47" t="str">
        <f>IFERROR(VLOOKUP($A$1&amp;"-"&amp;ROW(AS93),基本資料填寫!$A:$DN,COLUMN(基本資料填寫!BG94),0),"")</f>
        <v/>
      </c>
      <c r="BE94" s="47" t="str">
        <f>IFERROR(VLOOKUP($A$1&amp;"-"&amp;ROW(AT93),基本資料填寫!$A:$DN,COLUMN(基本資料填寫!BH94),0),"")</f>
        <v/>
      </c>
      <c r="BF94" s="47" t="str">
        <f>IFERROR(VLOOKUP($A$1&amp;"-"&amp;ROW(AU93),基本資料填寫!$A:$DN,COLUMN(基本資料填寫!BI94),0),"")</f>
        <v/>
      </c>
      <c r="BG94" s="47" t="str">
        <f>IFERROR(VLOOKUP($A$1&amp;"-"&amp;ROW(AV93),基本資料填寫!$A:$DN,COLUMN(基本資料填寫!BJ94),0),"")</f>
        <v/>
      </c>
      <c r="BH94" s="47" t="str">
        <f>IFERROR(VLOOKUP($A$1&amp;"-"&amp;ROW(AW93),基本資料填寫!$A:$DN,COLUMN(基本資料填寫!BK94),0),"")</f>
        <v/>
      </c>
      <c r="BI94" s="47" t="str">
        <f>IFERROR(VLOOKUP($A$1&amp;"-"&amp;ROW(AX93),基本資料填寫!$A:$DN,COLUMN(基本資料填寫!BL94),0),"")</f>
        <v/>
      </c>
      <c r="BJ94" s="47" t="str">
        <f>IFERROR(VLOOKUP($A$1&amp;"-"&amp;ROW(AY93),基本資料填寫!$A:$DN,COLUMN(基本資料填寫!BM94),0),"")</f>
        <v/>
      </c>
      <c r="BK94" s="47" t="str">
        <f>IFERROR(VLOOKUP($A$1&amp;"-"&amp;ROW(AZ93),基本資料填寫!$A:$DN,COLUMN(基本資料填寫!BN94),0),"")</f>
        <v/>
      </c>
      <c r="BL94" s="47" t="str">
        <f>IFERROR(VLOOKUP($A$1&amp;"-"&amp;ROW(BA93),基本資料填寫!$A:$DN,COLUMN(基本資料填寫!BO94),0),"")</f>
        <v/>
      </c>
      <c r="BM94" s="47" t="str">
        <f>IFERROR(VLOOKUP($A$1&amp;"-"&amp;ROW(BB93),基本資料填寫!$A:$DN,COLUMN(基本資料填寫!BP94),0),"")</f>
        <v/>
      </c>
      <c r="BN94" s="47" t="str">
        <f>IFERROR(VLOOKUP($A$1&amp;"-"&amp;ROW(BC93),基本資料填寫!$A:$DN,COLUMN(基本資料填寫!BQ94),0),"")</f>
        <v/>
      </c>
      <c r="BO94" s="47" t="str">
        <f>IFERROR(VLOOKUP($A$1&amp;"-"&amp;ROW(BD93),基本資料填寫!$A:$DN,COLUMN(基本資料填寫!BR94),0),"")</f>
        <v/>
      </c>
    </row>
    <row r="95" spans="2:67" x14ac:dyDescent="0.3">
      <c r="B95" s="47" t="str">
        <f>IFERROR(VLOOKUP($A$1&amp;"-"&amp;ROW(A94),基本資料填寫!$A:$DN,COLUMN(基本資料填寫!K95),0),"")</f>
        <v/>
      </c>
      <c r="C95" s="47" t="str">
        <f>IFERROR(VLOOKUP($A$1&amp;"-"&amp;ROW(B94),基本資料填寫!$A:$DN,COLUMN(基本資料填寫!L95),0),"")</f>
        <v/>
      </c>
      <c r="D95" s="47" t="str">
        <f>IF(E95="","",COUNTA($E$2:E95))</f>
        <v/>
      </c>
      <c r="E95" s="47" t="str">
        <f>IFERROR(VLOOKUP($A$1&amp;"-"&amp;ROW(E94),基本資料填寫!$A:$DN,COLUMN(基本資料填寫!S95),0),"")</f>
        <v/>
      </c>
      <c r="G95" s="47" t="str">
        <f>IFERROR(VLOOKUP($A$1&amp;"-"&amp;ROW(G94),基本資料填寫!$A:$DN,COLUMN(基本資料填寫!V95),0),"")</f>
        <v/>
      </c>
      <c r="H95" s="47" t="str">
        <f>IFERROR(VLOOKUP($A$1&amp;"-"&amp;ROW(BI94),基本資料填寫!$A:$DN,COLUMN(基本資料填寫!BW95),0),"")</f>
        <v/>
      </c>
      <c r="I95" s="47" t="str">
        <f>IFERROR(VLOOKUP($A$1&amp;"-"&amp;ROW(I94),基本資料填寫!$A:$DN,COLUMN(基本資料填寫!AN95),0),"")</f>
        <v/>
      </c>
      <c r="J95" s="47" t="str">
        <f>IFERROR(VLOOKUP($A$1&amp;"-"&amp;ROW(K94),基本資料填寫!$A:$DN,COLUMN(基本資料填寫!R95),0),"")</f>
        <v/>
      </c>
      <c r="K95" s="47" t="str">
        <f>IFERROR(VLOOKUP($A$1&amp;"-"&amp;ROW(AA94),基本資料填寫!$A:$DN,COLUMN(基本資料填寫!BX95),0),"")</f>
        <v/>
      </c>
      <c r="L95" s="47" t="str">
        <f>IFERROR(VLOOKUP($A$1&amp;"-"&amp;ROW(S94),基本資料填寫!$A:$DN,COLUMN(基本資料填寫!Z95),0),"")</f>
        <v/>
      </c>
      <c r="M95" s="47" t="str">
        <f>IFERROR(VLOOKUP($A$1&amp;"-"&amp;ROW(T94),基本資料填寫!$A:$DN,COLUMN(基本資料填寫!AA95),0),"")</f>
        <v/>
      </c>
      <c r="N95" s="47" t="str">
        <f>IFERROR(VLOOKUP($A$1&amp;"-"&amp;ROW(AB94),基本資料填寫!$A:$DN,COLUMN(基本資料填寫!BY95),0),"")</f>
        <v/>
      </c>
      <c r="O95" s="47" t="str">
        <f>IFERROR(VLOOKUP($A$1&amp;"-"&amp;ROW(AC94),基本資料填寫!$A:$DN,COLUMN(基本資料填寫!BZ95),0),"")</f>
        <v/>
      </c>
      <c r="P95" s="47" t="str">
        <f>IFERROR(VLOOKUP($A$1&amp;"-"&amp;ROW(AD94),基本資料填寫!$A:$DN,COLUMN(基本資料填寫!CA95),0),"")</f>
        <v/>
      </c>
      <c r="Q95" s="47" t="str">
        <f>IFERROR(VLOOKUP($A$1&amp;"-"&amp;ROW(J94),基本資料填寫!$A:$DN,COLUMN(基本資料填寫!AO95),0),"")</f>
        <v/>
      </c>
      <c r="R95" s="47" t="str">
        <f>IFERROR(VLOOKUP($A$1&amp;"-"&amp;ROW(AE94),基本資料填寫!$A:$DN,COLUMN(基本資料填寫!CB95),0),"")</f>
        <v/>
      </c>
      <c r="S95" s="47" t="str">
        <f>IFERROR(VLOOKUP($A$1&amp;"-"&amp;ROW(AF94),基本資料填寫!$A:$DN,COLUMN(基本資料填寫!CC95),0),"")</f>
        <v/>
      </c>
      <c r="T95" s="47" t="str">
        <f>IFERROR(VLOOKUP($A$1&amp;"-"&amp;ROW(AG94),基本資料填寫!$A:$DN,COLUMN(基本資料填寫!CD95),0),"")</f>
        <v/>
      </c>
      <c r="U95" s="47" t="str">
        <f>IFERROR(VLOOKUP($A$1&amp;"-"&amp;ROW(AH94),基本資料填寫!$A:$DN,COLUMN(基本資料填寫!CE95),0),"")</f>
        <v/>
      </c>
      <c r="V95" s="47" t="str">
        <f>IFERROR(VLOOKUP($A$1&amp;"-"&amp;ROW(AI94),基本資料填寫!$A:$DN,COLUMN(基本資料填寫!CF95),0),"")</f>
        <v/>
      </c>
      <c r="W95" s="47" t="str">
        <f>IFERROR(VLOOKUP($A$1&amp;"-"&amp;ROW(AJ94),基本資料填寫!$A:$DN,COLUMN(基本資料填寫!CG95),0),"")</f>
        <v/>
      </c>
      <c r="X95" s="47" t="str">
        <f>IFERROR(VLOOKUP($A$1&amp;"-"&amp;ROW(AK94),基本資料填寫!$A:$DN,COLUMN(基本資料填寫!CH95),0),"")</f>
        <v/>
      </c>
      <c r="Y95" s="47" t="str">
        <f>IFERROR(VLOOKUP($A$1&amp;"-"&amp;ROW(AL94),基本資料填寫!$A:$DN,COLUMN(基本資料填寫!CI95),0),"")</f>
        <v/>
      </c>
      <c r="Z95" s="47" t="str">
        <f>IFERROR(VLOOKUP($A$1&amp;"-"&amp;ROW(H94),基本資料填寫!$A:$DN,COLUMN(基本資料填寫!O95),0),"")</f>
        <v/>
      </c>
      <c r="AA95" s="47" t="str">
        <f>IFERROR(VLOOKUP($A$1&amp;"-"&amp;ROW(AM94),基本資料填寫!$A:$DN,COLUMN(基本資料填寫!CJ95),0),"")</f>
        <v/>
      </c>
      <c r="AB95" s="47" t="str">
        <f>IFERROR(VLOOKUP($A$1&amp;"-"&amp;ROW(AN94),基本資料填寫!$A:$DN,COLUMN(基本資料填寫!CK95),0),"")</f>
        <v/>
      </c>
      <c r="AC95" s="47" t="str">
        <f>IFERROR(VLOOKUP($A$1&amp;"-"&amp;ROW(AP94),基本資料填寫!$A:$DN,COLUMN(基本資料填寫!CN95),0),"")</f>
        <v/>
      </c>
      <c r="AD95" s="47" t="str">
        <f>IFERROR(VLOOKUP($A$1&amp;"-"&amp;ROW(AQ94),基本資料填寫!$A:$DN,COLUMN(基本資料填寫!CO95),0),"")</f>
        <v/>
      </c>
      <c r="AE95" s="47" t="str">
        <f>IFERROR(VLOOKUP($A$1&amp;"-"&amp;ROW(AR94),基本資料填寫!$A:$DN,COLUMN(基本資料填寫!CP95),0),"")</f>
        <v/>
      </c>
      <c r="AF95" s="47" t="str">
        <f>IFERROR(VLOOKUP($A$1&amp;"-"&amp;ROW(AS94),基本資料填寫!$A:$DN,COLUMN(基本資料填寫!CQ95),0),"")</f>
        <v/>
      </c>
      <c r="AG95" s="47" t="str">
        <f>IFERROR(VLOOKUP($A$1&amp;"-"&amp;ROW(AT94),基本資料填寫!$A:$DN,COLUMN(基本資料填寫!CR95),0),"")</f>
        <v/>
      </c>
      <c r="AH95" s="47" t="str">
        <f>IFERROR(VLOOKUP($A$1&amp;"-"&amp;ROW(AU94),基本資料填寫!$A:$DN,COLUMN(基本資料填寫!CS95),0),"")</f>
        <v/>
      </c>
      <c r="AI95" s="47" t="str">
        <f>IFERROR(VLOOKUP($A$1&amp;"-"&amp;ROW(P94),基本資料填寫!$A:$DN,COLUMN(基本資料填寫!X95),0),"")</f>
        <v/>
      </c>
      <c r="AJ95" s="47" t="str">
        <f>IFERROR(VLOOKUP($A$1&amp;"-"&amp;ROW(AV94),基本資料填寫!$A:$DN,COLUMN(基本資料填寫!CT95),0),"")</f>
        <v/>
      </c>
      <c r="AK95" s="47" t="str">
        <f>IFERROR(VLOOKUP($A$1&amp;"-"&amp;ROW(AC94),基本資料填寫!$A:$DN,COLUMN(基本資料填寫!AQ95),0),"")</f>
        <v/>
      </c>
      <c r="AL95" s="47" t="str">
        <f>IFERROR(VLOOKUP($A$1&amp;"-"&amp;ROW(AO94),基本資料填寫!$A:$DN,COLUMN(基本資料填寫!CM95),0),"")</f>
        <v/>
      </c>
      <c r="AM95" s="47" t="str">
        <f>IFERROR(VLOOKUP($A$1&amp;"-"&amp;ROW(AD94),基本資料填寫!$A:$DN,COLUMN(基本資料填寫!AR95),0),"")</f>
        <v/>
      </c>
      <c r="AN95" s="47" t="str">
        <f>IFERROR(VLOOKUP($A$1&amp;"-"&amp;ROW(K94),基本資料填寫!$A:$DN,COLUMN(基本資料填寫!AP95),0),"")</f>
        <v/>
      </c>
      <c r="AO95" s="47" t="str">
        <f>IFERROR(VLOOKUP($A$1&amp;"-"&amp;ROW(J94),基本資料填寫!$A:$DN,COLUMN(基本資料填寫!AO95),0),"")</f>
        <v/>
      </c>
      <c r="AP95" s="47" t="str">
        <f>IFERROR(VLOOKUP($A$1&amp;"-"&amp;ROW(AE94),基本資料填寫!$A:$DN,COLUMN(基本資料填寫!AS95),0),"")</f>
        <v/>
      </c>
      <c r="AQ95" s="47" t="str">
        <f>IFERROR(VLOOKUP($A$1&amp;"-"&amp;ROW(AF94),基本資料填寫!$A:$DN,COLUMN(基本資料填寫!AT95),0),"")</f>
        <v/>
      </c>
      <c r="AR95" s="47" t="str">
        <f>IFERROR(VLOOKUP($A$1&amp;"-"&amp;ROW(AG94),基本資料填寫!$A:$DN,COLUMN(基本資料填寫!AU95),0),"")</f>
        <v/>
      </c>
      <c r="AS95" s="47" t="str">
        <f>IFERROR(VLOOKUP($A$1&amp;"-"&amp;ROW(AH94),基本資料填寫!$A:$DN,COLUMN(基本資料填寫!AV95),0),"")</f>
        <v/>
      </c>
      <c r="AT95" s="47" t="str">
        <f>IFERROR(VLOOKUP($A$1&amp;"-"&amp;ROW(AI94),基本資料填寫!$A:$DN,COLUMN(基本資料填寫!AW95),0),"")</f>
        <v/>
      </c>
      <c r="AU95" s="47" t="str">
        <f>IFERROR(VLOOKUP($A$1&amp;"-"&amp;ROW(AJ94),基本資料填寫!$A:$DN,COLUMN(基本資料填寫!AX95),0),"")</f>
        <v/>
      </c>
      <c r="AV95" s="47" t="str">
        <f>IFERROR(VLOOKUP($A$1&amp;"-"&amp;ROW(AK94),基本資料填寫!$A:$DN,COLUMN(基本資料填寫!AY95),0),"")</f>
        <v/>
      </c>
      <c r="AW95" s="47" t="str">
        <f>IFERROR(VLOOKUP($A$1&amp;"-"&amp;ROW(AL94),基本資料填寫!$A:$DN,COLUMN(基本資料填寫!AZ95),0),"")</f>
        <v/>
      </c>
      <c r="AX95" s="47" t="str">
        <f>IFERROR(VLOOKUP($A$1&amp;"-"&amp;ROW(AM94),基本資料填寫!$A:$DN,COLUMN(基本資料填寫!BA95),0),"")</f>
        <v/>
      </c>
      <c r="AY95" s="47" t="str">
        <f>IFERROR(VLOOKUP($A$1&amp;"-"&amp;ROW(AN94),基本資料填寫!$A:$DN,COLUMN(基本資料填寫!BB95),0),"")</f>
        <v/>
      </c>
      <c r="AZ95" s="47" t="str">
        <f>IFERROR(VLOOKUP($A$1&amp;"-"&amp;ROW(AO94),基本資料填寫!$A:$DN,COLUMN(基本資料填寫!BC95),0),"")</f>
        <v/>
      </c>
      <c r="BA95" s="47" t="str">
        <f>IFERROR(VLOOKUP($A$1&amp;"-"&amp;ROW(AP94),基本資料填寫!$A:$DN,COLUMN(基本資料填寫!BD95),0),"")</f>
        <v/>
      </c>
      <c r="BB95" s="47" t="str">
        <f>IFERROR(VLOOKUP($A$1&amp;"-"&amp;ROW(AQ94),基本資料填寫!$A:$DN,COLUMN(基本資料填寫!BE95),0),"")</f>
        <v/>
      </c>
      <c r="BC95" s="47" t="str">
        <f>IFERROR(VLOOKUP($A$1&amp;"-"&amp;ROW(AR94),基本資料填寫!$A:$DN,COLUMN(基本資料填寫!BF95),0),"")</f>
        <v/>
      </c>
      <c r="BD95" s="47" t="str">
        <f>IFERROR(VLOOKUP($A$1&amp;"-"&amp;ROW(AS94),基本資料填寫!$A:$DN,COLUMN(基本資料填寫!BG95),0),"")</f>
        <v/>
      </c>
      <c r="BE95" s="47" t="str">
        <f>IFERROR(VLOOKUP($A$1&amp;"-"&amp;ROW(AT94),基本資料填寫!$A:$DN,COLUMN(基本資料填寫!BH95),0),"")</f>
        <v/>
      </c>
      <c r="BF95" s="47" t="str">
        <f>IFERROR(VLOOKUP($A$1&amp;"-"&amp;ROW(AU94),基本資料填寫!$A:$DN,COLUMN(基本資料填寫!BI95),0),"")</f>
        <v/>
      </c>
      <c r="BG95" s="47" t="str">
        <f>IFERROR(VLOOKUP($A$1&amp;"-"&amp;ROW(AV94),基本資料填寫!$A:$DN,COLUMN(基本資料填寫!BJ95),0),"")</f>
        <v/>
      </c>
      <c r="BH95" s="47" t="str">
        <f>IFERROR(VLOOKUP($A$1&amp;"-"&amp;ROW(AW94),基本資料填寫!$A:$DN,COLUMN(基本資料填寫!BK95),0),"")</f>
        <v/>
      </c>
      <c r="BI95" s="47" t="str">
        <f>IFERROR(VLOOKUP($A$1&amp;"-"&amp;ROW(AX94),基本資料填寫!$A:$DN,COLUMN(基本資料填寫!BL95),0),"")</f>
        <v/>
      </c>
      <c r="BJ95" s="47" t="str">
        <f>IFERROR(VLOOKUP($A$1&amp;"-"&amp;ROW(AY94),基本資料填寫!$A:$DN,COLUMN(基本資料填寫!BM95),0),"")</f>
        <v/>
      </c>
      <c r="BK95" s="47" t="str">
        <f>IFERROR(VLOOKUP($A$1&amp;"-"&amp;ROW(AZ94),基本資料填寫!$A:$DN,COLUMN(基本資料填寫!BN95),0),"")</f>
        <v/>
      </c>
      <c r="BL95" s="47" t="str">
        <f>IFERROR(VLOOKUP($A$1&amp;"-"&amp;ROW(BA94),基本資料填寫!$A:$DN,COLUMN(基本資料填寫!BO95),0),"")</f>
        <v/>
      </c>
      <c r="BM95" s="47" t="str">
        <f>IFERROR(VLOOKUP($A$1&amp;"-"&amp;ROW(BB94),基本資料填寫!$A:$DN,COLUMN(基本資料填寫!BP95),0),"")</f>
        <v/>
      </c>
      <c r="BN95" s="47" t="str">
        <f>IFERROR(VLOOKUP($A$1&amp;"-"&amp;ROW(BC94),基本資料填寫!$A:$DN,COLUMN(基本資料填寫!BQ95),0),"")</f>
        <v/>
      </c>
      <c r="BO95" s="47" t="str">
        <f>IFERROR(VLOOKUP($A$1&amp;"-"&amp;ROW(BD94),基本資料填寫!$A:$DN,COLUMN(基本資料填寫!BR95),0),"")</f>
        <v/>
      </c>
    </row>
    <row r="96" spans="2:67" x14ac:dyDescent="0.3">
      <c r="B96" s="47" t="str">
        <f>IFERROR(VLOOKUP($A$1&amp;"-"&amp;ROW(A95),基本資料填寫!$A:$DN,COLUMN(基本資料填寫!K96),0),"")</f>
        <v/>
      </c>
      <c r="C96" s="47" t="str">
        <f>IFERROR(VLOOKUP($A$1&amp;"-"&amp;ROW(B95),基本資料填寫!$A:$DN,COLUMN(基本資料填寫!L96),0),"")</f>
        <v/>
      </c>
      <c r="D96" s="47" t="str">
        <f>IF(E96="","",COUNTA($E$2:E96))</f>
        <v/>
      </c>
      <c r="E96" s="47" t="str">
        <f>IFERROR(VLOOKUP($A$1&amp;"-"&amp;ROW(E95),基本資料填寫!$A:$DN,COLUMN(基本資料填寫!S96),0),"")</f>
        <v/>
      </c>
      <c r="G96" s="47" t="str">
        <f>IFERROR(VLOOKUP($A$1&amp;"-"&amp;ROW(G95),基本資料填寫!$A:$DN,COLUMN(基本資料填寫!V96),0),"")</f>
        <v/>
      </c>
      <c r="H96" s="47" t="str">
        <f>IFERROR(VLOOKUP($A$1&amp;"-"&amp;ROW(BI95),基本資料填寫!$A:$DN,COLUMN(基本資料填寫!BW96),0),"")</f>
        <v/>
      </c>
      <c r="I96" s="47" t="str">
        <f>IFERROR(VLOOKUP($A$1&amp;"-"&amp;ROW(I95),基本資料填寫!$A:$DN,COLUMN(基本資料填寫!AN96),0),"")</f>
        <v/>
      </c>
      <c r="J96" s="47" t="str">
        <f>IFERROR(VLOOKUP($A$1&amp;"-"&amp;ROW(K95),基本資料填寫!$A:$DN,COLUMN(基本資料填寫!R96),0),"")</f>
        <v/>
      </c>
      <c r="K96" s="47" t="str">
        <f>IFERROR(VLOOKUP($A$1&amp;"-"&amp;ROW(AA95),基本資料填寫!$A:$DN,COLUMN(基本資料填寫!BX96),0),"")</f>
        <v/>
      </c>
      <c r="L96" s="47" t="str">
        <f>IFERROR(VLOOKUP($A$1&amp;"-"&amp;ROW(S95),基本資料填寫!$A:$DN,COLUMN(基本資料填寫!Z96),0),"")</f>
        <v/>
      </c>
      <c r="M96" s="47" t="str">
        <f>IFERROR(VLOOKUP($A$1&amp;"-"&amp;ROW(T95),基本資料填寫!$A:$DN,COLUMN(基本資料填寫!AA96),0),"")</f>
        <v/>
      </c>
      <c r="N96" s="47" t="str">
        <f>IFERROR(VLOOKUP($A$1&amp;"-"&amp;ROW(AB95),基本資料填寫!$A:$DN,COLUMN(基本資料填寫!BY96),0),"")</f>
        <v/>
      </c>
      <c r="O96" s="47" t="str">
        <f>IFERROR(VLOOKUP($A$1&amp;"-"&amp;ROW(AC95),基本資料填寫!$A:$DN,COLUMN(基本資料填寫!BZ96),0),"")</f>
        <v/>
      </c>
      <c r="P96" s="47" t="str">
        <f>IFERROR(VLOOKUP($A$1&amp;"-"&amp;ROW(AD95),基本資料填寫!$A:$DN,COLUMN(基本資料填寫!CA96),0),"")</f>
        <v/>
      </c>
      <c r="Q96" s="47" t="str">
        <f>IFERROR(VLOOKUP($A$1&amp;"-"&amp;ROW(J95),基本資料填寫!$A:$DN,COLUMN(基本資料填寫!AO96),0),"")</f>
        <v/>
      </c>
      <c r="R96" s="47" t="str">
        <f>IFERROR(VLOOKUP($A$1&amp;"-"&amp;ROW(AE95),基本資料填寫!$A:$DN,COLUMN(基本資料填寫!CB96),0),"")</f>
        <v/>
      </c>
      <c r="S96" s="47" t="str">
        <f>IFERROR(VLOOKUP($A$1&amp;"-"&amp;ROW(AF95),基本資料填寫!$A:$DN,COLUMN(基本資料填寫!CC96),0),"")</f>
        <v/>
      </c>
      <c r="T96" s="47" t="str">
        <f>IFERROR(VLOOKUP($A$1&amp;"-"&amp;ROW(AG95),基本資料填寫!$A:$DN,COLUMN(基本資料填寫!CD96),0),"")</f>
        <v/>
      </c>
      <c r="U96" s="47" t="str">
        <f>IFERROR(VLOOKUP($A$1&amp;"-"&amp;ROW(AH95),基本資料填寫!$A:$DN,COLUMN(基本資料填寫!CE96),0),"")</f>
        <v/>
      </c>
      <c r="V96" s="47" t="str">
        <f>IFERROR(VLOOKUP($A$1&amp;"-"&amp;ROW(AI95),基本資料填寫!$A:$DN,COLUMN(基本資料填寫!CF96),0),"")</f>
        <v/>
      </c>
      <c r="W96" s="47" t="str">
        <f>IFERROR(VLOOKUP($A$1&amp;"-"&amp;ROW(AJ95),基本資料填寫!$A:$DN,COLUMN(基本資料填寫!CG96),0),"")</f>
        <v/>
      </c>
      <c r="X96" s="47" t="str">
        <f>IFERROR(VLOOKUP($A$1&amp;"-"&amp;ROW(AK95),基本資料填寫!$A:$DN,COLUMN(基本資料填寫!CH96),0),"")</f>
        <v/>
      </c>
      <c r="Y96" s="47" t="str">
        <f>IFERROR(VLOOKUP($A$1&amp;"-"&amp;ROW(AL95),基本資料填寫!$A:$DN,COLUMN(基本資料填寫!CI96),0),"")</f>
        <v/>
      </c>
      <c r="Z96" s="47" t="str">
        <f>IFERROR(VLOOKUP($A$1&amp;"-"&amp;ROW(H95),基本資料填寫!$A:$DN,COLUMN(基本資料填寫!O96),0),"")</f>
        <v/>
      </c>
      <c r="AA96" s="47" t="str">
        <f>IFERROR(VLOOKUP($A$1&amp;"-"&amp;ROW(AM95),基本資料填寫!$A:$DN,COLUMN(基本資料填寫!CJ96),0),"")</f>
        <v/>
      </c>
      <c r="AB96" s="47" t="str">
        <f>IFERROR(VLOOKUP($A$1&amp;"-"&amp;ROW(AN95),基本資料填寫!$A:$DN,COLUMN(基本資料填寫!CK96),0),"")</f>
        <v/>
      </c>
      <c r="AC96" s="47" t="str">
        <f>IFERROR(VLOOKUP($A$1&amp;"-"&amp;ROW(AP95),基本資料填寫!$A:$DN,COLUMN(基本資料填寫!CN96),0),"")</f>
        <v/>
      </c>
      <c r="AD96" s="47" t="str">
        <f>IFERROR(VLOOKUP($A$1&amp;"-"&amp;ROW(AQ95),基本資料填寫!$A:$DN,COLUMN(基本資料填寫!CO96),0),"")</f>
        <v/>
      </c>
      <c r="AE96" s="47" t="str">
        <f>IFERROR(VLOOKUP($A$1&amp;"-"&amp;ROW(AR95),基本資料填寫!$A:$DN,COLUMN(基本資料填寫!CP96),0),"")</f>
        <v/>
      </c>
      <c r="AF96" s="47" t="str">
        <f>IFERROR(VLOOKUP($A$1&amp;"-"&amp;ROW(AS95),基本資料填寫!$A:$DN,COLUMN(基本資料填寫!CQ96),0),"")</f>
        <v/>
      </c>
      <c r="AG96" s="47" t="str">
        <f>IFERROR(VLOOKUP($A$1&amp;"-"&amp;ROW(AT95),基本資料填寫!$A:$DN,COLUMN(基本資料填寫!CR96),0),"")</f>
        <v/>
      </c>
      <c r="AH96" s="47" t="str">
        <f>IFERROR(VLOOKUP($A$1&amp;"-"&amp;ROW(AU95),基本資料填寫!$A:$DN,COLUMN(基本資料填寫!CS96),0),"")</f>
        <v/>
      </c>
      <c r="AI96" s="47" t="str">
        <f>IFERROR(VLOOKUP($A$1&amp;"-"&amp;ROW(P95),基本資料填寫!$A:$DN,COLUMN(基本資料填寫!X96),0),"")</f>
        <v/>
      </c>
      <c r="AJ96" s="47" t="str">
        <f>IFERROR(VLOOKUP($A$1&amp;"-"&amp;ROW(AV95),基本資料填寫!$A:$DN,COLUMN(基本資料填寫!CT96),0),"")</f>
        <v/>
      </c>
      <c r="AK96" s="47" t="str">
        <f>IFERROR(VLOOKUP($A$1&amp;"-"&amp;ROW(AC95),基本資料填寫!$A:$DN,COLUMN(基本資料填寫!AQ96),0),"")</f>
        <v/>
      </c>
      <c r="AL96" s="47" t="str">
        <f>IFERROR(VLOOKUP($A$1&amp;"-"&amp;ROW(AO95),基本資料填寫!$A:$DN,COLUMN(基本資料填寫!CM96),0),"")</f>
        <v/>
      </c>
      <c r="AM96" s="47" t="str">
        <f>IFERROR(VLOOKUP($A$1&amp;"-"&amp;ROW(AD95),基本資料填寫!$A:$DN,COLUMN(基本資料填寫!AR96),0),"")</f>
        <v/>
      </c>
      <c r="AN96" s="47" t="str">
        <f>IFERROR(VLOOKUP($A$1&amp;"-"&amp;ROW(K95),基本資料填寫!$A:$DN,COLUMN(基本資料填寫!AP96),0),"")</f>
        <v/>
      </c>
      <c r="AO96" s="47" t="str">
        <f>IFERROR(VLOOKUP($A$1&amp;"-"&amp;ROW(J95),基本資料填寫!$A:$DN,COLUMN(基本資料填寫!AO96),0),"")</f>
        <v/>
      </c>
      <c r="AP96" s="47" t="str">
        <f>IFERROR(VLOOKUP($A$1&amp;"-"&amp;ROW(AE95),基本資料填寫!$A:$DN,COLUMN(基本資料填寫!AS96),0),"")</f>
        <v/>
      </c>
      <c r="AQ96" s="47" t="str">
        <f>IFERROR(VLOOKUP($A$1&amp;"-"&amp;ROW(AF95),基本資料填寫!$A:$DN,COLUMN(基本資料填寫!AT96),0),"")</f>
        <v/>
      </c>
      <c r="AR96" s="47" t="str">
        <f>IFERROR(VLOOKUP($A$1&amp;"-"&amp;ROW(AG95),基本資料填寫!$A:$DN,COLUMN(基本資料填寫!AU96),0),"")</f>
        <v/>
      </c>
      <c r="AS96" s="47" t="str">
        <f>IFERROR(VLOOKUP($A$1&amp;"-"&amp;ROW(AH95),基本資料填寫!$A:$DN,COLUMN(基本資料填寫!AV96),0),"")</f>
        <v/>
      </c>
      <c r="AT96" s="47" t="str">
        <f>IFERROR(VLOOKUP($A$1&amp;"-"&amp;ROW(AI95),基本資料填寫!$A:$DN,COLUMN(基本資料填寫!AW96),0),"")</f>
        <v/>
      </c>
      <c r="AU96" s="47" t="str">
        <f>IFERROR(VLOOKUP($A$1&amp;"-"&amp;ROW(AJ95),基本資料填寫!$A:$DN,COLUMN(基本資料填寫!AX96),0),"")</f>
        <v/>
      </c>
      <c r="AV96" s="47" t="str">
        <f>IFERROR(VLOOKUP($A$1&amp;"-"&amp;ROW(AK95),基本資料填寫!$A:$DN,COLUMN(基本資料填寫!AY96),0),"")</f>
        <v/>
      </c>
      <c r="AW96" s="47" t="str">
        <f>IFERROR(VLOOKUP($A$1&amp;"-"&amp;ROW(AL95),基本資料填寫!$A:$DN,COLUMN(基本資料填寫!AZ96),0),"")</f>
        <v/>
      </c>
      <c r="AX96" s="47" t="str">
        <f>IFERROR(VLOOKUP($A$1&amp;"-"&amp;ROW(AM95),基本資料填寫!$A:$DN,COLUMN(基本資料填寫!BA96),0),"")</f>
        <v/>
      </c>
      <c r="AY96" s="47" t="str">
        <f>IFERROR(VLOOKUP($A$1&amp;"-"&amp;ROW(AN95),基本資料填寫!$A:$DN,COLUMN(基本資料填寫!BB96),0),"")</f>
        <v/>
      </c>
      <c r="AZ96" s="47" t="str">
        <f>IFERROR(VLOOKUP($A$1&amp;"-"&amp;ROW(AO95),基本資料填寫!$A:$DN,COLUMN(基本資料填寫!BC96),0),"")</f>
        <v/>
      </c>
      <c r="BA96" s="47" t="str">
        <f>IFERROR(VLOOKUP($A$1&amp;"-"&amp;ROW(AP95),基本資料填寫!$A:$DN,COLUMN(基本資料填寫!BD96),0),"")</f>
        <v/>
      </c>
      <c r="BB96" s="47" t="str">
        <f>IFERROR(VLOOKUP($A$1&amp;"-"&amp;ROW(AQ95),基本資料填寫!$A:$DN,COLUMN(基本資料填寫!BE96),0),"")</f>
        <v/>
      </c>
      <c r="BC96" s="47" t="str">
        <f>IFERROR(VLOOKUP($A$1&amp;"-"&amp;ROW(AR95),基本資料填寫!$A:$DN,COLUMN(基本資料填寫!BF96),0),"")</f>
        <v/>
      </c>
      <c r="BD96" s="47" t="str">
        <f>IFERROR(VLOOKUP($A$1&amp;"-"&amp;ROW(AS95),基本資料填寫!$A:$DN,COLUMN(基本資料填寫!BG96),0),"")</f>
        <v/>
      </c>
      <c r="BE96" s="47" t="str">
        <f>IFERROR(VLOOKUP($A$1&amp;"-"&amp;ROW(AT95),基本資料填寫!$A:$DN,COLUMN(基本資料填寫!BH96),0),"")</f>
        <v/>
      </c>
      <c r="BF96" s="47" t="str">
        <f>IFERROR(VLOOKUP($A$1&amp;"-"&amp;ROW(AU95),基本資料填寫!$A:$DN,COLUMN(基本資料填寫!BI96),0),"")</f>
        <v/>
      </c>
      <c r="BG96" s="47" t="str">
        <f>IFERROR(VLOOKUP($A$1&amp;"-"&amp;ROW(AV95),基本資料填寫!$A:$DN,COLUMN(基本資料填寫!BJ96),0),"")</f>
        <v/>
      </c>
      <c r="BH96" s="47" t="str">
        <f>IFERROR(VLOOKUP($A$1&amp;"-"&amp;ROW(AW95),基本資料填寫!$A:$DN,COLUMN(基本資料填寫!BK96),0),"")</f>
        <v/>
      </c>
      <c r="BI96" s="47" t="str">
        <f>IFERROR(VLOOKUP($A$1&amp;"-"&amp;ROW(AX95),基本資料填寫!$A:$DN,COLUMN(基本資料填寫!BL96),0),"")</f>
        <v/>
      </c>
      <c r="BJ96" s="47" t="str">
        <f>IFERROR(VLOOKUP($A$1&amp;"-"&amp;ROW(AY95),基本資料填寫!$A:$DN,COLUMN(基本資料填寫!BM96),0),"")</f>
        <v/>
      </c>
      <c r="BK96" s="47" t="str">
        <f>IFERROR(VLOOKUP($A$1&amp;"-"&amp;ROW(AZ95),基本資料填寫!$A:$DN,COLUMN(基本資料填寫!BN96),0),"")</f>
        <v/>
      </c>
      <c r="BL96" s="47" t="str">
        <f>IFERROR(VLOOKUP($A$1&amp;"-"&amp;ROW(BA95),基本資料填寫!$A:$DN,COLUMN(基本資料填寫!BO96),0),"")</f>
        <v/>
      </c>
      <c r="BM96" s="47" t="str">
        <f>IFERROR(VLOOKUP($A$1&amp;"-"&amp;ROW(BB95),基本資料填寫!$A:$DN,COLUMN(基本資料填寫!BP96),0),"")</f>
        <v/>
      </c>
      <c r="BN96" s="47" t="str">
        <f>IFERROR(VLOOKUP($A$1&amp;"-"&amp;ROW(BC95),基本資料填寫!$A:$DN,COLUMN(基本資料填寫!BQ96),0),"")</f>
        <v/>
      </c>
      <c r="BO96" s="47" t="str">
        <f>IFERROR(VLOOKUP($A$1&amp;"-"&amp;ROW(BD95),基本資料填寫!$A:$DN,COLUMN(基本資料填寫!BR96),0),"")</f>
        <v/>
      </c>
    </row>
    <row r="97" spans="2:67" x14ac:dyDescent="0.3">
      <c r="B97" s="47" t="str">
        <f>IFERROR(VLOOKUP($A$1&amp;"-"&amp;ROW(A96),基本資料填寫!$A:$DN,COLUMN(基本資料填寫!K97),0),"")</f>
        <v/>
      </c>
      <c r="C97" s="47" t="str">
        <f>IFERROR(VLOOKUP($A$1&amp;"-"&amp;ROW(B96),基本資料填寫!$A:$DN,COLUMN(基本資料填寫!L97),0),"")</f>
        <v/>
      </c>
      <c r="D97" s="47" t="str">
        <f>IF(E97="","",COUNTA($E$2:E97))</f>
        <v/>
      </c>
      <c r="E97" s="47" t="str">
        <f>IFERROR(VLOOKUP($A$1&amp;"-"&amp;ROW(E96),基本資料填寫!$A:$DN,COLUMN(基本資料填寫!S97),0),"")</f>
        <v/>
      </c>
      <c r="G97" s="47" t="str">
        <f>IFERROR(VLOOKUP($A$1&amp;"-"&amp;ROW(G96),基本資料填寫!$A:$DN,COLUMN(基本資料填寫!V97),0),"")</f>
        <v/>
      </c>
      <c r="H97" s="47" t="str">
        <f>IFERROR(VLOOKUP($A$1&amp;"-"&amp;ROW(BI96),基本資料填寫!$A:$DN,COLUMN(基本資料填寫!BW97),0),"")</f>
        <v/>
      </c>
      <c r="I97" s="47" t="str">
        <f>IFERROR(VLOOKUP($A$1&amp;"-"&amp;ROW(I96),基本資料填寫!$A:$DN,COLUMN(基本資料填寫!AN97),0),"")</f>
        <v/>
      </c>
      <c r="J97" s="47" t="str">
        <f>IFERROR(VLOOKUP($A$1&amp;"-"&amp;ROW(K96),基本資料填寫!$A:$DN,COLUMN(基本資料填寫!R97),0),"")</f>
        <v/>
      </c>
      <c r="K97" s="47" t="str">
        <f>IFERROR(VLOOKUP($A$1&amp;"-"&amp;ROW(AA96),基本資料填寫!$A:$DN,COLUMN(基本資料填寫!BX97),0),"")</f>
        <v/>
      </c>
      <c r="L97" s="47" t="str">
        <f>IFERROR(VLOOKUP($A$1&amp;"-"&amp;ROW(S96),基本資料填寫!$A:$DN,COLUMN(基本資料填寫!Z97),0),"")</f>
        <v/>
      </c>
      <c r="M97" s="47" t="str">
        <f>IFERROR(VLOOKUP($A$1&amp;"-"&amp;ROW(T96),基本資料填寫!$A:$DN,COLUMN(基本資料填寫!AA97),0),"")</f>
        <v/>
      </c>
      <c r="N97" s="47" t="str">
        <f>IFERROR(VLOOKUP($A$1&amp;"-"&amp;ROW(AB96),基本資料填寫!$A:$DN,COLUMN(基本資料填寫!BY97),0),"")</f>
        <v/>
      </c>
      <c r="O97" s="47" t="str">
        <f>IFERROR(VLOOKUP($A$1&amp;"-"&amp;ROW(AC96),基本資料填寫!$A:$DN,COLUMN(基本資料填寫!BZ97),0),"")</f>
        <v/>
      </c>
      <c r="P97" s="47" t="str">
        <f>IFERROR(VLOOKUP($A$1&amp;"-"&amp;ROW(AD96),基本資料填寫!$A:$DN,COLUMN(基本資料填寫!CA97),0),"")</f>
        <v/>
      </c>
      <c r="Q97" s="47" t="str">
        <f>IFERROR(VLOOKUP($A$1&amp;"-"&amp;ROW(J96),基本資料填寫!$A:$DN,COLUMN(基本資料填寫!AO97),0),"")</f>
        <v/>
      </c>
      <c r="R97" s="47" t="str">
        <f>IFERROR(VLOOKUP($A$1&amp;"-"&amp;ROW(AE96),基本資料填寫!$A:$DN,COLUMN(基本資料填寫!CB97),0),"")</f>
        <v/>
      </c>
      <c r="S97" s="47" t="str">
        <f>IFERROR(VLOOKUP($A$1&amp;"-"&amp;ROW(AF96),基本資料填寫!$A:$DN,COLUMN(基本資料填寫!CC97),0),"")</f>
        <v/>
      </c>
      <c r="T97" s="47" t="str">
        <f>IFERROR(VLOOKUP($A$1&amp;"-"&amp;ROW(AG96),基本資料填寫!$A:$DN,COLUMN(基本資料填寫!CD97),0),"")</f>
        <v/>
      </c>
      <c r="U97" s="47" t="str">
        <f>IFERROR(VLOOKUP($A$1&amp;"-"&amp;ROW(AH96),基本資料填寫!$A:$DN,COLUMN(基本資料填寫!CE97),0),"")</f>
        <v/>
      </c>
      <c r="V97" s="47" t="str">
        <f>IFERROR(VLOOKUP($A$1&amp;"-"&amp;ROW(AI96),基本資料填寫!$A:$DN,COLUMN(基本資料填寫!CF97),0),"")</f>
        <v/>
      </c>
      <c r="W97" s="47" t="str">
        <f>IFERROR(VLOOKUP($A$1&amp;"-"&amp;ROW(AJ96),基本資料填寫!$A:$DN,COLUMN(基本資料填寫!CG97),0),"")</f>
        <v/>
      </c>
      <c r="X97" s="47" t="str">
        <f>IFERROR(VLOOKUP($A$1&amp;"-"&amp;ROW(AK96),基本資料填寫!$A:$DN,COLUMN(基本資料填寫!CH97),0),"")</f>
        <v/>
      </c>
      <c r="Y97" s="47" t="str">
        <f>IFERROR(VLOOKUP($A$1&amp;"-"&amp;ROW(AL96),基本資料填寫!$A:$DN,COLUMN(基本資料填寫!CI97),0),"")</f>
        <v/>
      </c>
      <c r="Z97" s="47" t="str">
        <f>IFERROR(VLOOKUP($A$1&amp;"-"&amp;ROW(H96),基本資料填寫!$A:$DN,COLUMN(基本資料填寫!O97),0),"")</f>
        <v/>
      </c>
      <c r="AA97" s="47" t="str">
        <f>IFERROR(VLOOKUP($A$1&amp;"-"&amp;ROW(AM96),基本資料填寫!$A:$DN,COLUMN(基本資料填寫!CJ97),0),"")</f>
        <v/>
      </c>
      <c r="AB97" s="47" t="str">
        <f>IFERROR(VLOOKUP($A$1&amp;"-"&amp;ROW(AN96),基本資料填寫!$A:$DN,COLUMN(基本資料填寫!CK97),0),"")</f>
        <v/>
      </c>
      <c r="AC97" s="47" t="str">
        <f>IFERROR(VLOOKUP($A$1&amp;"-"&amp;ROW(AP96),基本資料填寫!$A:$DN,COLUMN(基本資料填寫!CN97),0),"")</f>
        <v/>
      </c>
      <c r="AD97" s="47" t="str">
        <f>IFERROR(VLOOKUP($A$1&amp;"-"&amp;ROW(AQ96),基本資料填寫!$A:$DN,COLUMN(基本資料填寫!CO97),0),"")</f>
        <v/>
      </c>
      <c r="AE97" s="47" t="str">
        <f>IFERROR(VLOOKUP($A$1&amp;"-"&amp;ROW(AR96),基本資料填寫!$A:$DN,COLUMN(基本資料填寫!CP97),0),"")</f>
        <v/>
      </c>
      <c r="AF97" s="47" t="str">
        <f>IFERROR(VLOOKUP($A$1&amp;"-"&amp;ROW(AS96),基本資料填寫!$A:$DN,COLUMN(基本資料填寫!CQ97),0),"")</f>
        <v/>
      </c>
      <c r="AG97" s="47" t="str">
        <f>IFERROR(VLOOKUP($A$1&amp;"-"&amp;ROW(AT96),基本資料填寫!$A:$DN,COLUMN(基本資料填寫!CR97),0),"")</f>
        <v/>
      </c>
      <c r="AH97" s="47" t="str">
        <f>IFERROR(VLOOKUP($A$1&amp;"-"&amp;ROW(AU96),基本資料填寫!$A:$DN,COLUMN(基本資料填寫!CS97),0),"")</f>
        <v/>
      </c>
      <c r="AI97" s="47" t="str">
        <f>IFERROR(VLOOKUP($A$1&amp;"-"&amp;ROW(P96),基本資料填寫!$A:$DN,COLUMN(基本資料填寫!X97),0),"")</f>
        <v/>
      </c>
      <c r="AJ97" s="47" t="str">
        <f>IFERROR(VLOOKUP($A$1&amp;"-"&amp;ROW(AV96),基本資料填寫!$A:$DN,COLUMN(基本資料填寫!CT97),0),"")</f>
        <v/>
      </c>
      <c r="AK97" s="47" t="str">
        <f>IFERROR(VLOOKUP($A$1&amp;"-"&amp;ROW(AC96),基本資料填寫!$A:$DN,COLUMN(基本資料填寫!AQ97),0),"")</f>
        <v/>
      </c>
      <c r="AL97" s="47" t="str">
        <f>IFERROR(VLOOKUP($A$1&amp;"-"&amp;ROW(AO96),基本資料填寫!$A:$DN,COLUMN(基本資料填寫!CM97),0),"")</f>
        <v/>
      </c>
      <c r="AM97" s="47" t="str">
        <f>IFERROR(VLOOKUP($A$1&amp;"-"&amp;ROW(AD96),基本資料填寫!$A:$DN,COLUMN(基本資料填寫!AR97),0),"")</f>
        <v/>
      </c>
      <c r="AN97" s="47" t="str">
        <f>IFERROR(VLOOKUP($A$1&amp;"-"&amp;ROW(K96),基本資料填寫!$A:$DN,COLUMN(基本資料填寫!AP97),0),"")</f>
        <v/>
      </c>
      <c r="AO97" s="47" t="str">
        <f>IFERROR(VLOOKUP($A$1&amp;"-"&amp;ROW(J96),基本資料填寫!$A:$DN,COLUMN(基本資料填寫!AO97),0),"")</f>
        <v/>
      </c>
      <c r="AP97" s="47" t="str">
        <f>IFERROR(VLOOKUP($A$1&amp;"-"&amp;ROW(AE96),基本資料填寫!$A:$DN,COLUMN(基本資料填寫!AS97),0),"")</f>
        <v/>
      </c>
      <c r="AQ97" s="47" t="str">
        <f>IFERROR(VLOOKUP($A$1&amp;"-"&amp;ROW(AF96),基本資料填寫!$A:$DN,COLUMN(基本資料填寫!AT97),0),"")</f>
        <v/>
      </c>
      <c r="AR97" s="47" t="str">
        <f>IFERROR(VLOOKUP($A$1&amp;"-"&amp;ROW(AG96),基本資料填寫!$A:$DN,COLUMN(基本資料填寫!AU97),0),"")</f>
        <v/>
      </c>
      <c r="AS97" s="47" t="str">
        <f>IFERROR(VLOOKUP($A$1&amp;"-"&amp;ROW(AH96),基本資料填寫!$A:$DN,COLUMN(基本資料填寫!AV97),0),"")</f>
        <v/>
      </c>
      <c r="AT97" s="47" t="str">
        <f>IFERROR(VLOOKUP($A$1&amp;"-"&amp;ROW(AI96),基本資料填寫!$A:$DN,COLUMN(基本資料填寫!AW97),0),"")</f>
        <v/>
      </c>
      <c r="AU97" s="47" t="str">
        <f>IFERROR(VLOOKUP($A$1&amp;"-"&amp;ROW(AJ96),基本資料填寫!$A:$DN,COLUMN(基本資料填寫!AX97),0),"")</f>
        <v/>
      </c>
      <c r="AV97" s="47" t="str">
        <f>IFERROR(VLOOKUP($A$1&amp;"-"&amp;ROW(AK96),基本資料填寫!$A:$DN,COLUMN(基本資料填寫!AY97),0),"")</f>
        <v/>
      </c>
      <c r="AW97" s="47" t="str">
        <f>IFERROR(VLOOKUP($A$1&amp;"-"&amp;ROW(AL96),基本資料填寫!$A:$DN,COLUMN(基本資料填寫!AZ97),0),"")</f>
        <v/>
      </c>
      <c r="AX97" s="47" t="str">
        <f>IFERROR(VLOOKUP($A$1&amp;"-"&amp;ROW(AM96),基本資料填寫!$A:$DN,COLUMN(基本資料填寫!BA97),0),"")</f>
        <v/>
      </c>
      <c r="AY97" s="47" t="str">
        <f>IFERROR(VLOOKUP($A$1&amp;"-"&amp;ROW(AN96),基本資料填寫!$A:$DN,COLUMN(基本資料填寫!BB97),0),"")</f>
        <v/>
      </c>
      <c r="AZ97" s="47" t="str">
        <f>IFERROR(VLOOKUP($A$1&amp;"-"&amp;ROW(AO96),基本資料填寫!$A:$DN,COLUMN(基本資料填寫!BC97),0),"")</f>
        <v/>
      </c>
      <c r="BA97" s="47" t="str">
        <f>IFERROR(VLOOKUP($A$1&amp;"-"&amp;ROW(AP96),基本資料填寫!$A:$DN,COLUMN(基本資料填寫!BD97),0),"")</f>
        <v/>
      </c>
      <c r="BB97" s="47" t="str">
        <f>IFERROR(VLOOKUP($A$1&amp;"-"&amp;ROW(AQ96),基本資料填寫!$A:$DN,COLUMN(基本資料填寫!BE97),0),"")</f>
        <v/>
      </c>
      <c r="BC97" s="47" t="str">
        <f>IFERROR(VLOOKUP($A$1&amp;"-"&amp;ROW(AR96),基本資料填寫!$A:$DN,COLUMN(基本資料填寫!BF97),0),"")</f>
        <v/>
      </c>
      <c r="BD97" s="47" t="str">
        <f>IFERROR(VLOOKUP($A$1&amp;"-"&amp;ROW(AS96),基本資料填寫!$A:$DN,COLUMN(基本資料填寫!BG97),0),"")</f>
        <v/>
      </c>
      <c r="BE97" s="47" t="str">
        <f>IFERROR(VLOOKUP($A$1&amp;"-"&amp;ROW(AT96),基本資料填寫!$A:$DN,COLUMN(基本資料填寫!BH97),0),"")</f>
        <v/>
      </c>
      <c r="BF97" s="47" t="str">
        <f>IFERROR(VLOOKUP($A$1&amp;"-"&amp;ROW(AU96),基本資料填寫!$A:$DN,COLUMN(基本資料填寫!BI97),0),"")</f>
        <v/>
      </c>
      <c r="BG97" s="47" t="str">
        <f>IFERROR(VLOOKUP($A$1&amp;"-"&amp;ROW(AV96),基本資料填寫!$A:$DN,COLUMN(基本資料填寫!BJ97),0),"")</f>
        <v/>
      </c>
      <c r="BH97" s="47" t="str">
        <f>IFERROR(VLOOKUP($A$1&amp;"-"&amp;ROW(AW96),基本資料填寫!$A:$DN,COLUMN(基本資料填寫!BK97),0),"")</f>
        <v/>
      </c>
      <c r="BI97" s="47" t="str">
        <f>IFERROR(VLOOKUP($A$1&amp;"-"&amp;ROW(AX96),基本資料填寫!$A:$DN,COLUMN(基本資料填寫!BL97),0),"")</f>
        <v/>
      </c>
      <c r="BJ97" s="47" t="str">
        <f>IFERROR(VLOOKUP($A$1&amp;"-"&amp;ROW(AY96),基本資料填寫!$A:$DN,COLUMN(基本資料填寫!BM97),0),"")</f>
        <v/>
      </c>
      <c r="BK97" s="47" t="str">
        <f>IFERROR(VLOOKUP($A$1&amp;"-"&amp;ROW(AZ96),基本資料填寫!$A:$DN,COLUMN(基本資料填寫!BN97),0),"")</f>
        <v/>
      </c>
      <c r="BL97" s="47" t="str">
        <f>IFERROR(VLOOKUP($A$1&amp;"-"&amp;ROW(BA96),基本資料填寫!$A:$DN,COLUMN(基本資料填寫!BO97),0),"")</f>
        <v/>
      </c>
      <c r="BM97" s="47" t="str">
        <f>IFERROR(VLOOKUP($A$1&amp;"-"&amp;ROW(BB96),基本資料填寫!$A:$DN,COLUMN(基本資料填寫!BP97),0),"")</f>
        <v/>
      </c>
      <c r="BN97" s="47" t="str">
        <f>IFERROR(VLOOKUP($A$1&amp;"-"&amp;ROW(BC96),基本資料填寫!$A:$DN,COLUMN(基本資料填寫!BQ97),0),"")</f>
        <v/>
      </c>
      <c r="BO97" s="47" t="str">
        <f>IFERROR(VLOOKUP($A$1&amp;"-"&amp;ROW(BD96),基本資料填寫!$A:$DN,COLUMN(基本資料填寫!BR97),0),"")</f>
        <v/>
      </c>
    </row>
    <row r="98" spans="2:67" x14ac:dyDescent="0.3">
      <c r="B98" s="47" t="str">
        <f>IFERROR(VLOOKUP($A$1&amp;"-"&amp;ROW(A97),基本資料填寫!$A:$DN,COLUMN(基本資料填寫!K98),0),"")</f>
        <v/>
      </c>
      <c r="C98" s="47" t="str">
        <f>IFERROR(VLOOKUP($A$1&amp;"-"&amp;ROW(B97),基本資料填寫!$A:$DN,COLUMN(基本資料填寫!L98),0),"")</f>
        <v/>
      </c>
      <c r="D98" s="47" t="str">
        <f>IF(E98="","",COUNTA($E$2:E98))</f>
        <v/>
      </c>
      <c r="E98" s="47" t="str">
        <f>IFERROR(VLOOKUP($A$1&amp;"-"&amp;ROW(E97),基本資料填寫!$A:$DN,COLUMN(基本資料填寫!S98),0),"")</f>
        <v/>
      </c>
      <c r="G98" s="47" t="str">
        <f>IFERROR(VLOOKUP($A$1&amp;"-"&amp;ROW(G97),基本資料填寫!$A:$DN,COLUMN(基本資料填寫!V98),0),"")</f>
        <v/>
      </c>
      <c r="H98" s="47" t="str">
        <f>IFERROR(VLOOKUP($A$1&amp;"-"&amp;ROW(BI97),基本資料填寫!$A:$DN,COLUMN(基本資料填寫!BW98),0),"")</f>
        <v/>
      </c>
      <c r="I98" s="47" t="str">
        <f>IFERROR(VLOOKUP($A$1&amp;"-"&amp;ROW(I97),基本資料填寫!$A:$DN,COLUMN(基本資料填寫!AN98),0),"")</f>
        <v/>
      </c>
      <c r="J98" s="47" t="str">
        <f>IFERROR(VLOOKUP($A$1&amp;"-"&amp;ROW(K97),基本資料填寫!$A:$DN,COLUMN(基本資料填寫!R98),0),"")</f>
        <v/>
      </c>
      <c r="K98" s="47" t="str">
        <f>IFERROR(VLOOKUP($A$1&amp;"-"&amp;ROW(AA97),基本資料填寫!$A:$DN,COLUMN(基本資料填寫!BX98),0),"")</f>
        <v/>
      </c>
      <c r="L98" s="47" t="str">
        <f>IFERROR(VLOOKUP($A$1&amp;"-"&amp;ROW(S97),基本資料填寫!$A:$DN,COLUMN(基本資料填寫!Z98),0),"")</f>
        <v/>
      </c>
      <c r="M98" s="47" t="str">
        <f>IFERROR(VLOOKUP($A$1&amp;"-"&amp;ROW(T97),基本資料填寫!$A:$DN,COLUMN(基本資料填寫!AA98),0),"")</f>
        <v/>
      </c>
      <c r="N98" s="47" t="str">
        <f>IFERROR(VLOOKUP($A$1&amp;"-"&amp;ROW(AB97),基本資料填寫!$A:$DN,COLUMN(基本資料填寫!BY98),0),"")</f>
        <v/>
      </c>
      <c r="O98" s="47" t="str">
        <f>IFERROR(VLOOKUP($A$1&amp;"-"&amp;ROW(AC97),基本資料填寫!$A:$DN,COLUMN(基本資料填寫!BZ98),0),"")</f>
        <v/>
      </c>
      <c r="P98" s="47" t="str">
        <f>IFERROR(VLOOKUP($A$1&amp;"-"&amp;ROW(AD97),基本資料填寫!$A:$DN,COLUMN(基本資料填寫!CA98),0),"")</f>
        <v/>
      </c>
      <c r="Q98" s="47" t="str">
        <f>IFERROR(VLOOKUP($A$1&amp;"-"&amp;ROW(J97),基本資料填寫!$A:$DN,COLUMN(基本資料填寫!AO98),0),"")</f>
        <v/>
      </c>
      <c r="R98" s="47" t="str">
        <f>IFERROR(VLOOKUP($A$1&amp;"-"&amp;ROW(AE97),基本資料填寫!$A:$DN,COLUMN(基本資料填寫!CB98),0),"")</f>
        <v/>
      </c>
      <c r="S98" s="47" t="str">
        <f>IFERROR(VLOOKUP($A$1&amp;"-"&amp;ROW(AF97),基本資料填寫!$A:$DN,COLUMN(基本資料填寫!CC98),0),"")</f>
        <v/>
      </c>
      <c r="T98" s="47" t="str">
        <f>IFERROR(VLOOKUP($A$1&amp;"-"&amp;ROW(AG97),基本資料填寫!$A:$DN,COLUMN(基本資料填寫!CD98),0),"")</f>
        <v/>
      </c>
      <c r="U98" s="47" t="str">
        <f>IFERROR(VLOOKUP($A$1&amp;"-"&amp;ROW(AH97),基本資料填寫!$A:$DN,COLUMN(基本資料填寫!CE98),0),"")</f>
        <v/>
      </c>
      <c r="V98" s="47" t="str">
        <f>IFERROR(VLOOKUP($A$1&amp;"-"&amp;ROW(AI97),基本資料填寫!$A:$DN,COLUMN(基本資料填寫!CF98),0),"")</f>
        <v/>
      </c>
      <c r="W98" s="47" t="str">
        <f>IFERROR(VLOOKUP($A$1&amp;"-"&amp;ROW(AJ97),基本資料填寫!$A:$DN,COLUMN(基本資料填寫!CG98),0),"")</f>
        <v/>
      </c>
      <c r="X98" s="47" t="str">
        <f>IFERROR(VLOOKUP($A$1&amp;"-"&amp;ROW(AK97),基本資料填寫!$A:$DN,COLUMN(基本資料填寫!CH98),0),"")</f>
        <v/>
      </c>
      <c r="Y98" s="47" t="str">
        <f>IFERROR(VLOOKUP($A$1&amp;"-"&amp;ROW(AL97),基本資料填寫!$A:$DN,COLUMN(基本資料填寫!CI98),0),"")</f>
        <v/>
      </c>
      <c r="Z98" s="47" t="str">
        <f>IFERROR(VLOOKUP($A$1&amp;"-"&amp;ROW(H97),基本資料填寫!$A:$DN,COLUMN(基本資料填寫!O98),0),"")</f>
        <v/>
      </c>
      <c r="AA98" s="47" t="str">
        <f>IFERROR(VLOOKUP($A$1&amp;"-"&amp;ROW(AM97),基本資料填寫!$A:$DN,COLUMN(基本資料填寫!CJ98),0),"")</f>
        <v/>
      </c>
      <c r="AB98" s="47" t="str">
        <f>IFERROR(VLOOKUP($A$1&amp;"-"&amp;ROW(AN97),基本資料填寫!$A:$DN,COLUMN(基本資料填寫!CK98),0),"")</f>
        <v/>
      </c>
      <c r="AC98" s="47" t="str">
        <f>IFERROR(VLOOKUP($A$1&amp;"-"&amp;ROW(AP97),基本資料填寫!$A:$DN,COLUMN(基本資料填寫!CN98),0),"")</f>
        <v/>
      </c>
      <c r="AD98" s="47" t="str">
        <f>IFERROR(VLOOKUP($A$1&amp;"-"&amp;ROW(AQ97),基本資料填寫!$A:$DN,COLUMN(基本資料填寫!CO98),0),"")</f>
        <v/>
      </c>
      <c r="AE98" s="47" t="str">
        <f>IFERROR(VLOOKUP($A$1&amp;"-"&amp;ROW(AR97),基本資料填寫!$A:$DN,COLUMN(基本資料填寫!CP98),0),"")</f>
        <v/>
      </c>
      <c r="AF98" s="47" t="str">
        <f>IFERROR(VLOOKUP($A$1&amp;"-"&amp;ROW(AS97),基本資料填寫!$A:$DN,COLUMN(基本資料填寫!CQ98),0),"")</f>
        <v/>
      </c>
      <c r="AG98" s="47" t="str">
        <f>IFERROR(VLOOKUP($A$1&amp;"-"&amp;ROW(AT97),基本資料填寫!$A:$DN,COLUMN(基本資料填寫!CR98),0),"")</f>
        <v/>
      </c>
      <c r="AH98" s="47" t="str">
        <f>IFERROR(VLOOKUP($A$1&amp;"-"&amp;ROW(AU97),基本資料填寫!$A:$DN,COLUMN(基本資料填寫!CS98),0),"")</f>
        <v/>
      </c>
      <c r="AI98" s="47" t="str">
        <f>IFERROR(VLOOKUP($A$1&amp;"-"&amp;ROW(P97),基本資料填寫!$A:$DN,COLUMN(基本資料填寫!X98),0),"")</f>
        <v/>
      </c>
      <c r="AJ98" s="47" t="str">
        <f>IFERROR(VLOOKUP($A$1&amp;"-"&amp;ROW(AV97),基本資料填寫!$A:$DN,COLUMN(基本資料填寫!CT98),0),"")</f>
        <v/>
      </c>
      <c r="AK98" s="47" t="str">
        <f>IFERROR(VLOOKUP($A$1&amp;"-"&amp;ROW(AC97),基本資料填寫!$A:$DN,COLUMN(基本資料填寫!AQ98),0),"")</f>
        <v/>
      </c>
      <c r="AL98" s="47" t="str">
        <f>IFERROR(VLOOKUP($A$1&amp;"-"&amp;ROW(AO97),基本資料填寫!$A:$DN,COLUMN(基本資料填寫!CM98),0),"")</f>
        <v/>
      </c>
      <c r="AM98" s="47" t="str">
        <f>IFERROR(VLOOKUP($A$1&amp;"-"&amp;ROW(AD97),基本資料填寫!$A:$DN,COLUMN(基本資料填寫!AR98),0),"")</f>
        <v/>
      </c>
      <c r="AN98" s="47" t="str">
        <f>IFERROR(VLOOKUP($A$1&amp;"-"&amp;ROW(K97),基本資料填寫!$A:$DN,COLUMN(基本資料填寫!AP98),0),"")</f>
        <v/>
      </c>
      <c r="AO98" s="47" t="str">
        <f>IFERROR(VLOOKUP($A$1&amp;"-"&amp;ROW(J97),基本資料填寫!$A:$DN,COLUMN(基本資料填寫!AO98),0),"")</f>
        <v/>
      </c>
      <c r="AP98" s="47" t="str">
        <f>IFERROR(VLOOKUP($A$1&amp;"-"&amp;ROW(AE97),基本資料填寫!$A:$DN,COLUMN(基本資料填寫!AS98),0),"")</f>
        <v/>
      </c>
      <c r="AQ98" s="47" t="str">
        <f>IFERROR(VLOOKUP($A$1&amp;"-"&amp;ROW(AF97),基本資料填寫!$A:$DN,COLUMN(基本資料填寫!AT98),0),"")</f>
        <v/>
      </c>
      <c r="AR98" s="47" t="str">
        <f>IFERROR(VLOOKUP($A$1&amp;"-"&amp;ROW(AG97),基本資料填寫!$A:$DN,COLUMN(基本資料填寫!AU98),0),"")</f>
        <v/>
      </c>
      <c r="AS98" s="47" t="str">
        <f>IFERROR(VLOOKUP($A$1&amp;"-"&amp;ROW(AH97),基本資料填寫!$A:$DN,COLUMN(基本資料填寫!AV98),0),"")</f>
        <v/>
      </c>
      <c r="AT98" s="47" t="str">
        <f>IFERROR(VLOOKUP($A$1&amp;"-"&amp;ROW(AI97),基本資料填寫!$A:$DN,COLUMN(基本資料填寫!AW98),0),"")</f>
        <v/>
      </c>
      <c r="AU98" s="47" t="str">
        <f>IFERROR(VLOOKUP($A$1&amp;"-"&amp;ROW(AJ97),基本資料填寫!$A:$DN,COLUMN(基本資料填寫!AX98),0),"")</f>
        <v/>
      </c>
      <c r="AV98" s="47" t="str">
        <f>IFERROR(VLOOKUP($A$1&amp;"-"&amp;ROW(AK97),基本資料填寫!$A:$DN,COLUMN(基本資料填寫!AY98),0),"")</f>
        <v/>
      </c>
      <c r="AW98" s="47" t="str">
        <f>IFERROR(VLOOKUP($A$1&amp;"-"&amp;ROW(AL97),基本資料填寫!$A:$DN,COLUMN(基本資料填寫!AZ98),0),"")</f>
        <v/>
      </c>
      <c r="AX98" s="47" t="str">
        <f>IFERROR(VLOOKUP($A$1&amp;"-"&amp;ROW(AM97),基本資料填寫!$A:$DN,COLUMN(基本資料填寫!BA98),0),"")</f>
        <v/>
      </c>
      <c r="AY98" s="47" t="str">
        <f>IFERROR(VLOOKUP($A$1&amp;"-"&amp;ROW(AN97),基本資料填寫!$A:$DN,COLUMN(基本資料填寫!BB98),0),"")</f>
        <v/>
      </c>
      <c r="AZ98" s="47" t="str">
        <f>IFERROR(VLOOKUP($A$1&amp;"-"&amp;ROW(AO97),基本資料填寫!$A:$DN,COLUMN(基本資料填寫!BC98),0),"")</f>
        <v/>
      </c>
      <c r="BA98" s="47" t="str">
        <f>IFERROR(VLOOKUP($A$1&amp;"-"&amp;ROW(AP97),基本資料填寫!$A:$DN,COLUMN(基本資料填寫!BD98),0),"")</f>
        <v/>
      </c>
      <c r="BB98" s="47" t="str">
        <f>IFERROR(VLOOKUP($A$1&amp;"-"&amp;ROW(AQ97),基本資料填寫!$A:$DN,COLUMN(基本資料填寫!BE98),0),"")</f>
        <v/>
      </c>
      <c r="BC98" s="47" t="str">
        <f>IFERROR(VLOOKUP($A$1&amp;"-"&amp;ROW(AR97),基本資料填寫!$A:$DN,COLUMN(基本資料填寫!BF98),0),"")</f>
        <v/>
      </c>
      <c r="BD98" s="47" t="str">
        <f>IFERROR(VLOOKUP($A$1&amp;"-"&amp;ROW(AS97),基本資料填寫!$A:$DN,COLUMN(基本資料填寫!BG98),0),"")</f>
        <v/>
      </c>
      <c r="BE98" s="47" t="str">
        <f>IFERROR(VLOOKUP($A$1&amp;"-"&amp;ROW(AT97),基本資料填寫!$A:$DN,COLUMN(基本資料填寫!BH98),0),"")</f>
        <v/>
      </c>
      <c r="BF98" s="47" t="str">
        <f>IFERROR(VLOOKUP($A$1&amp;"-"&amp;ROW(AU97),基本資料填寫!$A:$DN,COLUMN(基本資料填寫!BI98),0),"")</f>
        <v/>
      </c>
      <c r="BG98" s="47" t="str">
        <f>IFERROR(VLOOKUP($A$1&amp;"-"&amp;ROW(AV97),基本資料填寫!$A:$DN,COLUMN(基本資料填寫!BJ98),0),"")</f>
        <v/>
      </c>
      <c r="BH98" s="47" t="str">
        <f>IFERROR(VLOOKUP($A$1&amp;"-"&amp;ROW(AW97),基本資料填寫!$A:$DN,COLUMN(基本資料填寫!BK98),0),"")</f>
        <v/>
      </c>
      <c r="BI98" s="47" t="str">
        <f>IFERROR(VLOOKUP($A$1&amp;"-"&amp;ROW(AX97),基本資料填寫!$A:$DN,COLUMN(基本資料填寫!BL98),0),"")</f>
        <v/>
      </c>
      <c r="BJ98" s="47" t="str">
        <f>IFERROR(VLOOKUP($A$1&amp;"-"&amp;ROW(AY97),基本資料填寫!$A:$DN,COLUMN(基本資料填寫!BM98),0),"")</f>
        <v/>
      </c>
      <c r="BK98" s="47" t="str">
        <f>IFERROR(VLOOKUP($A$1&amp;"-"&amp;ROW(AZ97),基本資料填寫!$A:$DN,COLUMN(基本資料填寫!BN98),0),"")</f>
        <v/>
      </c>
      <c r="BL98" s="47" t="str">
        <f>IFERROR(VLOOKUP($A$1&amp;"-"&amp;ROW(BA97),基本資料填寫!$A:$DN,COLUMN(基本資料填寫!BO98),0),"")</f>
        <v/>
      </c>
      <c r="BM98" s="47" t="str">
        <f>IFERROR(VLOOKUP($A$1&amp;"-"&amp;ROW(BB97),基本資料填寫!$A:$DN,COLUMN(基本資料填寫!BP98),0),"")</f>
        <v/>
      </c>
      <c r="BN98" s="47" t="str">
        <f>IFERROR(VLOOKUP($A$1&amp;"-"&amp;ROW(BC97),基本資料填寫!$A:$DN,COLUMN(基本資料填寫!BQ98),0),"")</f>
        <v/>
      </c>
      <c r="BO98" s="47" t="str">
        <f>IFERROR(VLOOKUP($A$1&amp;"-"&amp;ROW(BD97),基本資料填寫!$A:$DN,COLUMN(基本資料填寫!BR98),0),"")</f>
        <v/>
      </c>
    </row>
    <row r="99" spans="2:67" x14ac:dyDescent="0.3">
      <c r="B99" s="47" t="str">
        <f>IFERROR(VLOOKUP($A$1&amp;"-"&amp;ROW(A98),基本資料填寫!$A:$DN,COLUMN(基本資料填寫!K99),0),"")</f>
        <v/>
      </c>
      <c r="C99" s="47" t="str">
        <f>IFERROR(VLOOKUP($A$1&amp;"-"&amp;ROW(B98),基本資料填寫!$A:$DN,COLUMN(基本資料填寫!L99),0),"")</f>
        <v/>
      </c>
      <c r="D99" s="47" t="str">
        <f>IF(E99="","",COUNTA($E$2:E99))</f>
        <v/>
      </c>
      <c r="E99" s="47" t="str">
        <f>IFERROR(VLOOKUP($A$1&amp;"-"&amp;ROW(E98),基本資料填寫!$A:$DN,COLUMN(基本資料填寫!S99),0),"")</f>
        <v/>
      </c>
      <c r="G99" s="47" t="str">
        <f>IFERROR(VLOOKUP($A$1&amp;"-"&amp;ROW(G98),基本資料填寫!$A:$DN,COLUMN(基本資料填寫!V99),0),"")</f>
        <v/>
      </c>
      <c r="H99" s="47" t="str">
        <f>IFERROR(VLOOKUP($A$1&amp;"-"&amp;ROW(BI98),基本資料填寫!$A:$DN,COLUMN(基本資料填寫!BW99),0),"")</f>
        <v/>
      </c>
      <c r="I99" s="47" t="str">
        <f>IFERROR(VLOOKUP($A$1&amp;"-"&amp;ROW(I98),基本資料填寫!$A:$DN,COLUMN(基本資料填寫!AN99),0),"")</f>
        <v/>
      </c>
      <c r="J99" s="47" t="str">
        <f>IFERROR(VLOOKUP($A$1&amp;"-"&amp;ROW(K98),基本資料填寫!$A:$DN,COLUMN(基本資料填寫!R99),0),"")</f>
        <v/>
      </c>
      <c r="K99" s="47" t="str">
        <f>IFERROR(VLOOKUP($A$1&amp;"-"&amp;ROW(AA98),基本資料填寫!$A:$DN,COLUMN(基本資料填寫!BX99),0),"")</f>
        <v/>
      </c>
      <c r="L99" s="47" t="str">
        <f>IFERROR(VLOOKUP($A$1&amp;"-"&amp;ROW(S98),基本資料填寫!$A:$DN,COLUMN(基本資料填寫!Z99),0),"")</f>
        <v/>
      </c>
      <c r="M99" s="47" t="str">
        <f>IFERROR(VLOOKUP($A$1&amp;"-"&amp;ROW(T98),基本資料填寫!$A:$DN,COLUMN(基本資料填寫!AA99),0),"")</f>
        <v/>
      </c>
      <c r="N99" s="47" t="str">
        <f>IFERROR(VLOOKUP($A$1&amp;"-"&amp;ROW(AB98),基本資料填寫!$A:$DN,COLUMN(基本資料填寫!BY99),0),"")</f>
        <v/>
      </c>
      <c r="O99" s="47" t="str">
        <f>IFERROR(VLOOKUP($A$1&amp;"-"&amp;ROW(AC98),基本資料填寫!$A:$DN,COLUMN(基本資料填寫!BZ99),0),"")</f>
        <v/>
      </c>
      <c r="P99" s="47" t="str">
        <f>IFERROR(VLOOKUP($A$1&amp;"-"&amp;ROW(AD98),基本資料填寫!$A:$DN,COLUMN(基本資料填寫!CA99),0),"")</f>
        <v/>
      </c>
      <c r="Q99" s="47" t="str">
        <f>IFERROR(VLOOKUP($A$1&amp;"-"&amp;ROW(J98),基本資料填寫!$A:$DN,COLUMN(基本資料填寫!AO99),0),"")</f>
        <v/>
      </c>
      <c r="R99" s="47" t="str">
        <f>IFERROR(VLOOKUP($A$1&amp;"-"&amp;ROW(AE98),基本資料填寫!$A:$DN,COLUMN(基本資料填寫!CB99),0),"")</f>
        <v/>
      </c>
      <c r="S99" s="47" t="str">
        <f>IFERROR(VLOOKUP($A$1&amp;"-"&amp;ROW(AF98),基本資料填寫!$A:$DN,COLUMN(基本資料填寫!CC99),0),"")</f>
        <v/>
      </c>
      <c r="T99" s="47" t="str">
        <f>IFERROR(VLOOKUP($A$1&amp;"-"&amp;ROW(AG98),基本資料填寫!$A:$DN,COLUMN(基本資料填寫!CD99),0),"")</f>
        <v/>
      </c>
      <c r="U99" s="47" t="str">
        <f>IFERROR(VLOOKUP($A$1&amp;"-"&amp;ROW(AH98),基本資料填寫!$A:$DN,COLUMN(基本資料填寫!CE99),0),"")</f>
        <v/>
      </c>
      <c r="V99" s="47" t="str">
        <f>IFERROR(VLOOKUP($A$1&amp;"-"&amp;ROW(AI98),基本資料填寫!$A:$DN,COLUMN(基本資料填寫!CF99),0),"")</f>
        <v/>
      </c>
      <c r="W99" s="47" t="str">
        <f>IFERROR(VLOOKUP($A$1&amp;"-"&amp;ROW(AJ98),基本資料填寫!$A:$DN,COLUMN(基本資料填寫!CG99),0),"")</f>
        <v/>
      </c>
      <c r="X99" s="47" t="str">
        <f>IFERROR(VLOOKUP($A$1&amp;"-"&amp;ROW(AK98),基本資料填寫!$A:$DN,COLUMN(基本資料填寫!CH99),0),"")</f>
        <v/>
      </c>
      <c r="Y99" s="47" t="str">
        <f>IFERROR(VLOOKUP($A$1&amp;"-"&amp;ROW(AL98),基本資料填寫!$A:$DN,COLUMN(基本資料填寫!CI99),0),"")</f>
        <v/>
      </c>
      <c r="Z99" s="47" t="str">
        <f>IFERROR(VLOOKUP($A$1&amp;"-"&amp;ROW(H98),基本資料填寫!$A:$DN,COLUMN(基本資料填寫!O99),0),"")</f>
        <v/>
      </c>
      <c r="AA99" s="47" t="str">
        <f>IFERROR(VLOOKUP($A$1&amp;"-"&amp;ROW(AM98),基本資料填寫!$A:$DN,COLUMN(基本資料填寫!CJ99),0),"")</f>
        <v/>
      </c>
      <c r="AB99" s="47" t="str">
        <f>IFERROR(VLOOKUP($A$1&amp;"-"&amp;ROW(AN98),基本資料填寫!$A:$DN,COLUMN(基本資料填寫!CK99),0),"")</f>
        <v/>
      </c>
      <c r="AC99" s="47" t="str">
        <f>IFERROR(VLOOKUP($A$1&amp;"-"&amp;ROW(AP98),基本資料填寫!$A:$DN,COLUMN(基本資料填寫!CN99),0),"")</f>
        <v/>
      </c>
      <c r="AD99" s="47" t="str">
        <f>IFERROR(VLOOKUP($A$1&amp;"-"&amp;ROW(AQ98),基本資料填寫!$A:$DN,COLUMN(基本資料填寫!CO99),0),"")</f>
        <v/>
      </c>
      <c r="AE99" s="47" t="str">
        <f>IFERROR(VLOOKUP($A$1&amp;"-"&amp;ROW(AR98),基本資料填寫!$A:$DN,COLUMN(基本資料填寫!CP99),0),"")</f>
        <v/>
      </c>
      <c r="AF99" s="47" t="str">
        <f>IFERROR(VLOOKUP($A$1&amp;"-"&amp;ROW(AS98),基本資料填寫!$A:$DN,COLUMN(基本資料填寫!CQ99),0),"")</f>
        <v/>
      </c>
      <c r="AG99" s="47" t="str">
        <f>IFERROR(VLOOKUP($A$1&amp;"-"&amp;ROW(AT98),基本資料填寫!$A:$DN,COLUMN(基本資料填寫!CR99),0),"")</f>
        <v/>
      </c>
      <c r="AH99" s="47" t="str">
        <f>IFERROR(VLOOKUP($A$1&amp;"-"&amp;ROW(AU98),基本資料填寫!$A:$DN,COLUMN(基本資料填寫!CS99),0),"")</f>
        <v/>
      </c>
      <c r="AI99" s="47" t="str">
        <f>IFERROR(VLOOKUP($A$1&amp;"-"&amp;ROW(P98),基本資料填寫!$A:$DN,COLUMN(基本資料填寫!X99),0),"")</f>
        <v/>
      </c>
      <c r="AJ99" s="47" t="str">
        <f>IFERROR(VLOOKUP($A$1&amp;"-"&amp;ROW(AV98),基本資料填寫!$A:$DN,COLUMN(基本資料填寫!CT99),0),"")</f>
        <v/>
      </c>
      <c r="AK99" s="47" t="str">
        <f>IFERROR(VLOOKUP($A$1&amp;"-"&amp;ROW(AC98),基本資料填寫!$A:$DN,COLUMN(基本資料填寫!AQ99),0),"")</f>
        <v/>
      </c>
      <c r="AL99" s="47" t="str">
        <f>IFERROR(VLOOKUP($A$1&amp;"-"&amp;ROW(AO98),基本資料填寫!$A:$DN,COLUMN(基本資料填寫!CM99),0),"")</f>
        <v/>
      </c>
      <c r="AM99" s="47" t="str">
        <f>IFERROR(VLOOKUP($A$1&amp;"-"&amp;ROW(AD98),基本資料填寫!$A:$DN,COLUMN(基本資料填寫!AR99),0),"")</f>
        <v/>
      </c>
      <c r="AN99" s="47" t="str">
        <f>IFERROR(VLOOKUP($A$1&amp;"-"&amp;ROW(K98),基本資料填寫!$A:$DN,COLUMN(基本資料填寫!AP99),0),"")</f>
        <v/>
      </c>
      <c r="AO99" s="47" t="str">
        <f>IFERROR(VLOOKUP($A$1&amp;"-"&amp;ROW(J98),基本資料填寫!$A:$DN,COLUMN(基本資料填寫!AO99),0),"")</f>
        <v/>
      </c>
      <c r="AP99" s="47" t="str">
        <f>IFERROR(VLOOKUP($A$1&amp;"-"&amp;ROW(AE98),基本資料填寫!$A:$DN,COLUMN(基本資料填寫!AS99),0),"")</f>
        <v/>
      </c>
      <c r="AQ99" s="47" t="str">
        <f>IFERROR(VLOOKUP($A$1&amp;"-"&amp;ROW(AF98),基本資料填寫!$A:$DN,COLUMN(基本資料填寫!AT99),0),"")</f>
        <v/>
      </c>
      <c r="AR99" s="47" t="str">
        <f>IFERROR(VLOOKUP($A$1&amp;"-"&amp;ROW(AG98),基本資料填寫!$A:$DN,COLUMN(基本資料填寫!AU99),0),"")</f>
        <v/>
      </c>
      <c r="AS99" s="47" t="str">
        <f>IFERROR(VLOOKUP($A$1&amp;"-"&amp;ROW(AH98),基本資料填寫!$A:$DN,COLUMN(基本資料填寫!AV99),0),"")</f>
        <v/>
      </c>
      <c r="AT99" s="47" t="str">
        <f>IFERROR(VLOOKUP($A$1&amp;"-"&amp;ROW(AI98),基本資料填寫!$A:$DN,COLUMN(基本資料填寫!AW99),0),"")</f>
        <v/>
      </c>
      <c r="AU99" s="47" t="str">
        <f>IFERROR(VLOOKUP($A$1&amp;"-"&amp;ROW(AJ98),基本資料填寫!$A:$DN,COLUMN(基本資料填寫!AX99),0),"")</f>
        <v/>
      </c>
      <c r="AV99" s="47" t="str">
        <f>IFERROR(VLOOKUP($A$1&amp;"-"&amp;ROW(AK98),基本資料填寫!$A:$DN,COLUMN(基本資料填寫!AY99),0),"")</f>
        <v/>
      </c>
      <c r="AW99" s="47" t="str">
        <f>IFERROR(VLOOKUP($A$1&amp;"-"&amp;ROW(AL98),基本資料填寫!$A:$DN,COLUMN(基本資料填寫!AZ99),0),"")</f>
        <v/>
      </c>
      <c r="AX99" s="47" t="str">
        <f>IFERROR(VLOOKUP($A$1&amp;"-"&amp;ROW(AM98),基本資料填寫!$A:$DN,COLUMN(基本資料填寫!BA99),0),"")</f>
        <v/>
      </c>
      <c r="AY99" s="47" t="str">
        <f>IFERROR(VLOOKUP($A$1&amp;"-"&amp;ROW(AN98),基本資料填寫!$A:$DN,COLUMN(基本資料填寫!BB99),0),"")</f>
        <v/>
      </c>
      <c r="AZ99" s="47" t="str">
        <f>IFERROR(VLOOKUP($A$1&amp;"-"&amp;ROW(AO98),基本資料填寫!$A:$DN,COLUMN(基本資料填寫!BC99),0),"")</f>
        <v/>
      </c>
      <c r="BA99" s="47" t="str">
        <f>IFERROR(VLOOKUP($A$1&amp;"-"&amp;ROW(AP98),基本資料填寫!$A:$DN,COLUMN(基本資料填寫!BD99),0),"")</f>
        <v/>
      </c>
      <c r="BB99" s="47" t="str">
        <f>IFERROR(VLOOKUP($A$1&amp;"-"&amp;ROW(AQ98),基本資料填寫!$A:$DN,COLUMN(基本資料填寫!BE99),0),"")</f>
        <v/>
      </c>
      <c r="BC99" s="47" t="str">
        <f>IFERROR(VLOOKUP($A$1&amp;"-"&amp;ROW(AR98),基本資料填寫!$A:$DN,COLUMN(基本資料填寫!BF99),0),"")</f>
        <v/>
      </c>
      <c r="BD99" s="47" t="str">
        <f>IFERROR(VLOOKUP($A$1&amp;"-"&amp;ROW(AS98),基本資料填寫!$A:$DN,COLUMN(基本資料填寫!BG99),0),"")</f>
        <v/>
      </c>
      <c r="BE99" s="47" t="str">
        <f>IFERROR(VLOOKUP($A$1&amp;"-"&amp;ROW(AT98),基本資料填寫!$A:$DN,COLUMN(基本資料填寫!BH99),0),"")</f>
        <v/>
      </c>
      <c r="BF99" s="47" t="str">
        <f>IFERROR(VLOOKUP($A$1&amp;"-"&amp;ROW(AU98),基本資料填寫!$A:$DN,COLUMN(基本資料填寫!BI99),0),"")</f>
        <v/>
      </c>
      <c r="BG99" s="47" t="str">
        <f>IFERROR(VLOOKUP($A$1&amp;"-"&amp;ROW(AV98),基本資料填寫!$A:$DN,COLUMN(基本資料填寫!BJ99),0),"")</f>
        <v/>
      </c>
      <c r="BH99" s="47" t="str">
        <f>IFERROR(VLOOKUP($A$1&amp;"-"&amp;ROW(AW98),基本資料填寫!$A:$DN,COLUMN(基本資料填寫!BK99),0),"")</f>
        <v/>
      </c>
      <c r="BI99" s="47" t="str">
        <f>IFERROR(VLOOKUP($A$1&amp;"-"&amp;ROW(AX98),基本資料填寫!$A:$DN,COLUMN(基本資料填寫!BL99),0),"")</f>
        <v/>
      </c>
      <c r="BJ99" s="47" t="str">
        <f>IFERROR(VLOOKUP($A$1&amp;"-"&amp;ROW(AY98),基本資料填寫!$A:$DN,COLUMN(基本資料填寫!BM99),0),"")</f>
        <v/>
      </c>
      <c r="BK99" s="47" t="str">
        <f>IFERROR(VLOOKUP($A$1&amp;"-"&amp;ROW(AZ98),基本資料填寫!$A:$DN,COLUMN(基本資料填寫!BN99),0),"")</f>
        <v/>
      </c>
      <c r="BL99" s="47" t="str">
        <f>IFERROR(VLOOKUP($A$1&amp;"-"&amp;ROW(BA98),基本資料填寫!$A:$DN,COLUMN(基本資料填寫!BO99),0),"")</f>
        <v/>
      </c>
      <c r="BM99" s="47" t="str">
        <f>IFERROR(VLOOKUP($A$1&amp;"-"&amp;ROW(BB98),基本資料填寫!$A:$DN,COLUMN(基本資料填寫!BP99),0),"")</f>
        <v/>
      </c>
      <c r="BN99" s="47" t="str">
        <f>IFERROR(VLOOKUP($A$1&amp;"-"&amp;ROW(BC98),基本資料填寫!$A:$DN,COLUMN(基本資料填寫!BQ99),0),"")</f>
        <v/>
      </c>
      <c r="BO99" s="47" t="str">
        <f>IFERROR(VLOOKUP($A$1&amp;"-"&amp;ROW(BD98),基本資料填寫!$A:$DN,COLUMN(基本資料填寫!BR99),0),"")</f>
        <v/>
      </c>
    </row>
    <row r="100" spans="2:67" x14ac:dyDescent="0.3">
      <c r="B100" s="47" t="str">
        <f>IFERROR(VLOOKUP($A$1&amp;"-"&amp;ROW(A99),基本資料填寫!$A:$DN,COLUMN(基本資料填寫!K100),0),"")</f>
        <v/>
      </c>
      <c r="C100" s="47" t="str">
        <f>IFERROR(VLOOKUP($A$1&amp;"-"&amp;ROW(B99),基本資料填寫!$A:$DN,COLUMN(基本資料填寫!L100),0),"")</f>
        <v/>
      </c>
      <c r="D100" s="47" t="str">
        <f>IF(E100="","",COUNTA($E$2:E100))</f>
        <v/>
      </c>
      <c r="E100" s="47" t="str">
        <f>IFERROR(VLOOKUP($A$1&amp;"-"&amp;ROW(E99),基本資料填寫!$A:$DN,COLUMN(基本資料填寫!S100),0),"")</f>
        <v/>
      </c>
      <c r="G100" s="47" t="str">
        <f>IFERROR(VLOOKUP($A$1&amp;"-"&amp;ROW(G99),基本資料填寫!$A:$DN,COLUMN(基本資料填寫!V100),0),"")</f>
        <v/>
      </c>
      <c r="H100" s="47" t="str">
        <f>IFERROR(VLOOKUP($A$1&amp;"-"&amp;ROW(BI99),基本資料填寫!$A:$DN,COLUMN(基本資料填寫!BW100),0),"")</f>
        <v/>
      </c>
      <c r="I100" s="47" t="str">
        <f>IFERROR(VLOOKUP($A$1&amp;"-"&amp;ROW(I99),基本資料填寫!$A:$DN,COLUMN(基本資料填寫!AN100),0),"")</f>
        <v/>
      </c>
      <c r="J100" s="47" t="str">
        <f>IFERROR(VLOOKUP($A$1&amp;"-"&amp;ROW(K99),基本資料填寫!$A:$DN,COLUMN(基本資料填寫!R100),0),"")</f>
        <v/>
      </c>
      <c r="K100" s="47" t="str">
        <f>IFERROR(VLOOKUP($A$1&amp;"-"&amp;ROW(AA99),基本資料填寫!$A:$DN,COLUMN(基本資料填寫!BX100),0),"")</f>
        <v/>
      </c>
      <c r="L100" s="47" t="str">
        <f>IFERROR(VLOOKUP($A$1&amp;"-"&amp;ROW(S99),基本資料填寫!$A:$DN,COLUMN(基本資料填寫!Z100),0),"")</f>
        <v/>
      </c>
      <c r="M100" s="47" t="str">
        <f>IFERROR(VLOOKUP($A$1&amp;"-"&amp;ROW(T99),基本資料填寫!$A:$DN,COLUMN(基本資料填寫!AA100),0),"")</f>
        <v/>
      </c>
      <c r="N100" s="47" t="str">
        <f>IFERROR(VLOOKUP($A$1&amp;"-"&amp;ROW(AB99),基本資料填寫!$A:$DN,COLUMN(基本資料填寫!BY100),0),"")</f>
        <v/>
      </c>
      <c r="O100" s="47" t="str">
        <f>IFERROR(VLOOKUP($A$1&amp;"-"&amp;ROW(AC99),基本資料填寫!$A:$DN,COLUMN(基本資料填寫!BZ100),0),"")</f>
        <v/>
      </c>
      <c r="P100" s="47" t="str">
        <f>IFERROR(VLOOKUP($A$1&amp;"-"&amp;ROW(AD99),基本資料填寫!$A:$DN,COLUMN(基本資料填寫!CA100),0),"")</f>
        <v/>
      </c>
      <c r="Q100" s="47" t="str">
        <f>IFERROR(VLOOKUP($A$1&amp;"-"&amp;ROW(J99),基本資料填寫!$A:$DN,COLUMN(基本資料填寫!AO100),0),"")</f>
        <v/>
      </c>
      <c r="R100" s="47" t="str">
        <f>IFERROR(VLOOKUP($A$1&amp;"-"&amp;ROW(AE99),基本資料填寫!$A:$DN,COLUMN(基本資料填寫!CB100),0),"")</f>
        <v/>
      </c>
      <c r="S100" s="47" t="str">
        <f>IFERROR(VLOOKUP($A$1&amp;"-"&amp;ROW(AF99),基本資料填寫!$A:$DN,COLUMN(基本資料填寫!CC100),0),"")</f>
        <v/>
      </c>
      <c r="T100" s="47" t="str">
        <f>IFERROR(VLOOKUP($A$1&amp;"-"&amp;ROW(AG99),基本資料填寫!$A:$DN,COLUMN(基本資料填寫!CD100),0),"")</f>
        <v/>
      </c>
      <c r="U100" s="47" t="str">
        <f>IFERROR(VLOOKUP($A$1&amp;"-"&amp;ROW(AH99),基本資料填寫!$A:$DN,COLUMN(基本資料填寫!CE100),0),"")</f>
        <v/>
      </c>
      <c r="V100" s="47" t="str">
        <f>IFERROR(VLOOKUP($A$1&amp;"-"&amp;ROW(AI99),基本資料填寫!$A:$DN,COLUMN(基本資料填寫!CF100),0),"")</f>
        <v/>
      </c>
      <c r="W100" s="47" t="str">
        <f>IFERROR(VLOOKUP($A$1&amp;"-"&amp;ROW(AJ99),基本資料填寫!$A:$DN,COLUMN(基本資料填寫!CG100),0),"")</f>
        <v/>
      </c>
      <c r="X100" s="47" t="str">
        <f>IFERROR(VLOOKUP($A$1&amp;"-"&amp;ROW(AK99),基本資料填寫!$A:$DN,COLUMN(基本資料填寫!CH100),0),"")</f>
        <v/>
      </c>
      <c r="Y100" s="47" t="str">
        <f>IFERROR(VLOOKUP($A$1&amp;"-"&amp;ROW(AL99),基本資料填寫!$A:$DN,COLUMN(基本資料填寫!CI100),0),"")</f>
        <v/>
      </c>
      <c r="Z100" s="47" t="str">
        <f>IFERROR(VLOOKUP($A$1&amp;"-"&amp;ROW(H99),基本資料填寫!$A:$DN,COLUMN(基本資料填寫!O100),0),"")</f>
        <v/>
      </c>
      <c r="AA100" s="47" t="str">
        <f>IFERROR(VLOOKUP($A$1&amp;"-"&amp;ROW(AM99),基本資料填寫!$A:$DN,COLUMN(基本資料填寫!CJ100),0),"")</f>
        <v/>
      </c>
      <c r="AB100" s="47" t="str">
        <f>IFERROR(VLOOKUP($A$1&amp;"-"&amp;ROW(AN99),基本資料填寫!$A:$DN,COLUMN(基本資料填寫!CK100),0),"")</f>
        <v/>
      </c>
      <c r="AC100" s="47" t="str">
        <f>IFERROR(VLOOKUP($A$1&amp;"-"&amp;ROW(AP99),基本資料填寫!$A:$DN,COLUMN(基本資料填寫!CN100),0),"")</f>
        <v/>
      </c>
      <c r="AD100" s="47" t="str">
        <f>IFERROR(VLOOKUP($A$1&amp;"-"&amp;ROW(AQ99),基本資料填寫!$A:$DN,COLUMN(基本資料填寫!CO100),0),"")</f>
        <v/>
      </c>
      <c r="AE100" s="47" t="str">
        <f>IFERROR(VLOOKUP($A$1&amp;"-"&amp;ROW(AR99),基本資料填寫!$A:$DN,COLUMN(基本資料填寫!CP100),0),"")</f>
        <v/>
      </c>
      <c r="AF100" s="47" t="str">
        <f>IFERROR(VLOOKUP($A$1&amp;"-"&amp;ROW(AS99),基本資料填寫!$A:$DN,COLUMN(基本資料填寫!CQ100),0),"")</f>
        <v/>
      </c>
      <c r="AG100" s="47" t="str">
        <f>IFERROR(VLOOKUP($A$1&amp;"-"&amp;ROW(AT99),基本資料填寫!$A:$DN,COLUMN(基本資料填寫!CR100),0),"")</f>
        <v/>
      </c>
      <c r="AH100" s="47" t="str">
        <f>IFERROR(VLOOKUP($A$1&amp;"-"&amp;ROW(AU99),基本資料填寫!$A:$DN,COLUMN(基本資料填寫!CS100),0),"")</f>
        <v/>
      </c>
      <c r="AI100" s="47" t="str">
        <f>IFERROR(VLOOKUP($A$1&amp;"-"&amp;ROW(P99),基本資料填寫!$A:$DN,COLUMN(基本資料填寫!X100),0),"")</f>
        <v/>
      </c>
      <c r="AJ100" s="47" t="str">
        <f>IFERROR(VLOOKUP($A$1&amp;"-"&amp;ROW(AV99),基本資料填寫!$A:$DN,COLUMN(基本資料填寫!CT100),0),"")</f>
        <v/>
      </c>
      <c r="AK100" s="47" t="str">
        <f>IFERROR(VLOOKUP($A$1&amp;"-"&amp;ROW(AC99),基本資料填寫!$A:$DN,COLUMN(基本資料填寫!AQ100),0),"")</f>
        <v/>
      </c>
      <c r="AL100" s="47" t="str">
        <f>IFERROR(VLOOKUP($A$1&amp;"-"&amp;ROW(AO99),基本資料填寫!$A:$DN,COLUMN(基本資料填寫!CM100),0),"")</f>
        <v/>
      </c>
      <c r="AM100" s="47" t="str">
        <f>IFERROR(VLOOKUP($A$1&amp;"-"&amp;ROW(AD99),基本資料填寫!$A:$DN,COLUMN(基本資料填寫!AR100),0),"")</f>
        <v/>
      </c>
      <c r="AN100" s="47" t="str">
        <f>IFERROR(VLOOKUP($A$1&amp;"-"&amp;ROW(K99),基本資料填寫!$A:$DN,COLUMN(基本資料填寫!AP100),0),"")</f>
        <v/>
      </c>
      <c r="AO100" s="47" t="str">
        <f>IFERROR(VLOOKUP($A$1&amp;"-"&amp;ROW(J99),基本資料填寫!$A:$DN,COLUMN(基本資料填寫!AO100),0),"")</f>
        <v/>
      </c>
      <c r="AP100" s="47" t="str">
        <f>IFERROR(VLOOKUP($A$1&amp;"-"&amp;ROW(AE99),基本資料填寫!$A:$DN,COLUMN(基本資料填寫!AS100),0),"")</f>
        <v/>
      </c>
      <c r="AQ100" s="47" t="str">
        <f>IFERROR(VLOOKUP($A$1&amp;"-"&amp;ROW(AF99),基本資料填寫!$A:$DN,COLUMN(基本資料填寫!AT100),0),"")</f>
        <v/>
      </c>
      <c r="AR100" s="47" t="str">
        <f>IFERROR(VLOOKUP($A$1&amp;"-"&amp;ROW(AG99),基本資料填寫!$A:$DN,COLUMN(基本資料填寫!AU100),0),"")</f>
        <v/>
      </c>
      <c r="AS100" s="47" t="str">
        <f>IFERROR(VLOOKUP($A$1&amp;"-"&amp;ROW(AH99),基本資料填寫!$A:$DN,COLUMN(基本資料填寫!AV100),0),"")</f>
        <v/>
      </c>
      <c r="AT100" s="47" t="str">
        <f>IFERROR(VLOOKUP($A$1&amp;"-"&amp;ROW(AI99),基本資料填寫!$A:$DN,COLUMN(基本資料填寫!AW100),0),"")</f>
        <v/>
      </c>
      <c r="AU100" s="47" t="str">
        <f>IFERROR(VLOOKUP($A$1&amp;"-"&amp;ROW(AJ99),基本資料填寫!$A:$DN,COLUMN(基本資料填寫!AX100),0),"")</f>
        <v/>
      </c>
      <c r="AV100" s="47" t="str">
        <f>IFERROR(VLOOKUP($A$1&amp;"-"&amp;ROW(AK99),基本資料填寫!$A:$DN,COLUMN(基本資料填寫!AY100),0),"")</f>
        <v/>
      </c>
      <c r="AW100" s="47" t="str">
        <f>IFERROR(VLOOKUP($A$1&amp;"-"&amp;ROW(AL99),基本資料填寫!$A:$DN,COLUMN(基本資料填寫!AZ100),0),"")</f>
        <v/>
      </c>
      <c r="AX100" s="47" t="str">
        <f>IFERROR(VLOOKUP($A$1&amp;"-"&amp;ROW(AM99),基本資料填寫!$A:$DN,COLUMN(基本資料填寫!BA100),0),"")</f>
        <v/>
      </c>
      <c r="AY100" s="47" t="str">
        <f>IFERROR(VLOOKUP($A$1&amp;"-"&amp;ROW(AN99),基本資料填寫!$A:$DN,COLUMN(基本資料填寫!BB100),0),"")</f>
        <v/>
      </c>
      <c r="AZ100" s="47" t="str">
        <f>IFERROR(VLOOKUP($A$1&amp;"-"&amp;ROW(AO99),基本資料填寫!$A:$DN,COLUMN(基本資料填寫!BC100),0),"")</f>
        <v/>
      </c>
      <c r="BA100" s="47" t="str">
        <f>IFERROR(VLOOKUP($A$1&amp;"-"&amp;ROW(AP99),基本資料填寫!$A:$DN,COLUMN(基本資料填寫!BD100),0),"")</f>
        <v/>
      </c>
      <c r="BB100" s="47" t="str">
        <f>IFERROR(VLOOKUP($A$1&amp;"-"&amp;ROW(AQ99),基本資料填寫!$A:$DN,COLUMN(基本資料填寫!BE100),0),"")</f>
        <v/>
      </c>
      <c r="BC100" s="47" t="str">
        <f>IFERROR(VLOOKUP($A$1&amp;"-"&amp;ROW(AR99),基本資料填寫!$A:$DN,COLUMN(基本資料填寫!BF100),0),"")</f>
        <v/>
      </c>
      <c r="BD100" s="47" t="str">
        <f>IFERROR(VLOOKUP($A$1&amp;"-"&amp;ROW(AS99),基本資料填寫!$A:$DN,COLUMN(基本資料填寫!BG100),0),"")</f>
        <v/>
      </c>
      <c r="BE100" s="47" t="str">
        <f>IFERROR(VLOOKUP($A$1&amp;"-"&amp;ROW(AT99),基本資料填寫!$A:$DN,COLUMN(基本資料填寫!BH100),0),"")</f>
        <v/>
      </c>
      <c r="BF100" s="47" t="str">
        <f>IFERROR(VLOOKUP($A$1&amp;"-"&amp;ROW(AU99),基本資料填寫!$A:$DN,COLUMN(基本資料填寫!BI100),0),"")</f>
        <v/>
      </c>
      <c r="BG100" s="47" t="str">
        <f>IFERROR(VLOOKUP($A$1&amp;"-"&amp;ROW(AV99),基本資料填寫!$A:$DN,COLUMN(基本資料填寫!BJ100),0),"")</f>
        <v/>
      </c>
      <c r="BH100" s="47" t="str">
        <f>IFERROR(VLOOKUP($A$1&amp;"-"&amp;ROW(AW99),基本資料填寫!$A:$DN,COLUMN(基本資料填寫!BK100),0),"")</f>
        <v/>
      </c>
      <c r="BI100" s="47" t="str">
        <f>IFERROR(VLOOKUP($A$1&amp;"-"&amp;ROW(AX99),基本資料填寫!$A:$DN,COLUMN(基本資料填寫!BL100),0),"")</f>
        <v/>
      </c>
      <c r="BJ100" s="47" t="str">
        <f>IFERROR(VLOOKUP($A$1&amp;"-"&amp;ROW(AY99),基本資料填寫!$A:$DN,COLUMN(基本資料填寫!BM100),0),"")</f>
        <v/>
      </c>
      <c r="BK100" s="47" t="str">
        <f>IFERROR(VLOOKUP($A$1&amp;"-"&amp;ROW(AZ99),基本資料填寫!$A:$DN,COLUMN(基本資料填寫!BN100),0),"")</f>
        <v/>
      </c>
      <c r="BL100" s="47" t="str">
        <f>IFERROR(VLOOKUP($A$1&amp;"-"&amp;ROW(BA99),基本資料填寫!$A:$DN,COLUMN(基本資料填寫!BO100),0),"")</f>
        <v/>
      </c>
      <c r="BM100" s="47" t="str">
        <f>IFERROR(VLOOKUP($A$1&amp;"-"&amp;ROW(BB99),基本資料填寫!$A:$DN,COLUMN(基本資料填寫!BP100),0),"")</f>
        <v/>
      </c>
      <c r="BN100" s="47" t="str">
        <f>IFERROR(VLOOKUP($A$1&amp;"-"&amp;ROW(BC99),基本資料填寫!$A:$DN,COLUMN(基本資料填寫!BQ100),0),"")</f>
        <v/>
      </c>
      <c r="BO100" s="47" t="str">
        <f>IFERROR(VLOOKUP($A$1&amp;"-"&amp;ROW(BD99),基本資料填寫!$A:$DN,COLUMN(基本資料填寫!BR100),0),"")</f>
        <v/>
      </c>
    </row>
    <row r="101" spans="2:67" s="24" customFormat="1" x14ac:dyDescent="0.3">
      <c r="B101" s="249"/>
      <c r="C101" s="46"/>
      <c r="D101" s="46"/>
      <c r="E101" s="46"/>
      <c r="F101" s="152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224"/>
      <c r="AQ101" s="224"/>
      <c r="AR101" s="224"/>
      <c r="AS101" s="225"/>
      <c r="AT101" s="225"/>
      <c r="AU101" s="224"/>
      <c r="AV101" s="224"/>
      <c r="AW101" s="224"/>
      <c r="AX101" s="225"/>
      <c r="AY101" s="225"/>
      <c r="AZ101" s="224"/>
      <c r="BA101" s="224"/>
      <c r="BB101" s="224"/>
      <c r="BC101" s="225"/>
      <c r="BD101" s="225"/>
      <c r="BE101" s="224"/>
      <c r="BF101" s="224"/>
      <c r="BG101" s="224"/>
      <c r="BH101" s="225"/>
      <c r="BI101" s="225"/>
      <c r="BJ101" s="224"/>
      <c r="BK101" s="224"/>
      <c r="BL101" s="224"/>
      <c r="BM101" s="225"/>
      <c r="BN101" s="225"/>
      <c r="BO101" s="17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E5AD9E8-36FA-4989-B83D-956AEA0D7377}">
            <xm:f>申編單提送狀態!$B$5</xm:f>
            <x14:dxf>
              <font>
                <color theme="1"/>
              </font>
              <fill>
                <patternFill>
                  <bgColor rgb="FFFF5050"/>
                </patternFill>
              </fill>
            </x14:dxf>
          </x14:cfRule>
          <x14:cfRule type="cellIs" priority="2" operator="equal" id="{053E007F-BD59-48C3-8202-ED81E4380AA6}">
            <xm:f>申編單提送狀態!$B$4</xm:f>
            <x14:dxf>
              <font>
                <color theme="1"/>
              </font>
              <fill>
                <patternFill>
                  <bgColor theme="7"/>
                </patternFill>
              </fill>
            </x14:dxf>
          </x14:cfRule>
          <x14:cfRule type="cellIs" priority="3" operator="equal" id="{96113617-3BF9-4C23-B27F-3AE5E15E34C2}">
            <xm:f>申編單提送狀態!$B$3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ellIs" priority="4" operator="equal" id="{82F282B4-3EB2-40E9-9F93-4CFC96B54083}">
            <xm:f>申編單提送狀態!$B$4</xm:f>
            <x14:dxf>
              <font>
                <color theme="1"/>
              </font>
              <fill>
                <patternFill>
                  <fgColor rgb="FF99FF66"/>
                  <bgColor rgb="FF99FF33"/>
                </patternFill>
              </fill>
            </x14:dxf>
          </x14:cfRule>
          <x14:cfRule type="cellIs" priority="5" operator="equal" id="{AC3F2CEA-CC69-4442-B080-BEBF356D21EE}">
            <xm:f>申編單提送狀態!$B$4</xm:f>
            <x14:dxf>
              <font>
                <color theme="1"/>
              </font>
              <fill>
                <patternFill>
                  <fgColor theme="7"/>
                  <bgColor rgb="FFFFC7CE"/>
                </patternFill>
              </fill>
            </x14:dxf>
          </x14:cfRule>
          <x14:cfRule type="cellIs" priority="6" operator="equal" id="{8447D0CA-8A2D-4742-84A0-A64DD537EF1F}">
            <xm:f>申編單提送狀態!$B$4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" operator="equal" id="{AC1E42C1-E3FC-444C-92FD-6ED478CB229E}">
            <xm:f>申編單提送狀態!$B$3</xm:f>
            <x14:dxf>
              <font>
                <color rgb="FF9C0006"/>
              </font>
              <fill>
                <patternFill>
                  <fgColor rgb="FF99FF66"/>
                  <bgColor rgb="FFFFC7CE"/>
                </patternFill>
              </fill>
            </x14:dxf>
          </x14:cfRule>
          <xm:sqref>B101:B1048576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83F3FF-D3FE-4BE3-8B1D-B4A0B291691E}">
          <x14:formula1>
            <xm:f>清單及說明!$A$2:$A$9</xm:f>
          </x14:formula1>
          <xm:sqref>A1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02F8-CB79-46F9-A6EE-2200352D05E0}">
  <sheetPr codeName="工作表2"/>
  <dimension ref="B1:D8"/>
  <sheetViews>
    <sheetView tabSelected="1" zoomScaleNormal="100" workbookViewId="0">
      <selection activeCell="E13" sqref="E13"/>
    </sheetView>
  </sheetViews>
  <sheetFormatPr defaultColWidth="8.88671875" defaultRowHeight="16.2" x14ac:dyDescent="0.3"/>
  <cols>
    <col min="1" max="1" width="4.109375" style="1" customWidth="1"/>
    <col min="2" max="2" width="15.77734375" style="2" customWidth="1"/>
    <col min="3" max="3" width="12.44140625" style="2" customWidth="1"/>
    <col min="4" max="4" width="6.44140625" style="1" customWidth="1"/>
    <col min="5" max="5" width="17.44140625" style="1" customWidth="1"/>
    <col min="6" max="6" width="26" style="1" customWidth="1"/>
    <col min="7" max="7" width="15.44140625" style="1" customWidth="1"/>
    <col min="8" max="8" width="28" style="1" customWidth="1"/>
    <col min="9" max="9" width="22.109375" style="1" customWidth="1"/>
    <col min="10" max="10" width="21" style="1" customWidth="1"/>
    <col min="11" max="16384" width="8.88671875" style="1"/>
  </cols>
  <sheetData>
    <row r="1" spans="2:4" ht="16.8" thickBot="1" x14ac:dyDescent="0.35"/>
    <row r="2" spans="2:4" ht="54.6" customHeight="1" x14ac:dyDescent="0.3">
      <c r="B2" s="322" t="s">
        <v>1364</v>
      </c>
      <c r="C2" s="323"/>
      <c r="D2" s="324"/>
    </row>
    <row r="3" spans="2:4" ht="24.6" customHeight="1" x14ac:dyDescent="0.3">
      <c r="B3" s="301" t="s">
        <v>53</v>
      </c>
      <c r="C3" s="302">
        <f>COUNTIF(基本資料填寫!K:K,B3)</f>
        <v>11</v>
      </c>
      <c r="D3" s="321">
        <f>SUM(C3:C5)</f>
        <v>14</v>
      </c>
    </row>
    <row r="4" spans="2:4" ht="24.6" customHeight="1" x14ac:dyDescent="0.3">
      <c r="B4" s="303" t="s">
        <v>52</v>
      </c>
      <c r="C4" s="302">
        <f>COUNTIF(基本資料填寫!K:K,B4)</f>
        <v>0</v>
      </c>
      <c r="D4" s="321"/>
    </row>
    <row r="5" spans="2:4" ht="24.6" customHeight="1" x14ac:dyDescent="0.3">
      <c r="B5" s="304" t="s">
        <v>54</v>
      </c>
      <c r="C5" s="302">
        <f>COUNTIF(基本資料填寫!K:K,B5)</f>
        <v>3</v>
      </c>
      <c r="D5" s="321"/>
    </row>
    <row r="6" spans="2:4" ht="24.6" customHeight="1" x14ac:dyDescent="0.3">
      <c r="B6" s="305" t="s">
        <v>1354</v>
      </c>
      <c r="C6" s="302">
        <f>COUNTIF(基本資料填寫!K:K,B6)</f>
        <v>0</v>
      </c>
      <c r="D6" s="310">
        <f>C6</f>
        <v>0</v>
      </c>
    </row>
    <row r="7" spans="2:4" ht="24.6" customHeight="1" x14ac:dyDescent="0.3">
      <c r="B7" s="306" t="s">
        <v>1355</v>
      </c>
      <c r="C7" s="302">
        <f>COUNTIF(基本資料填寫!K:K,B7)</f>
        <v>0</v>
      </c>
      <c r="D7" s="310">
        <f>C7</f>
        <v>0</v>
      </c>
    </row>
    <row r="8" spans="2:4" ht="24.6" customHeight="1" thickBot="1" x14ac:dyDescent="0.35">
      <c r="B8" s="307" t="s">
        <v>56</v>
      </c>
      <c r="C8" s="308"/>
      <c r="D8" s="309">
        <f>SUM(D3:D7)</f>
        <v>14</v>
      </c>
    </row>
  </sheetData>
  <mergeCells count="2">
    <mergeCell ref="D3:D5"/>
    <mergeCell ref="B2:D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C9A4-479A-4460-97D0-BF1F1ED559B3}">
  <sheetPr codeName="工作表3">
    <pageSetUpPr fitToPage="1"/>
  </sheetPr>
  <dimension ref="A1:N102"/>
  <sheetViews>
    <sheetView zoomScale="85" zoomScaleNormal="85" workbookViewId="0">
      <pane ySplit="2" topLeftCell="A3" activePane="bottomLeft" state="frozen"/>
      <selection pane="bottomLeft" activeCell="A103" sqref="A103:XFD105"/>
    </sheetView>
  </sheetViews>
  <sheetFormatPr defaultColWidth="8.109375" defaultRowHeight="15" x14ac:dyDescent="0.3"/>
  <cols>
    <col min="1" max="1" width="5.44140625" style="238" customWidth="1"/>
    <col min="2" max="2" width="7.88671875" style="233" customWidth="1"/>
    <col min="3" max="3" width="19" style="233" bestFit="1" customWidth="1"/>
    <col min="4" max="4" width="49.21875" style="239" customWidth="1"/>
    <col min="5" max="5" width="31.21875" style="239" customWidth="1"/>
    <col min="6" max="6" width="23.44140625" style="240" customWidth="1"/>
    <col min="7" max="7" width="7.33203125" style="240" customWidth="1"/>
    <col min="8" max="8" width="5.44140625" style="238" customWidth="1"/>
    <col min="9" max="9" width="11.21875" style="233" bestFit="1" customWidth="1"/>
    <col min="10" max="10" width="10" style="238" customWidth="1"/>
    <col min="11" max="11" width="14.88671875" style="233" customWidth="1"/>
    <col min="12" max="12" width="16.77734375" style="233" customWidth="1"/>
    <col min="13" max="13" width="8.109375" style="233"/>
    <col min="14" max="14" width="8.109375" style="238"/>
    <col min="15" max="15" width="9.88671875" style="11" bestFit="1" customWidth="1"/>
    <col min="16" max="16384" width="8.109375" style="11"/>
  </cols>
  <sheetData>
    <row r="1" spans="1:14" ht="27" customHeight="1" x14ac:dyDescent="0.3">
      <c r="A1" s="325" t="s">
        <v>729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</row>
    <row r="2" spans="1:14" ht="64.8" x14ac:dyDescent="0.3">
      <c r="A2" s="230" t="s">
        <v>83</v>
      </c>
      <c r="B2" s="230" t="s">
        <v>84</v>
      </c>
      <c r="C2" s="230" t="s">
        <v>85</v>
      </c>
      <c r="D2" s="230" t="s">
        <v>86</v>
      </c>
      <c r="E2" s="230" t="s">
        <v>87</v>
      </c>
      <c r="F2" s="230" t="s">
        <v>88</v>
      </c>
      <c r="G2" s="230" t="s">
        <v>102</v>
      </c>
      <c r="H2" s="230" t="s">
        <v>89</v>
      </c>
      <c r="I2" s="230" t="s">
        <v>90</v>
      </c>
      <c r="J2" s="230" t="s">
        <v>91</v>
      </c>
      <c r="K2" s="231" t="s">
        <v>92</v>
      </c>
      <c r="L2" s="231" t="s">
        <v>93</v>
      </c>
      <c r="M2" s="231" t="s">
        <v>94</v>
      </c>
      <c r="N2" s="230" t="s">
        <v>95</v>
      </c>
    </row>
    <row r="3" spans="1:14" s="12" customFormat="1" x14ac:dyDescent="0.3">
      <c r="A3" s="232">
        <f>IF(E3="","",COUNTA($E$3:E3))</f>
        <v>1</v>
      </c>
      <c r="B3" s="233" t="str">
        <f>IFERROR(VLOOKUP(基本資料填寫!$E$1&amp;"-"&amp;ROW(F1),基本資料填寫!$E:$EU,COLUMN(基本資料填寫!F1),0),"")</f>
        <v>0000</v>
      </c>
      <c r="C3" s="233" t="str">
        <f>IFERROR(VLOOKUP(基本資料填寫!$E$1&amp;"-"&amp;ROW(K1),基本資料填寫!$E:$EU,COLUMN(基本資料填寫!K1),0),"")</f>
        <v>TA-4CI</v>
      </c>
      <c r="D3" s="233" t="str">
        <f>IFERROR(VLOOKUP(基本資料填寫!$E$1&amp;"-"&amp;ROW(H1),基本資料填寫!$E:$EU,COLUMN(基本資料填寫!L1),0),"")</f>
        <v>Acoustic Telephone System</v>
      </c>
      <c r="E3" s="233" t="str">
        <f>IFERROR(VLOOKUP(基本資料填寫!$E$1&amp;"-"&amp;ROW(I1),基本資料填寫!$E:$EU,COLUMN(基本資料填寫!M1),0),"")</f>
        <v>聲力電話系統</v>
      </c>
      <c r="F3" s="233" t="str">
        <f>IFERROR(VLOOKUP(基本資料填寫!$E$1&amp;"-"&amp;ROW(O1),基本資料填寫!$E:$EU,COLUMN(基本資料填寫!S1),0),"")</f>
        <v>5805YETL22090</v>
      </c>
      <c r="G3" s="233" t="str">
        <f>IFERROR(VLOOKUP(基本資料填寫!$E$1&amp;"-"&amp;ROW(P1),基本資料填寫!$E:$EU,COLUMN(基本資料填寫!T1),0),"")</f>
        <v>1</v>
      </c>
      <c r="H3" s="233" t="str">
        <f>IFERROR(VLOOKUP(基本資料填寫!$E$1&amp;"-"&amp;ROW(R1),基本資料填寫!$E:$EU,COLUMN(基本資料填寫!V1),0),"")</f>
        <v>EA</v>
      </c>
      <c r="I3" s="233">
        <f>IFERROR(VLOOKUP(基本資料填寫!$E$1&amp;"-"&amp;ROW(S1),基本資料填寫!$E:$EU,COLUMN(基本資料填寫!W1),0),"")</f>
        <v>530000</v>
      </c>
      <c r="J3" s="233" t="str">
        <f>IFERROR(VLOOKUP(基本資料填寫!$E$1&amp;"-"&amp;ROW(T1),基本資料填寫!$E:$EU,COLUMN(基本資料填寫!X1),0),"")</f>
        <v>3 M</v>
      </c>
      <c r="K3" s="233">
        <f>IFERROR(VLOOKUP(基本資料填寫!$E$1&amp;"-"&amp;ROW(U1),基本資料填寫!$E:$EU,COLUMN(基本資料填寫!Y1),0),"")</f>
        <v>83.3</v>
      </c>
      <c r="L3" s="233">
        <f>IFERROR(VLOOKUP(基本資料填寫!$E$1&amp;"-"&amp;ROW(V1),基本資料填寫!$E:$EU,COLUMN(基本資料填寫!Z1),0),"")</f>
        <v>12000</v>
      </c>
      <c r="M3" s="233">
        <f>IFERROR(VLOOKUP(基本資料填寫!$E$1&amp;"-"&amp;ROW(W1),基本資料填寫!$E:$EU,COLUMN(基本資料填寫!AA1),0),"")</f>
        <v>1.5</v>
      </c>
      <c r="N3" s="233" t="str">
        <f>IFERROR(VLOOKUP(基本資料填寫!$E$1&amp;"-"&amp;ROW(X1),基本資料填寫!$E:$EU,COLUMN(基本資料填寫!AB1),0),"")</f>
        <v>Y</v>
      </c>
    </row>
    <row r="4" spans="1:14" s="9" customFormat="1" x14ac:dyDescent="0.3">
      <c r="A4" s="232">
        <f>IF(E4="","",COUNTA($E$3:E4))</f>
        <v>2</v>
      </c>
      <c r="B4" s="233" t="str">
        <f>IFERROR(VLOOKUP(基本資料填寫!$E$1&amp;"-"&amp;ROW(F2),基本資料填寫!$E:$EU,COLUMN(基本資料填寫!F2),0),"")</f>
        <v>0001</v>
      </c>
      <c r="C4" s="233" t="str">
        <f>IFERROR(VLOOKUP(基本資料填寫!$E$1&amp;"-"&amp;ROW(K2),基本資料填寫!$E:$EU,COLUMN(基本資料填寫!K2),0),"")</f>
        <v>455.029.4.21H</v>
      </c>
      <c r="D4" s="233" t="str">
        <f>IFERROR(VLOOKUP(基本資料填寫!$E$1&amp;"-"&amp;ROW(H2),基本資料填寫!$E:$EU,COLUMN(基本資料填寫!L2),0),"")</f>
        <v>Sound Powered Telephone, 12 Stations, Wall-Mounted (with H27A Jack)</v>
      </c>
      <c r="E4" s="233" t="str">
        <f>IFERROR(VLOOKUP(基本資料填寫!$E$1&amp;"-"&amp;ROW(I2),基本資料填寫!$E:$EU,COLUMN(基本資料填寫!M2),0),"")</f>
        <v>12站壁掛式聲力電話(附H27A 插座)</v>
      </c>
      <c r="F4" s="233" t="str">
        <f>IFERROR(VLOOKUP(基本資料填寫!$E$1&amp;"-"&amp;ROW(O2),基本資料填寫!$E:$EU,COLUMN(基本資料填寫!S2),0),"")</f>
        <v>5805YETL22088</v>
      </c>
      <c r="G4" s="233" t="str">
        <f>IFERROR(VLOOKUP(基本資料填寫!$E$1&amp;"-"&amp;ROW(P2),基本資料填寫!$E:$EU,COLUMN(基本資料填寫!T2),0),"")</f>
        <v>1</v>
      </c>
      <c r="H4" s="233" t="str">
        <f>IFERROR(VLOOKUP(基本資料填寫!$E$1&amp;"-"&amp;ROW(R2),基本資料填寫!$E:$EU,COLUMN(基本資料填寫!V2),0),"")</f>
        <v>EA</v>
      </c>
      <c r="I4" s="233">
        <f>IFERROR(VLOOKUP(基本資料填寫!$E$1&amp;"-"&amp;ROW(S2),基本資料填寫!$E:$EU,COLUMN(基本資料填寫!W2),0),"")</f>
        <v>1200</v>
      </c>
      <c r="J4" s="233" t="str">
        <f>IFERROR(VLOOKUP(基本資料填寫!$E$1&amp;"-"&amp;ROW(T2),基本資料填寫!$E:$EU,COLUMN(基本資料填寫!X2),0),"")</f>
        <v>3 M</v>
      </c>
      <c r="K4" s="233">
        <f>IFERROR(VLOOKUP(基本資料填寫!$E$1&amp;"-"&amp;ROW(U2),基本資料填寫!$E:$EU,COLUMN(基本資料填寫!Y2),0),"")</f>
        <v>83.3</v>
      </c>
      <c r="L4" s="233">
        <f>IFERROR(VLOOKUP(基本資料填寫!$E$1&amp;"-"&amp;ROW(V2),基本資料填寫!$E:$EU,COLUMN(基本資料填寫!Z2),0),"")</f>
        <v>12000</v>
      </c>
      <c r="M4" s="233">
        <f>IFERROR(VLOOKUP(基本資料填寫!$E$1&amp;"-"&amp;ROW(W2),基本資料填寫!$E:$EU,COLUMN(基本資料填寫!AA2),0),"")</f>
        <v>1.5</v>
      </c>
      <c r="N4" s="233" t="str">
        <f>IFERROR(VLOOKUP(基本資料填寫!$E$1&amp;"-"&amp;ROW(X2),基本資料填寫!$E:$EU,COLUMN(基本資料填寫!AB2),0),"")</f>
        <v>Y</v>
      </c>
    </row>
    <row r="5" spans="1:14" s="9" customFormat="1" x14ac:dyDescent="0.3">
      <c r="A5" s="232">
        <f>IF(E5="","",COUNTA($E$3:E5))</f>
        <v>3</v>
      </c>
      <c r="B5" s="233" t="str">
        <f>IFERROR(VLOOKUP(基本資料填寫!$E$1&amp;"-"&amp;ROW(F3),基本資料填寫!$E:$EU,COLUMN(基本資料填寫!F3),0),"")</f>
        <v>0002</v>
      </c>
      <c r="C5" s="233" t="str">
        <f>IFERROR(VLOOKUP(基本資料填寫!$E$1&amp;"-"&amp;ROW(K3),基本資料填寫!$E:$EU,COLUMN(基本資料填寫!K3),0),"")</f>
        <v>455.031.4.16H</v>
      </c>
      <c r="D5" s="233" t="str">
        <f>IFERROR(VLOOKUP(基本資料填寫!$E$1&amp;"-"&amp;ROW(H3),基本資料填寫!$E:$EU,COLUMN(基本資料填寫!L3),0),"")</f>
        <v>Sound Powered Telephone, 24 Stations, Wall-Mounted (with H27A Jack)</v>
      </c>
      <c r="E5" s="233" t="str">
        <f>IFERROR(VLOOKUP(基本資料填寫!$E$1&amp;"-"&amp;ROW(I3),基本資料填寫!$E:$EU,COLUMN(基本資料填寫!M3),0),"")</f>
        <v>24站壁掛式聲力電話(附H27A 插座)</v>
      </c>
      <c r="F5" s="233" t="str">
        <f>IFERROR(VLOOKUP(基本資料填寫!$E$1&amp;"-"&amp;ROW(O3),基本資料填寫!$E:$EU,COLUMN(基本資料填寫!S3),0),"")</f>
        <v>5805YETL22087</v>
      </c>
      <c r="G5" s="233" t="str">
        <f>IFERROR(VLOOKUP(基本資料填寫!$E$1&amp;"-"&amp;ROW(P3),基本資料填寫!$E:$EU,COLUMN(基本資料填寫!T3),0),"")</f>
        <v>1</v>
      </c>
      <c r="H5" s="233" t="str">
        <f>IFERROR(VLOOKUP(基本資料填寫!$E$1&amp;"-"&amp;ROW(R3),基本資料填寫!$E:$EU,COLUMN(基本資料填寫!V3),0),"")</f>
        <v>EA</v>
      </c>
      <c r="I5" s="233">
        <f>IFERROR(VLOOKUP(基本資料填寫!$E$1&amp;"-"&amp;ROW(S3),基本資料填寫!$E:$EU,COLUMN(基本資料填寫!W3),0),"")</f>
        <v>1200</v>
      </c>
      <c r="J5" s="233" t="str">
        <f>IFERROR(VLOOKUP(基本資料填寫!$E$1&amp;"-"&amp;ROW(T3),基本資料填寫!$E:$EU,COLUMN(基本資料填寫!X3),0),"")</f>
        <v>3 M</v>
      </c>
      <c r="K5" s="233">
        <f>IFERROR(VLOOKUP(基本資料填寫!$E$1&amp;"-"&amp;ROW(U3),基本資料填寫!$E:$EU,COLUMN(基本資料填寫!Y3),0),"")</f>
        <v>83.3</v>
      </c>
      <c r="L5" s="233">
        <f>IFERROR(VLOOKUP(基本資料填寫!$E$1&amp;"-"&amp;ROW(V3),基本資料填寫!$E:$EU,COLUMN(基本資料填寫!Z3),0),"")</f>
        <v>12000</v>
      </c>
      <c r="M5" s="233">
        <f>IFERROR(VLOOKUP(基本資料填寫!$E$1&amp;"-"&amp;ROW(W3),基本資料填寫!$E:$EU,COLUMN(基本資料填寫!AA3),0),"")</f>
        <v>1.5</v>
      </c>
      <c r="N5" s="233" t="str">
        <f>IFERROR(VLOOKUP(基本資料填寫!$E$1&amp;"-"&amp;ROW(X3),基本資料填寫!$E:$EU,COLUMN(基本資料填寫!AB3),0),"")</f>
        <v>Y</v>
      </c>
    </row>
    <row r="6" spans="1:14" s="9" customFormat="1" x14ac:dyDescent="0.3">
      <c r="A6" s="232">
        <f>IF(E6="","",COUNTA($E$3:E6))</f>
        <v>4</v>
      </c>
      <c r="B6" s="233" t="str">
        <f>IFERROR(VLOOKUP(基本資料填寫!$E$1&amp;"-"&amp;ROW(F4),基本資料填寫!$E:$EU,COLUMN(基本資料填寫!F4),0),"")</f>
        <v>0003</v>
      </c>
      <c r="C6" s="233" t="str">
        <f>IFERROR(VLOOKUP(基本資料填寫!$E$1&amp;"-"&amp;ROW(K4),基本資料填寫!$E:$EU,COLUMN(基本資料填寫!K4),0),"")</f>
        <v xml:space="preserve"> 455.005.7H</v>
      </c>
      <c r="D6" s="233" t="str">
        <f>IFERROR(VLOOKUP(基本資料填寫!$E$1&amp;"-"&amp;ROW(H4),基本資料填寫!$E:$EU,COLUMN(基本資料填寫!L4),0),"")</f>
        <v>Sound Powered Telephone (12-station/built-in with dimmer and H27A jack)</v>
      </c>
      <c r="E6" s="233" t="str">
        <f>IFERROR(VLOOKUP(基本資料填寫!$E$1&amp;"-"&amp;ROW(I4),基本資料填寫!$E:$EU,COLUMN(基本資料填寫!M4),0),"")</f>
        <v>12站埋入式聲力電話(附H27A 插座)</v>
      </c>
      <c r="F6" s="233" t="str">
        <f>IFERROR(VLOOKUP(基本資料填寫!$E$1&amp;"-"&amp;ROW(O4),基本資料填寫!$E:$EU,COLUMN(基本資料填寫!S4),0),"")</f>
        <v>5805YETL22086</v>
      </c>
      <c r="G6" s="233" t="str">
        <f>IFERROR(VLOOKUP(基本資料填寫!$E$1&amp;"-"&amp;ROW(P4),基本資料填寫!$E:$EU,COLUMN(基本資料填寫!T4),0),"")</f>
        <v>1</v>
      </c>
      <c r="H6" s="233" t="str">
        <f>IFERROR(VLOOKUP(基本資料填寫!$E$1&amp;"-"&amp;ROW(R4),基本資料填寫!$E:$EU,COLUMN(基本資料填寫!V4),0),"")</f>
        <v>EA</v>
      </c>
      <c r="I6" s="233">
        <f>IFERROR(VLOOKUP(基本資料填寫!$E$1&amp;"-"&amp;ROW(S4),基本資料填寫!$E:$EU,COLUMN(基本資料填寫!W4),0),"")</f>
        <v>1200</v>
      </c>
      <c r="J6" s="233" t="str">
        <f>IFERROR(VLOOKUP(基本資料填寫!$E$1&amp;"-"&amp;ROW(T4),基本資料填寫!$E:$EU,COLUMN(基本資料填寫!X4),0),"")</f>
        <v>3 M</v>
      </c>
      <c r="K6" s="233">
        <f>IFERROR(VLOOKUP(基本資料填寫!$E$1&amp;"-"&amp;ROW(U4),基本資料填寫!$E:$EU,COLUMN(基本資料填寫!Y4),0),"")</f>
        <v>83.3</v>
      </c>
      <c r="L6" s="233">
        <f>IFERROR(VLOOKUP(基本資料填寫!$E$1&amp;"-"&amp;ROW(V4),基本資料填寫!$E:$EU,COLUMN(基本資料填寫!Z4),0),"")</f>
        <v>12000</v>
      </c>
      <c r="M6" s="233">
        <f>IFERROR(VLOOKUP(基本資料填寫!$E$1&amp;"-"&amp;ROW(W4),基本資料填寫!$E:$EU,COLUMN(基本資料填寫!AA4),0),"")</f>
        <v>1.5</v>
      </c>
      <c r="N6" s="233" t="str">
        <f>IFERROR(VLOOKUP(基本資料填寫!$E$1&amp;"-"&amp;ROW(X4),基本資料填寫!$E:$EU,COLUMN(基本資料填寫!AB4),0),"")</f>
        <v>Y</v>
      </c>
    </row>
    <row r="7" spans="1:14" s="9" customFormat="1" x14ac:dyDescent="0.3">
      <c r="A7" s="232">
        <f>IF(E7="","",COUNTA($E$3:E7))</f>
        <v>5</v>
      </c>
      <c r="B7" s="233" t="str">
        <f>IFERROR(VLOOKUP(基本資料填寫!$E$1&amp;"-"&amp;ROW(F5),基本資料填寫!$E:$EU,COLUMN(基本資料填寫!F5),0),"")</f>
        <v>0004</v>
      </c>
      <c r="C7" s="233" t="str">
        <f>IFERROR(VLOOKUP(基本資料填寫!$E$1&amp;"-"&amp;ROW(K5),基本資料填寫!$E:$EU,COLUMN(基本資料填寫!K5),0),"")</f>
        <v>455.029.4.12H</v>
      </c>
      <c r="D7" s="233" t="str">
        <f>IFERROR(VLOOKUP(基本資料填寫!$E$1&amp;"-"&amp;ROW(H5),基本資料填寫!$E:$EU,COLUMN(基本資料填寫!L5),0),"")</f>
        <v>Sound Powered Telephone (24-station/built-in with dimmer and H27A jack)</v>
      </c>
      <c r="E7" s="233" t="str">
        <f>IFERROR(VLOOKUP(基本資料填寫!$E$1&amp;"-"&amp;ROW(I5),基本資料填寫!$E:$EU,COLUMN(基本資料填寫!M5),0),"")</f>
        <v>24站埋入式聲力電話(附H27A 插座)</v>
      </c>
      <c r="F7" s="233" t="str">
        <f>IFERROR(VLOOKUP(基本資料填寫!$E$1&amp;"-"&amp;ROW(O5),基本資料填寫!$E:$EU,COLUMN(基本資料填寫!S5),0),"")</f>
        <v>5805YETL22085</v>
      </c>
      <c r="G7" s="233" t="str">
        <f>IFERROR(VLOOKUP(基本資料填寫!$E$1&amp;"-"&amp;ROW(P5),基本資料填寫!$E:$EU,COLUMN(基本資料填寫!T5),0),"")</f>
        <v>1</v>
      </c>
      <c r="H7" s="233" t="str">
        <f>IFERROR(VLOOKUP(基本資料填寫!$E$1&amp;"-"&amp;ROW(R5),基本資料填寫!$E:$EU,COLUMN(基本資料填寫!V5),0),"")</f>
        <v>EA</v>
      </c>
      <c r="I7" s="233">
        <f>IFERROR(VLOOKUP(基本資料填寫!$E$1&amp;"-"&amp;ROW(S5),基本資料填寫!$E:$EU,COLUMN(基本資料填寫!W5),0),"")</f>
        <v>1200</v>
      </c>
      <c r="J7" s="233" t="str">
        <f>IFERROR(VLOOKUP(基本資料填寫!$E$1&amp;"-"&amp;ROW(T5),基本資料填寫!$E:$EU,COLUMN(基本資料填寫!X5),0),"")</f>
        <v>3 M</v>
      </c>
      <c r="K7" s="233">
        <f>IFERROR(VLOOKUP(基本資料填寫!$E$1&amp;"-"&amp;ROW(U5),基本資料填寫!$E:$EU,COLUMN(基本資料填寫!Y5),0),"")</f>
        <v>83.3</v>
      </c>
      <c r="L7" s="233">
        <f>IFERROR(VLOOKUP(基本資料填寫!$E$1&amp;"-"&amp;ROW(V5),基本資料填寫!$E:$EU,COLUMN(基本資料填寫!Z5),0),"")</f>
        <v>12000</v>
      </c>
      <c r="M7" s="233">
        <f>IFERROR(VLOOKUP(基本資料填寫!$E$1&amp;"-"&amp;ROW(W5),基本資料填寫!$E:$EU,COLUMN(基本資料填寫!AA5),0),"")</f>
        <v>1.5</v>
      </c>
      <c r="N7" s="233" t="str">
        <f>IFERROR(VLOOKUP(基本資料填寫!$E$1&amp;"-"&amp;ROW(X5),基本資料填寫!$E:$EU,COLUMN(基本資料填寫!AB5),0),"")</f>
        <v>Y</v>
      </c>
    </row>
    <row r="8" spans="1:14" s="9" customFormat="1" x14ac:dyDescent="0.3">
      <c r="A8" s="232">
        <f>IF(E8="","",COUNTA($E$3:E8))</f>
        <v>6</v>
      </c>
      <c r="B8" s="233" t="str">
        <f>IFERROR(VLOOKUP(基本資料填寫!$E$1&amp;"-"&amp;ROW(F6),基本資料填寫!$E:$EU,COLUMN(基本資料填寫!F6),0),"")</f>
        <v>0005</v>
      </c>
      <c r="C8" s="233" t="str">
        <f>IFERROR(VLOOKUP(基本資料填寫!$E$1&amp;"-"&amp;ROW(K6),基本資料填寫!$E:$EU,COLUMN(基本資料填寫!K6),0),"")</f>
        <v>350.500</v>
      </c>
      <c r="D8" s="233" t="str">
        <f>IFERROR(VLOOKUP(基本資料填寫!$E$1&amp;"-"&amp;ROW(H6),基本資料填寫!$E:$EU,COLUMN(基本資料填寫!L6),0),"")</f>
        <v>Portable chest head sound powered telephone (with/without foot switch)</v>
      </c>
      <c r="E8" s="233" t="str">
        <f>IFERROR(VLOOKUP(基本資料填寫!$E$1&amp;"-"&amp;ROW(I6),基本資料填寫!$E:$EU,COLUMN(基本資料填寫!M6),0),"")</f>
        <v>頭戴式聲力電話(頭戴型及腳控型)</v>
      </c>
      <c r="F8" s="233" t="str">
        <f>IFERROR(VLOOKUP(基本資料填寫!$E$1&amp;"-"&amp;ROW(O6),基本資料填寫!$E:$EU,COLUMN(基本資料填寫!S6),0),"")</f>
        <v>5965YETL申請中</v>
      </c>
      <c r="G8" s="233" t="str">
        <f>IFERROR(VLOOKUP(基本資料填寫!$E$1&amp;"-"&amp;ROW(P6),基本資料填寫!$E:$EU,COLUMN(基本資料填寫!T6),0),"")</f>
        <v>1</v>
      </c>
      <c r="H8" s="233" t="str">
        <f>IFERROR(VLOOKUP(基本資料填寫!$E$1&amp;"-"&amp;ROW(R6),基本資料填寫!$E:$EU,COLUMN(基本資料填寫!V6),0),"")</f>
        <v>EA</v>
      </c>
      <c r="I8" s="233">
        <f>IFERROR(VLOOKUP(基本資料填寫!$E$1&amp;"-"&amp;ROW(S6),基本資料填寫!$E:$EU,COLUMN(基本資料填寫!W6),0),"")</f>
        <v>1200</v>
      </c>
      <c r="J8" s="233" t="str">
        <f>IFERROR(VLOOKUP(基本資料填寫!$E$1&amp;"-"&amp;ROW(T6),基本資料填寫!$E:$EU,COLUMN(基本資料填寫!X6),0),"")</f>
        <v>3 M</v>
      </c>
      <c r="K8" s="233">
        <f>IFERROR(VLOOKUP(基本資料填寫!$E$1&amp;"-"&amp;ROW(U6),基本資料填寫!$E:$EU,COLUMN(基本資料填寫!Y6),0),"")</f>
        <v>100</v>
      </c>
      <c r="L8" s="233">
        <f>IFERROR(VLOOKUP(基本資料填寫!$E$1&amp;"-"&amp;ROW(V6),基本資料填寫!$E:$EU,COLUMN(基本資料填寫!Z6),0),"")</f>
        <v>10000</v>
      </c>
      <c r="M8" s="233" t="str">
        <f>IFERROR(VLOOKUP(基本資料填寫!$E$1&amp;"-"&amp;ROW(W6),基本資料填寫!$E:$EU,COLUMN(基本資料填寫!AA6),0),"")</f>
        <v>1</v>
      </c>
      <c r="N8" s="233" t="str">
        <f>IFERROR(VLOOKUP(基本資料填寫!$E$1&amp;"-"&amp;ROW(X6),基本資料填寫!$E:$EU,COLUMN(基本資料填寫!AB6),0),"")</f>
        <v>Y</v>
      </c>
    </row>
    <row r="9" spans="1:14" s="9" customFormat="1" x14ac:dyDescent="0.3">
      <c r="A9" s="232">
        <f>IF(E9="","",COUNTA($E$3:E9))</f>
        <v>7</v>
      </c>
      <c r="B9" s="233" t="str">
        <f>IFERROR(VLOOKUP(基本資料填寫!$E$1&amp;"-"&amp;ROW(F7),基本資料填寫!$E:$EU,COLUMN(基本資料填寫!F7),0),"")</f>
        <v>0006</v>
      </c>
      <c r="C9" s="233" t="str">
        <f>IFERROR(VLOOKUP(基本資料填寫!$E$1&amp;"-"&amp;ROW(K7),基本資料填寫!$E:$EU,COLUMN(基本資料填寫!K7),0),"")</f>
        <v>149.015 SCM</v>
      </c>
      <c r="D9" s="233" t="str">
        <f>IFERROR(VLOOKUP(基本資料填寫!$E$1&amp;"-"&amp;ROW(H7),基本資料填寫!$E:$EU,COLUMN(基本資料填寫!L7),0),"")</f>
        <v>Panel-mounted jack</v>
      </c>
      <c r="E9" s="233" t="str">
        <f>IFERROR(VLOOKUP(基本資料填寫!$E$1&amp;"-"&amp;ROW(I7),基本資料填寫!$E:$EU,COLUMN(基本資料填寫!M7),0),"")</f>
        <v>聲力電話插座 (埋入式)</v>
      </c>
      <c r="F9" s="233" t="str">
        <f>IFERROR(VLOOKUP(基本資料填寫!$E$1&amp;"-"&amp;ROW(O7),基本資料填寫!$E:$EU,COLUMN(基本資料填寫!S7),0),"")</f>
        <v>5935YETL22089</v>
      </c>
      <c r="G9" s="233" t="str">
        <f>IFERROR(VLOOKUP(基本資料填寫!$E$1&amp;"-"&amp;ROW(P7),基本資料填寫!$E:$EU,COLUMN(基本資料填寫!T7),0),"")</f>
        <v>1</v>
      </c>
      <c r="H9" s="233" t="str">
        <f>IFERROR(VLOOKUP(基本資料填寫!$E$1&amp;"-"&amp;ROW(R7),基本資料填寫!$E:$EU,COLUMN(基本資料填寫!V7),0),"")</f>
        <v>EA</v>
      </c>
      <c r="I9" s="233">
        <f>IFERROR(VLOOKUP(基本資料填寫!$E$1&amp;"-"&amp;ROW(S7),基本資料填寫!$E:$EU,COLUMN(基本資料填寫!W7),0),"")</f>
        <v>120</v>
      </c>
      <c r="J9" s="233" t="str">
        <f>IFERROR(VLOOKUP(基本資料填寫!$E$1&amp;"-"&amp;ROW(T7),基本資料填寫!$E:$EU,COLUMN(基本資料填寫!X7),0),"")</f>
        <v>3 M</v>
      </c>
      <c r="K9" s="233" t="str">
        <f>IFERROR(VLOOKUP(基本資料填寫!$E$1&amp;"-"&amp;ROW(U7),基本資料填寫!$E:$EU,COLUMN(基本資料填寫!Y7),0),"")</f>
        <v>66.7</v>
      </c>
      <c r="L9" s="233">
        <f>IFERROR(VLOOKUP(基本資料填寫!$E$1&amp;"-"&amp;ROW(V7),基本資料填寫!$E:$EU,COLUMN(基本資料填寫!Z7),0),"")</f>
        <v>15000</v>
      </c>
      <c r="M9" s="233" t="str">
        <f>IFERROR(VLOOKUP(基本資料填寫!$E$1&amp;"-"&amp;ROW(W7),基本資料填寫!$E:$EU,COLUMN(基本資料填寫!AA7),0),"")</f>
        <v>0.5</v>
      </c>
      <c r="N9" s="233" t="str">
        <f>IFERROR(VLOOKUP(基本資料填寫!$E$1&amp;"-"&amp;ROW(X7),基本資料填寫!$E:$EU,COLUMN(基本資料填寫!AB7),0),"")</f>
        <v>Y</v>
      </c>
    </row>
    <row r="10" spans="1:14" s="9" customFormat="1" x14ac:dyDescent="0.3">
      <c r="A10" s="232">
        <f>IF(E10="","",COUNTA($E$3:E10))</f>
        <v>8</v>
      </c>
      <c r="B10" s="233" t="str">
        <f>IFERROR(VLOOKUP(基本資料填寫!$E$1&amp;"-"&amp;ROW(F8),基本資料填寫!$E:$EU,COLUMN(基本資料填寫!F8),0),"")</f>
        <v>0007</v>
      </c>
      <c r="C10" s="233" t="str">
        <f>IFERROR(VLOOKUP(基本資料填寫!$E$1&amp;"-"&amp;ROW(K8),基本資料填寫!$E:$EU,COLUMN(基本資料填寫!K8),0),"")</f>
        <v>350.501 SCM</v>
      </c>
      <c r="D10" s="233" t="str">
        <f>IFERROR(VLOOKUP(基本資料填寫!$E$1&amp;"-"&amp;ROW(H8),基本資料填寫!$E:$EU,COLUMN(基本資料填寫!L8),0),"")</f>
        <v>Jack-box for connection</v>
      </c>
      <c r="E10" s="233" t="str">
        <f>IFERROR(VLOOKUP(基本資料填寫!$E$1&amp;"-"&amp;ROW(I8),基本資料填寫!$E:$EU,COLUMN(基本資料填寫!M8),0),"")</f>
        <v>聲力電話插座 (防水壁掛式)</v>
      </c>
      <c r="F10" s="233" t="str">
        <f>IFERROR(VLOOKUP(基本資料填寫!$E$1&amp;"-"&amp;ROW(O8),基本資料填寫!$E:$EU,COLUMN(基本資料填寫!S8),0),"")</f>
        <v>5935YETL22119</v>
      </c>
      <c r="G10" s="233" t="str">
        <f>IFERROR(VLOOKUP(基本資料填寫!$E$1&amp;"-"&amp;ROW(P8),基本資料填寫!$E:$EU,COLUMN(基本資料填寫!T8),0),"")</f>
        <v>1</v>
      </c>
      <c r="H10" s="233" t="str">
        <f>IFERROR(VLOOKUP(基本資料填寫!$E$1&amp;"-"&amp;ROW(R8),基本資料填寫!$E:$EU,COLUMN(基本資料填寫!V8),0),"")</f>
        <v>EA</v>
      </c>
      <c r="I10" s="233">
        <f>IFERROR(VLOOKUP(基本資料填寫!$E$1&amp;"-"&amp;ROW(S8),基本資料填寫!$E:$EU,COLUMN(基本資料填寫!W8),0),"")</f>
        <v>120</v>
      </c>
      <c r="J10" s="233" t="str">
        <f>IFERROR(VLOOKUP(基本資料填寫!$E$1&amp;"-"&amp;ROW(T8),基本資料填寫!$E:$EU,COLUMN(基本資料填寫!X8),0),"")</f>
        <v>3 M</v>
      </c>
      <c r="K10" s="233" t="str">
        <f>IFERROR(VLOOKUP(基本資料填寫!$E$1&amp;"-"&amp;ROW(U8),基本資料填寫!$E:$EU,COLUMN(基本資料填寫!Y8),0),"")</f>
        <v>71.4</v>
      </c>
      <c r="L10" s="233">
        <f>IFERROR(VLOOKUP(基本資料填寫!$E$1&amp;"-"&amp;ROW(V8),基本資料填寫!$E:$EU,COLUMN(基本資料填寫!Z8),0),"")</f>
        <v>14000</v>
      </c>
      <c r="M10" s="233" t="str">
        <f>IFERROR(VLOOKUP(基本資料填寫!$E$1&amp;"-"&amp;ROW(W8),基本資料填寫!$E:$EU,COLUMN(基本資料填寫!AA8),0),"")</f>
        <v>0.5</v>
      </c>
      <c r="N10" s="233" t="str">
        <f>IFERROR(VLOOKUP(基本資料填寫!$E$1&amp;"-"&amp;ROW(X8),基本資料填寫!$E:$EU,COLUMN(基本資料填寫!AB8),0),"")</f>
        <v>Y</v>
      </c>
    </row>
    <row r="11" spans="1:14" x14ac:dyDescent="0.3">
      <c r="A11" s="232">
        <f>IF(E11="","",COUNTA($E$3:E11))</f>
        <v>9</v>
      </c>
      <c r="B11" s="233" t="str">
        <f>IFERROR(VLOOKUP(基本資料填寫!$E$1&amp;"-"&amp;ROW(F9),基本資料填寫!$E:$EU,COLUMN(基本資料填寫!F9),0),"")</f>
        <v>0008</v>
      </c>
      <c r="C11" s="233" t="str">
        <f>IFERROR(VLOOKUP(基本資料填寫!$E$1&amp;"-"&amp;ROW(K9),基本資料填寫!$E:$EU,COLUMN(基本資料填寫!K9),0),"")</f>
        <v>455.805</v>
      </c>
      <c r="D11" s="233" t="str">
        <f>IFERROR(VLOOKUP(基本資料填寫!$E$1&amp;"-"&amp;ROW(H9),基本資料填寫!$E:$EU,COLUMN(基本資料填寫!L9),0),"")</f>
        <v>Audio Frecuency Amplifie</v>
      </c>
      <c r="E11" s="233" t="str">
        <f>IFERROR(VLOOKUP(基本資料填寫!$E$1&amp;"-"&amp;ROW(I9),基本資料填寫!$E:$EU,COLUMN(基本資料填寫!M9),0),"")</f>
        <v>聲力電話放大器</v>
      </c>
      <c r="F11" s="233" t="str">
        <f>IFERROR(VLOOKUP(基本資料填寫!$E$1&amp;"-"&amp;ROW(O9),基本資料填寫!$E:$EU,COLUMN(基本資料填寫!S9),0),"")</f>
        <v>5965YETL申請中</v>
      </c>
      <c r="G11" s="233" t="str">
        <f>IFERROR(VLOOKUP(基本資料填寫!$E$1&amp;"-"&amp;ROW(P9),基本資料填寫!$E:$EU,COLUMN(基本資料填寫!T9),0),"")</f>
        <v>1</v>
      </c>
      <c r="H11" s="233" t="str">
        <f>IFERROR(VLOOKUP(基本資料填寫!$E$1&amp;"-"&amp;ROW(R9),基本資料填寫!$E:$EU,COLUMN(基本資料填寫!V9),0),"")</f>
        <v>EA</v>
      </c>
      <c r="I11" s="233">
        <f>IFERROR(VLOOKUP(基本資料填寫!$E$1&amp;"-"&amp;ROW(S9),基本資料填寫!$E:$EU,COLUMN(基本資料填寫!W9),0),"")</f>
        <v>650</v>
      </c>
      <c r="J11" s="233" t="str">
        <f>IFERROR(VLOOKUP(基本資料填寫!$E$1&amp;"-"&amp;ROW(T9),基本資料填寫!$E:$EU,COLUMN(基本資料填寫!X9),0),"")</f>
        <v>3 M</v>
      </c>
      <c r="K11" s="233" t="str">
        <f>IFERROR(VLOOKUP(基本資料填寫!$E$1&amp;"-"&amp;ROW(U9),基本資料填寫!$E:$EU,COLUMN(基本資料填寫!Y9),0),"")</f>
        <v>125</v>
      </c>
      <c r="L11" s="233">
        <f>IFERROR(VLOOKUP(基本資料填寫!$E$1&amp;"-"&amp;ROW(V9),基本資料填寫!$E:$EU,COLUMN(基本資料填寫!Z9),0),"")</f>
        <v>8000</v>
      </c>
      <c r="M11" s="233" t="str">
        <f>IFERROR(VLOOKUP(基本資料填寫!$E$1&amp;"-"&amp;ROW(W9),基本資料填寫!$E:$EU,COLUMN(基本資料填寫!AA9),0),"")</f>
        <v>1.5</v>
      </c>
      <c r="N11" s="233" t="str">
        <f>IFERROR(VLOOKUP(基本資料填寫!$E$1&amp;"-"&amp;ROW(X9),基本資料填寫!$E:$EU,COLUMN(基本資料填寫!AB9),0),"")</f>
        <v>Y</v>
      </c>
    </row>
    <row r="12" spans="1:14" x14ac:dyDescent="0.3">
      <c r="A12" s="232">
        <f>IF(E12="","",COUNTA($E$3:E12))</f>
        <v>10</v>
      </c>
      <c r="B12" s="233" t="str">
        <f>IFERROR(VLOOKUP(基本資料填寫!$E$1&amp;"-"&amp;ROW(F10),基本資料填寫!$E:$EU,COLUMN(基本資料填寫!F10),0),"")</f>
        <v>0009</v>
      </c>
      <c r="C12" s="233" t="str">
        <f>IFERROR(VLOOKUP(基本資料填寫!$E$1&amp;"-"&amp;ROW(K10),基本資料填寫!$E:$EU,COLUMN(基本資料填寫!K10),0),"")</f>
        <v>149.907</v>
      </c>
      <c r="D12" s="233" t="str">
        <f>IFERROR(VLOOKUP(基本資料填寫!$E$1&amp;"-"&amp;ROW(H10),基本資料填寫!$E:$EU,COLUMN(基本資料填寫!L10),0),"")</f>
        <v>Exponential Speaker</v>
      </c>
      <c r="E12" s="233" t="str">
        <f>IFERROR(VLOOKUP(基本資料填寫!$E$1&amp;"-"&amp;ROW(I10),基本資料填寫!$E:$EU,COLUMN(基本資料填寫!M10),0),"")</f>
        <v>揚聲防水喇叭</v>
      </c>
      <c r="F12" s="233" t="str">
        <f>IFERROR(VLOOKUP(基本資料填寫!$E$1&amp;"-"&amp;ROW(O10),基本資料填寫!$E:$EU,COLUMN(基本資料填寫!S10),0),"")</f>
        <v>5965YETL申請中</v>
      </c>
      <c r="G12" s="233" t="str">
        <f>IFERROR(VLOOKUP(基本資料填寫!$E$1&amp;"-"&amp;ROW(P10),基本資料填寫!$E:$EU,COLUMN(基本資料填寫!T10),0),"")</f>
        <v>1</v>
      </c>
      <c r="H12" s="233" t="str">
        <f>IFERROR(VLOOKUP(基本資料填寫!$E$1&amp;"-"&amp;ROW(R10),基本資料填寫!$E:$EU,COLUMN(基本資料填寫!V10),0),"")</f>
        <v>EA</v>
      </c>
      <c r="I12" s="233">
        <f>IFERROR(VLOOKUP(基本資料填寫!$E$1&amp;"-"&amp;ROW(S10),基本資料填寫!$E:$EU,COLUMN(基本資料填寫!W10),0),"")</f>
        <v>150</v>
      </c>
      <c r="J12" s="233" t="str">
        <f>IFERROR(VLOOKUP(基本資料填寫!$E$1&amp;"-"&amp;ROW(T10),基本資料填寫!$E:$EU,COLUMN(基本資料填寫!X10),0),"")</f>
        <v>3 M</v>
      </c>
      <c r="K12" s="233" t="str">
        <f>IFERROR(VLOOKUP(基本資料填寫!$E$1&amp;"-"&amp;ROW(U10),基本資料填寫!$E:$EU,COLUMN(基本資料填寫!Y10),0),"")</f>
        <v>100</v>
      </c>
      <c r="L12" s="233">
        <f>IFERROR(VLOOKUP(基本資料填寫!$E$1&amp;"-"&amp;ROW(V10),基本資料填寫!$E:$EU,COLUMN(基本資料填寫!Z10),0),"")</f>
        <v>10000</v>
      </c>
      <c r="M12" s="233" t="str">
        <f>IFERROR(VLOOKUP(基本資料填寫!$E$1&amp;"-"&amp;ROW(W10),基本資料填寫!$E:$EU,COLUMN(基本資料填寫!AA10),0),"")</f>
        <v>1</v>
      </c>
      <c r="N12" s="233" t="str">
        <f>IFERROR(VLOOKUP(基本資料填寫!$E$1&amp;"-"&amp;ROW(X10),基本資料填寫!$E:$EU,COLUMN(基本資料填寫!AB10),0),"")</f>
        <v>Y</v>
      </c>
    </row>
    <row r="13" spans="1:14" x14ac:dyDescent="0.3">
      <c r="A13" s="232">
        <f>IF(E13="","",COUNTA($E$3:E13))</f>
        <v>11</v>
      </c>
      <c r="B13" s="233" t="str">
        <f>IFERROR(VLOOKUP(基本資料填寫!$E$1&amp;"-"&amp;ROW(F11),基本資料填寫!$E:$EU,COLUMN(基本資料填寫!F11),0),"")</f>
        <v>0010</v>
      </c>
      <c r="C13" s="233" t="str">
        <f>IFERROR(VLOOKUP(基本資料填寫!$E$1&amp;"-"&amp;ROW(K11),基本資料填寫!$E:$EU,COLUMN(基本資料填寫!K11),0),"")</f>
        <v>455.010 SCM</v>
      </c>
      <c r="D13" s="233" t="str">
        <f>IFERROR(VLOOKUP(基本資料填寫!$E$1&amp;"-"&amp;ROW(H11),基本資料填寫!$E:$EU,COLUMN(基本資料填寫!L11),0),"")</f>
        <v>Visual Signal Device LD-MG</v>
      </c>
      <c r="E13" s="233" t="str">
        <f>IFERROR(VLOOKUP(基本資料填寫!$E$1&amp;"-"&amp;ROW(I11),基本資料填寫!$E:$EU,COLUMN(基本資料填寫!M11),0),"")</f>
        <v>白光警示燈</v>
      </c>
      <c r="F13" s="233" t="str">
        <f>IFERROR(VLOOKUP(基本資料填寫!$E$1&amp;"-"&amp;ROW(O11),基本資料填寫!$E:$EU,COLUMN(基本資料填寫!S11),0),"")</f>
        <v>6350YETL22084</v>
      </c>
      <c r="G13" s="233" t="str">
        <f>IFERROR(VLOOKUP(基本資料填寫!$E$1&amp;"-"&amp;ROW(P11),基本資料填寫!$E:$EU,COLUMN(基本資料填寫!T11),0),"")</f>
        <v>1</v>
      </c>
      <c r="H13" s="233" t="str">
        <f>IFERROR(VLOOKUP(基本資料填寫!$E$1&amp;"-"&amp;ROW(R11),基本資料填寫!$E:$EU,COLUMN(基本資料填寫!V11),0),"")</f>
        <v>EA</v>
      </c>
      <c r="I13" s="233">
        <f>IFERROR(VLOOKUP(基本資料填寫!$E$1&amp;"-"&amp;ROW(S11),基本資料填寫!$E:$EU,COLUMN(基本資料填寫!W11),0),"")</f>
        <v>40</v>
      </c>
      <c r="J13" s="233" t="str">
        <f>IFERROR(VLOOKUP(基本資料填寫!$E$1&amp;"-"&amp;ROW(T11),基本資料填寫!$E:$EU,COLUMN(基本資料填寫!X11),0),"")</f>
        <v>3 M</v>
      </c>
      <c r="K13" s="233" t="str">
        <f>IFERROR(VLOOKUP(基本資料填寫!$E$1&amp;"-"&amp;ROW(U11),基本資料填寫!$E:$EU,COLUMN(基本資料填寫!Y11),0),"")</f>
        <v>111.1</v>
      </c>
      <c r="L13" s="233">
        <f>IFERROR(VLOOKUP(基本資料填寫!$E$1&amp;"-"&amp;ROW(V11),基本資料填寫!$E:$EU,COLUMN(基本資料填寫!Z11),0),"")</f>
        <v>9000</v>
      </c>
      <c r="M13" s="233" t="str">
        <f>IFERROR(VLOOKUP(基本資料填寫!$E$1&amp;"-"&amp;ROW(W11),基本資料填寫!$E:$EU,COLUMN(基本資料填寫!AA11),0),"")</f>
        <v>1</v>
      </c>
      <c r="N13" s="233" t="str">
        <f>IFERROR(VLOOKUP(基本資料填寫!$E$1&amp;"-"&amp;ROW(X11),基本資料填寫!$E:$EU,COLUMN(基本資料填寫!AB11),0),"")</f>
        <v>N</v>
      </c>
    </row>
    <row r="14" spans="1:14" x14ac:dyDescent="0.3">
      <c r="A14" s="232">
        <f>IF(E14="","",COUNTA($E$3:E14))</f>
        <v>12</v>
      </c>
      <c r="B14" s="233" t="str">
        <f>IFERROR(VLOOKUP(基本資料填寫!$E$1&amp;"-"&amp;ROW(F12),基本資料填寫!$E:$EU,COLUMN(基本資料填寫!F12),0),"")</f>
        <v>0011</v>
      </c>
      <c r="C14" s="233" t="str">
        <f>IFERROR(VLOOKUP(基本資料填寫!$E$1&amp;"-"&amp;ROW(K12),基本資料填寫!$E:$EU,COLUMN(基本資料填寫!K12),0),"")</f>
        <v>358.004 SCM</v>
      </c>
      <c r="D14" s="233" t="str">
        <f>IFERROR(VLOOKUP(基本資料填寫!$E$1&amp;"-"&amp;ROW(H12),基本資料填寫!$E:$EU,COLUMN(基本資料填寫!L12),0),"")</f>
        <v>Stowage box(For one telephone) CJ - EST -1-X</v>
      </c>
      <c r="E14" s="233" t="str">
        <f>IFERROR(VLOOKUP(基本資料填寫!$E$1&amp;"-"&amp;ROW(I12),基本資料填寫!$E:$EU,COLUMN(基本資料填寫!M12),0),"")</f>
        <v>頭戴式聲力電話放置箱 CJ - EST -1-X(單格)</v>
      </c>
      <c r="F14" s="233" t="str">
        <f>IFERROR(VLOOKUP(基本資料填寫!$E$1&amp;"-"&amp;ROW(O12),基本資料填寫!$E:$EU,COLUMN(基本資料填寫!S12),0),"")</f>
        <v>5965YETL22083</v>
      </c>
      <c r="G14" s="233" t="str">
        <f>IFERROR(VLOOKUP(基本資料填寫!$E$1&amp;"-"&amp;ROW(P12),基本資料填寫!$E:$EU,COLUMN(基本資料填寫!T12),0),"")</f>
        <v>1</v>
      </c>
      <c r="H14" s="233" t="str">
        <f>IFERROR(VLOOKUP(基本資料填寫!$E$1&amp;"-"&amp;ROW(R12),基本資料填寫!$E:$EU,COLUMN(基本資料填寫!V12),0),"")</f>
        <v>EA</v>
      </c>
      <c r="I14" s="233">
        <f>IFERROR(VLOOKUP(基本資料填寫!$E$1&amp;"-"&amp;ROW(S12),基本資料填寫!$E:$EU,COLUMN(基本資料填寫!W12),0),"")</f>
        <v>120</v>
      </c>
      <c r="J14" s="233" t="str">
        <f>IFERROR(VLOOKUP(基本資料填寫!$E$1&amp;"-"&amp;ROW(T12),基本資料填寫!$E:$EU,COLUMN(基本資料填寫!X12),0),"")</f>
        <v>3 M</v>
      </c>
      <c r="K14" s="233" t="str">
        <f>IFERROR(VLOOKUP(基本資料填寫!$E$1&amp;"-"&amp;ROW(U12),基本資料填寫!$E:$EU,COLUMN(基本資料填寫!Y12),0),"")</f>
        <v>50</v>
      </c>
      <c r="L14" s="233">
        <f>IFERROR(VLOOKUP(基本資料填寫!$E$1&amp;"-"&amp;ROW(V12),基本資料填寫!$E:$EU,COLUMN(基本資料填寫!Z12),0),"")</f>
        <v>20000</v>
      </c>
      <c r="M14" s="233" t="str">
        <f>IFERROR(VLOOKUP(基本資料填寫!$E$1&amp;"-"&amp;ROW(W12),基本資料填寫!$E:$EU,COLUMN(基本資料填寫!AA12),0),"")</f>
        <v>0.25</v>
      </c>
      <c r="N14" s="233" t="str">
        <f>IFERROR(VLOOKUP(基本資料填寫!$E$1&amp;"-"&amp;ROW(X12),基本資料填寫!$E:$EU,COLUMN(基本資料填寫!AB12),0),"")</f>
        <v>N</v>
      </c>
    </row>
    <row r="15" spans="1:14" x14ac:dyDescent="0.3">
      <c r="A15" s="232">
        <f>IF(E15="","",COUNTA($E$3:E15))</f>
        <v>13</v>
      </c>
      <c r="B15" s="233" t="str">
        <f>IFERROR(VLOOKUP(基本資料填寫!$E$1&amp;"-"&amp;ROW(F13),基本資料填寫!$E:$EU,COLUMN(基本資料填寫!F13),0),"")</f>
        <v>0012</v>
      </c>
      <c r="C15" s="233" t="str">
        <f>IFERROR(VLOOKUP(基本資料填寫!$E$1&amp;"-"&amp;ROW(K13),基本資料填寫!$E:$EU,COLUMN(基本資料填寫!K13),0),"")</f>
        <v>358.005 SCM</v>
      </c>
      <c r="D15" s="233" t="str">
        <f>IFERROR(VLOOKUP(基本資料填寫!$E$1&amp;"-"&amp;ROW(H13),基本資料填寫!$E:$EU,COLUMN(基本資料填寫!L13),0),"")</f>
        <v>Stowage box(For two telephones) CJ - EST -2-X</v>
      </c>
      <c r="E15" s="233" t="str">
        <f>IFERROR(VLOOKUP(基本資料填寫!$E$1&amp;"-"&amp;ROW(I13),基本資料填寫!$E:$EU,COLUMN(基本資料填寫!M13),0),"")</f>
        <v>頭戴式聲力電話放置箱CJ - EST -2-X(雙格)</v>
      </c>
      <c r="F15" s="233" t="str">
        <f>IFERROR(VLOOKUP(基本資料填寫!$E$1&amp;"-"&amp;ROW(O13),基本資料填寫!$E:$EU,COLUMN(基本資料填寫!S13),0),"")</f>
        <v>5965YETL22082</v>
      </c>
      <c r="G15" s="233">
        <f>IFERROR(VLOOKUP(基本資料填寫!$E$1&amp;"-"&amp;ROW(P13),基本資料填寫!$E:$EU,COLUMN(基本資料填寫!T13),0),"")</f>
        <v>1</v>
      </c>
      <c r="H15" s="233" t="str">
        <f>IFERROR(VLOOKUP(基本資料填寫!$E$1&amp;"-"&amp;ROW(R13),基本資料填寫!$E:$EU,COLUMN(基本資料填寫!V13),0),"")</f>
        <v>EA</v>
      </c>
      <c r="I15" s="233">
        <f>IFERROR(VLOOKUP(基本資料填寫!$E$1&amp;"-"&amp;ROW(S13),基本資料填寫!$E:$EU,COLUMN(基本資料填寫!W13),0),"")</f>
        <v>150</v>
      </c>
      <c r="J15" s="233" t="str">
        <f>IFERROR(VLOOKUP(基本資料填寫!$E$1&amp;"-"&amp;ROW(T13),基本資料填寫!$E:$EU,COLUMN(基本資料填寫!X13),0),"")</f>
        <v>3 M</v>
      </c>
      <c r="K15" s="233" t="str">
        <f>IFERROR(VLOOKUP(基本資料填寫!$E$1&amp;"-"&amp;ROW(U13),基本資料填寫!$E:$EU,COLUMN(基本資料填寫!Y13),0),"")</f>
        <v>50</v>
      </c>
      <c r="L15" s="233">
        <f>IFERROR(VLOOKUP(基本資料填寫!$E$1&amp;"-"&amp;ROW(V13),基本資料填寫!$E:$EU,COLUMN(基本資料填寫!Z13),0),"")</f>
        <v>20000</v>
      </c>
      <c r="M15" s="233" t="str">
        <f>IFERROR(VLOOKUP(基本資料填寫!$E$1&amp;"-"&amp;ROW(W13),基本資料填寫!$E:$EU,COLUMN(基本資料填寫!AA13),0),"")</f>
        <v>0.25</v>
      </c>
      <c r="N15" s="233" t="str">
        <f>IFERROR(VLOOKUP(基本資料填寫!$E$1&amp;"-"&amp;ROW(X13),基本資料填寫!$E:$EU,COLUMN(基本資料填寫!AB13),0),"")</f>
        <v>N</v>
      </c>
    </row>
    <row r="16" spans="1:14" x14ac:dyDescent="0.3">
      <c r="A16" s="232">
        <f>IF(E16="","",COUNTA($E$3:E16))</f>
        <v>14</v>
      </c>
      <c r="B16" s="233" t="str">
        <f>IFERROR(VLOOKUP(基本資料填寫!$E$1&amp;"-"&amp;ROW(F14),基本資料填寫!$E:$EU,COLUMN(基本資料填寫!F14),0),"")</f>
        <v>0013</v>
      </c>
      <c r="C16" s="233" t="str">
        <f>IFERROR(VLOOKUP(基本資料填寫!$E$1&amp;"-"&amp;ROW(K14),基本資料填寫!$E:$EU,COLUMN(基本資料填寫!K14),0),"")</f>
        <v>455.003</v>
      </c>
      <c r="D16" s="233" t="str">
        <f>IFERROR(VLOOKUP(基本資料填寫!$E$1&amp;"-"&amp;ROW(H14),基本資料填寫!$E:$EU,COLUMN(基本資料填寫!L14),0),"")</f>
        <v>Relay box to activate additional devices. RCB-110</v>
      </c>
      <c r="E16" s="233" t="str">
        <f>IFERROR(VLOOKUP(基本資料填寫!$E$1&amp;"-"&amp;ROW(I14),基本資料填寫!$E:$EU,COLUMN(基本資料填寫!M14),0),"")</f>
        <v>聲力電話繼電器控制盒</v>
      </c>
      <c r="F16" s="233" t="str">
        <f>IFERROR(VLOOKUP(基本資料填寫!$E$1&amp;"-"&amp;ROW(O14),基本資料填寫!$E:$EU,COLUMN(基本資料填寫!S14),0),"")</f>
        <v>5945YETL22091</v>
      </c>
      <c r="G16" s="233">
        <f>IFERROR(VLOOKUP(基本資料填寫!$E$1&amp;"-"&amp;ROW(P14),基本資料填寫!$E:$EU,COLUMN(基本資料填寫!T14),0),"")</f>
        <v>1</v>
      </c>
      <c r="H16" s="233" t="str">
        <f>IFERROR(VLOOKUP(基本資料填寫!$E$1&amp;"-"&amp;ROW(R14),基本資料填寫!$E:$EU,COLUMN(基本資料填寫!V14),0),"")</f>
        <v>EA</v>
      </c>
      <c r="I16" s="233">
        <f>IFERROR(VLOOKUP(基本資料填寫!$E$1&amp;"-"&amp;ROW(S14),基本資料填寫!$E:$EU,COLUMN(基本資料填寫!W14),0),"")</f>
        <v>50</v>
      </c>
      <c r="J16" s="233" t="str">
        <f>IFERROR(VLOOKUP(基本資料填寫!$E$1&amp;"-"&amp;ROW(T14),基本資料填寫!$E:$EU,COLUMN(基本資料填寫!X14),0),"")</f>
        <v>3 M</v>
      </c>
      <c r="K16" s="233" t="str">
        <f>IFERROR(VLOOKUP(基本資料填寫!$E$1&amp;"-"&amp;ROW(U14),基本資料填寫!$E:$EU,COLUMN(基本資料填寫!Y14),0),"")</f>
        <v>90</v>
      </c>
      <c r="L16" s="233">
        <f>IFERROR(VLOOKUP(基本資料填寫!$E$1&amp;"-"&amp;ROW(V14),基本資料填寫!$E:$EU,COLUMN(基本資料填寫!Z14),0),"")</f>
        <v>11000</v>
      </c>
      <c r="M16" s="233" t="str">
        <f>IFERROR(VLOOKUP(基本資料填寫!$E$1&amp;"-"&amp;ROW(W14),基本資料填寫!$E:$EU,COLUMN(基本資料填寫!AA14),0),"")</f>
        <v>1.5</v>
      </c>
      <c r="N16" s="233" t="str">
        <f>IFERROR(VLOOKUP(基本資料填寫!$E$1&amp;"-"&amp;ROW(X14),基本資料填寫!$E:$EU,COLUMN(基本資料填寫!AB14),0),"")</f>
        <v>N</v>
      </c>
    </row>
    <row r="17" spans="1:14" x14ac:dyDescent="0.3">
      <c r="A17" s="232" t="str">
        <f>IF(E17="","",COUNTA($E$3:E17))</f>
        <v/>
      </c>
      <c r="B17" s="233" t="str">
        <f>IFERROR(VLOOKUP(基本資料填寫!$E$1&amp;"-"&amp;ROW(F15),基本資料填寫!$E:$EU,COLUMN(基本資料填寫!F15),0),"")</f>
        <v/>
      </c>
      <c r="C17" s="233" t="str">
        <f>IFERROR(VLOOKUP(基本資料填寫!$E$1&amp;"-"&amp;ROW(K15),基本資料填寫!$E:$EU,COLUMN(基本資料填寫!K15),0),"")</f>
        <v/>
      </c>
      <c r="D17" s="233" t="str">
        <f>IFERROR(VLOOKUP(基本資料填寫!$E$1&amp;"-"&amp;ROW(H15),基本資料填寫!$E:$EU,COLUMN(基本資料填寫!L15),0),"")</f>
        <v/>
      </c>
      <c r="E17" s="233" t="str">
        <f>IFERROR(VLOOKUP(基本資料填寫!$E$1&amp;"-"&amp;ROW(I15),基本資料填寫!$E:$EU,COLUMN(基本資料填寫!M15),0),"")</f>
        <v/>
      </c>
      <c r="F17" s="233" t="str">
        <f>IFERROR(VLOOKUP(基本資料填寫!$E$1&amp;"-"&amp;ROW(O15),基本資料填寫!$E:$EU,COLUMN(基本資料填寫!S15),0),"")</f>
        <v/>
      </c>
      <c r="G17" s="233" t="str">
        <f>IFERROR(VLOOKUP(基本資料填寫!$E$1&amp;"-"&amp;ROW(P15),基本資料填寫!$E:$EU,COLUMN(基本資料填寫!T15),0),"")</f>
        <v/>
      </c>
      <c r="H17" s="233" t="str">
        <f>IFERROR(VLOOKUP(基本資料填寫!$E$1&amp;"-"&amp;ROW(R15),基本資料填寫!$E:$EU,COLUMN(基本資料填寫!V15),0),"")</f>
        <v/>
      </c>
      <c r="I17" s="233" t="str">
        <f>IFERROR(VLOOKUP(基本資料填寫!$E$1&amp;"-"&amp;ROW(S15),基本資料填寫!$E:$EU,COLUMN(基本資料填寫!W15),0),"")</f>
        <v/>
      </c>
      <c r="J17" s="233" t="str">
        <f>IFERROR(VLOOKUP(基本資料填寫!$E$1&amp;"-"&amp;ROW(T15),基本資料填寫!$E:$EU,COLUMN(基本資料填寫!X15),0),"")</f>
        <v/>
      </c>
      <c r="K17" s="233" t="str">
        <f>IFERROR(VLOOKUP(基本資料填寫!$E$1&amp;"-"&amp;ROW(U15),基本資料填寫!$E:$EU,COLUMN(基本資料填寫!Y15),0),"")</f>
        <v/>
      </c>
      <c r="L17" s="233" t="str">
        <f>IFERROR(VLOOKUP(基本資料填寫!$E$1&amp;"-"&amp;ROW(V15),基本資料填寫!$E:$EU,COLUMN(基本資料填寫!Z15),0),"")</f>
        <v/>
      </c>
      <c r="M17" s="233" t="str">
        <f>IFERROR(VLOOKUP(基本資料填寫!$E$1&amp;"-"&amp;ROW(W15),基本資料填寫!$E:$EU,COLUMN(基本資料填寫!AA15),0),"")</f>
        <v/>
      </c>
      <c r="N17" s="233" t="str">
        <f>IFERROR(VLOOKUP(基本資料填寫!$E$1&amp;"-"&amp;ROW(X15),基本資料填寫!$E:$EU,COLUMN(基本資料填寫!AB15),0),"")</f>
        <v/>
      </c>
    </row>
    <row r="18" spans="1:14" x14ac:dyDescent="0.3">
      <c r="A18" s="232" t="str">
        <f>IF(E18="","",COUNTA($E$3:E18))</f>
        <v/>
      </c>
      <c r="B18" s="233" t="str">
        <f>IFERROR(VLOOKUP(基本資料填寫!$E$1&amp;"-"&amp;ROW(F16),基本資料填寫!$E:$EU,COLUMN(基本資料填寫!F16),0),"")</f>
        <v/>
      </c>
      <c r="C18" s="233" t="str">
        <f>IFERROR(VLOOKUP(基本資料填寫!$E$1&amp;"-"&amp;ROW(K16),基本資料填寫!$E:$EU,COLUMN(基本資料填寫!K16),0),"")</f>
        <v/>
      </c>
      <c r="D18" s="233" t="str">
        <f>IFERROR(VLOOKUP(基本資料填寫!$E$1&amp;"-"&amp;ROW(H16),基本資料填寫!$E:$EU,COLUMN(基本資料填寫!L16),0),"")</f>
        <v/>
      </c>
      <c r="E18" s="233" t="str">
        <f>IFERROR(VLOOKUP(基本資料填寫!$E$1&amp;"-"&amp;ROW(I16),基本資料填寫!$E:$EU,COLUMN(基本資料填寫!M16),0),"")</f>
        <v/>
      </c>
      <c r="F18" s="233" t="str">
        <f>IFERROR(VLOOKUP(基本資料填寫!$E$1&amp;"-"&amp;ROW(O16),基本資料填寫!$E:$EU,COLUMN(基本資料填寫!S16),0),"")</f>
        <v/>
      </c>
      <c r="G18" s="233" t="str">
        <f>IFERROR(VLOOKUP(基本資料填寫!$E$1&amp;"-"&amp;ROW(P16),基本資料填寫!$E:$EU,COLUMN(基本資料填寫!T16),0),"")</f>
        <v/>
      </c>
      <c r="H18" s="233" t="str">
        <f>IFERROR(VLOOKUP(基本資料填寫!$E$1&amp;"-"&amp;ROW(R16),基本資料填寫!$E:$EU,COLUMN(基本資料填寫!V16),0),"")</f>
        <v/>
      </c>
      <c r="I18" s="233" t="str">
        <f>IFERROR(VLOOKUP(基本資料填寫!$E$1&amp;"-"&amp;ROW(S16),基本資料填寫!$E:$EU,COLUMN(基本資料填寫!W16),0),"")</f>
        <v/>
      </c>
      <c r="J18" s="233" t="str">
        <f>IFERROR(VLOOKUP(基本資料填寫!$E$1&amp;"-"&amp;ROW(T16),基本資料填寫!$E:$EU,COLUMN(基本資料填寫!X16),0),"")</f>
        <v/>
      </c>
      <c r="K18" s="233" t="str">
        <f>IFERROR(VLOOKUP(基本資料填寫!$E$1&amp;"-"&amp;ROW(U16),基本資料填寫!$E:$EU,COLUMN(基本資料填寫!Y16),0),"")</f>
        <v/>
      </c>
      <c r="L18" s="233" t="str">
        <f>IFERROR(VLOOKUP(基本資料填寫!$E$1&amp;"-"&amp;ROW(V16),基本資料填寫!$E:$EU,COLUMN(基本資料填寫!Z16),0),"")</f>
        <v/>
      </c>
      <c r="M18" s="233" t="str">
        <f>IFERROR(VLOOKUP(基本資料填寫!$E$1&amp;"-"&amp;ROW(W16),基本資料填寫!$E:$EU,COLUMN(基本資料填寫!AA16),0),"")</f>
        <v/>
      </c>
      <c r="N18" s="233" t="str">
        <f>IFERROR(VLOOKUP(基本資料填寫!$E$1&amp;"-"&amp;ROW(X16),基本資料填寫!$E:$EU,COLUMN(基本資料填寫!AB16),0),"")</f>
        <v/>
      </c>
    </row>
    <row r="19" spans="1:14" x14ac:dyDescent="0.3">
      <c r="A19" s="232" t="str">
        <f>IF(E19="","",COUNTA($E$3:E19))</f>
        <v/>
      </c>
      <c r="B19" s="233" t="str">
        <f>IFERROR(VLOOKUP(基本資料填寫!$E$1&amp;"-"&amp;ROW(F17),基本資料填寫!$E:$EU,COLUMN(基本資料填寫!F17),0),"")</f>
        <v/>
      </c>
      <c r="C19" s="233" t="str">
        <f>IFERROR(VLOOKUP(基本資料填寫!$E$1&amp;"-"&amp;ROW(K17),基本資料填寫!$E:$EU,COLUMN(基本資料填寫!K17),0),"")</f>
        <v/>
      </c>
      <c r="D19" s="233" t="str">
        <f>IFERROR(VLOOKUP(基本資料填寫!$E$1&amp;"-"&amp;ROW(H17),基本資料填寫!$E:$EU,COLUMN(基本資料填寫!L17),0),"")</f>
        <v/>
      </c>
      <c r="E19" s="233" t="str">
        <f>IFERROR(VLOOKUP(基本資料填寫!$E$1&amp;"-"&amp;ROW(I17),基本資料填寫!$E:$EU,COLUMN(基本資料填寫!M17),0),"")</f>
        <v/>
      </c>
      <c r="F19" s="233" t="str">
        <f>IFERROR(VLOOKUP(基本資料填寫!$E$1&amp;"-"&amp;ROW(O17),基本資料填寫!$E:$EU,COLUMN(基本資料填寫!S17),0),"")</f>
        <v/>
      </c>
      <c r="G19" s="233" t="str">
        <f>IFERROR(VLOOKUP(基本資料填寫!$E$1&amp;"-"&amp;ROW(P17),基本資料填寫!$E:$EU,COLUMN(基本資料填寫!T17),0),"")</f>
        <v/>
      </c>
      <c r="H19" s="233" t="str">
        <f>IFERROR(VLOOKUP(基本資料填寫!$E$1&amp;"-"&amp;ROW(R17),基本資料填寫!$E:$EU,COLUMN(基本資料填寫!V17),0),"")</f>
        <v/>
      </c>
      <c r="I19" s="233" t="str">
        <f>IFERROR(VLOOKUP(基本資料填寫!$E$1&amp;"-"&amp;ROW(S17),基本資料填寫!$E:$EU,COLUMN(基本資料填寫!W17),0),"")</f>
        <v/>
      </c>
      <c r="J19" s="233" t="str">
        <f>IFERROR(VLOOKUP(基本資料填寫!$E$1&amp;"-"&amp;ROW(T17),基本資料填寫!$E:$EU,COLUMN(基本資料填寫!X17),0),"")</f>
        <v/>
      </c>
      <c r="K19" s="233" t="str">
        <f>IFERROR(VLOOKUP(基本資料填寫!$E$1&amp;"-"&amp;ROW(U17),基本資料填寫!$E:$EU,COLUMN(基本資料填寫!Y17),0),"")</f>
        <v/>
      </c>
      <c r="L19" s="233" t="str">
        <f>IFERROR(VLOOKUP(基本資料填寫!$E$1&amp;"-"&amp;ROW(V17),基本資料填寫!$E:$EU,COLUMN(基本資料填寫!Z17),0),"")</f>
        <v/>
      </c>
      <c r="M19" s="233" t="str">
        <f>IFERROR(VLOOKUP(基本資料填寫!$E$1&amp;"-"&amp;ROW(W17),基本資料填寫!$E:$EU,COLUMN(基本資料填寫!AA17),0),"")</f>
        <v/>
      </c>
      <c r="N19" s="233" t="str">
        <f>IFERROR(VLOOKUP(基本資料填寫!$E$1&amp;"-"&amp;ROW(X17),基本資料填寫!$E:$EU,COLUMN(基本資料填寫!AB17),0),"")</f>
        <v/>
      </c>
    </row>
    <row r="20" spans="1:14" x14ac:dyDescent="0.3">
      <c r="A20" s="232" t="str">
        <f>IF(E20="","",COUNTA($E$3:E20))</f>
        <v/>
      </c>
      <c r="B20" s="233" t="str">
        <f>IFERROR(VLOOKUP(基本資料填寫!$E$1&amp;"-"&amp;ROW(F18),基本資料填寫!$E:$EU,COLUMN(基本資料填寫!F18),0),"")</f>
        <v/>
      </c>
      <c r="C20" s="233" t="str">
        <f>IFERROR(VLOOKUP(基本資料填寫!$E$1&amp;"-"&amp;ROW(K18),基本資料填寫!$E:$EU,COLUMN(基本資料填寫!K18),0),"")</f>
        <v/>
      </c>
      <c r="D20" s="233" t="str">
        <f>IFERROR(VLOOKUP(基本資料填寫!$E$1&amp;"-"&amp;ROW(H18),基本資料填寫!$E:$EU,COLUMN(基本資料填寫!L18),0),"")</f>
        <v/>
      </c>
      <c r="E20" s="233" t="str">
        <f>IFERROR(VLOOKUP(基本資料填寫!$E$1&amp;"-"&amp;ROW(I18),基本資料填寫!$E:$EU,COLUMN(基本資料填寫!M18),0),"")</f>
        <v/>
      </c>
      <c r="F20" s="233" t="str">
        <f>IFERROR(VLOOKUP(基本資料填寫!$E$1&amp;"-"&amp;ROW(O18),基本資料填寫!$E:$EU,COLUMN(基本資料填寫!S18),0),"")</f>
        <v/>
      </c>
      <c r="G20" s="233" t="str">
        <f>IFERROR(VLOOKUP(基本資料填寫!$E$1&amp;"-"&amp;ROW(P18),基本資料填寫!$E:$EU,COLUMN(基本資料填寫!T18),0),"")</f>
        <v/>
      </c>
      <c r="H20" s="233" t="str">
        <f>IFERROR(VLOOKUP(基本資料填寫!$E$1&amp;"-"&amp;ROW(R18),基本資料填寫!$E:$EU,COLUMN(基本資料填寫!V18),0),"")</f>
        <v/>
      </c>
      <c r="I20" s="233" t="str">
        <f>IFERROR(VLOOKUP(基本資料填寫!$E$1&amp;"-"&amp;ROW(S18),基本資料填寫!$E:$EU,COLUMN(基本資料填寫!W18),0),"")</f>
        <v/>
      </c>
      <c r="J20" s="233" t="str">
        <f>IFERROR(VLOOKUP(基本資料填寫!$E$1&amp;"-"&amp;ROW(T18),基本資料填寫!$E:$EU,COLUMN(基本資料填寫!X18),0),"")</f>
        <v/>
      </c>
      <c r="K20" s="233" t="str">
        <f>IFERROR(VLOOKUP(基本資料填寫!$E$1&amp;"-"&amp;ROW(U18),基本資料填寫!$E:$EU,COLUMN(基本資料填寫!Y18),0),"")</f>
        <v/>
      </c>
      <c r="L20" s="233" t="str">
        <f>IFERROR(VLOOKUP(基本資料填寫!$E$1&amp;"-"&amp;ROW(V18),基本資料填寫!$E:$EU,COLUMN(基本資料填寫!Z18),0),"")</f>
        <v/>
      </c>
      <c r="M20" s="233" t="str">
        <f>IFERROR(VLOOKUP(基本資料填寫!$E$1&amp;"-"&amp;ROW(W18),基本資料填寫!$E:$EU,COLUMN(基本資料填寫!AA18),0),"")</f>
        <v/>
      </c>
      <c r="N20" s="233" t="str">
        <f>IFERROR(VLOOKUP(基本資料填寫!$E$1&amp;"-"&amp;ROW(X18),基本資料填寫!$E:$EU,COLUMN(基本資料填寫!AB18),0),"")</f>
        <v/>
      </c>
    </row>
    <row r="21" spans="1:14" x14ac:dyDescent="0.3">
      <c r="A21" s="232" t="str">
        <f>IF(E21="","",COUNTA($E$3:E21))</f>
        <v/>
      </c>
      <c r="B21" s="233" t="str">
        <f>IFERROR(VLOOKUP(基本資料填寫!$E$1&amp;"-"&amp;ROW(F19),基本資料填寫!$E:$EU,COLUMN(基本資料填寫!F19),0),"")</f>
        <v/>
      </c>
      <c r="C21" s="233" t="str">
        <f>IFERROR(VLOOKUP(基本資料填寫!$E$1&amp;"-"&amp;ROW(K19),基本資料填寫!$E:$EU,COLUMN(基本資料填寫!K19),0),"")</f>
        <v/>
      </c>
      <c r="D21" s="233" t="str">
        <f>IFERROR(VLOOKUP(基本資料填寫!$E$1&amp;"-"&amp;ROW(H19),基本資料填寫!$E:$EU,COLUMN(基本資料填寫!L19),0),"")</f>
        <v/>
      </c>
      <c r="E21" s="233" t="str">
        <f>IFERROR(VLOOKUP(基本資料填寫!$E$1&amp;"-"&amp;ROW(I19),基本資料填寫!$E:$EU,COLUMN(基本資料填寫!M19),0),"")</f>
        <v/>
      </c>
      <c r="F21" s="233" t="str">
        <f>IFERROR(VLOOKUP(基本資料填寫!$E$1&amp;"-"&amp;ROW(O19),基本資料填寫!$E:$EU,COLUMN(基本資料填寫!S19),0),"")</f>
        <v/>
      </c>
      <c r="G21" s="233" t="str">
        <f>IFERROR(VLOOKUP(基本資料填寫!$E$1&amp;"-"&amp;ROW(P19),基本資料填寫!$E:$EU,COLUMN(基本資料填寫!T19),0),"")</f>
        <v/>
      </c>
      <c r="H21" s="233" t="str">
        <f>IFERROR(VLOOKUP(基本資料填寫!$E$1&amp;"-"&amp;ROW(R19),基本資料填寫!$E:$EU,COLUMN(基本資料填寫!V19),0),"")</f>
        <v/>
      </c>
      <c r="I21" s="233" t="str">
        <f>IFERROR(VLOOKUP(基本資料填寫!$E$1&amp;"-"&amp;ROW(S19),基本資料填寫!$E:$EU,COLUMN(基本資料填寫!W19),0),"")</f>
        <v/>
      </c>
      <c r="J21" s="233" t="str">
        <f>IFERROR(VLOOKUP(基本資料填寫!$E$1&amp;"-"&amp;ROW(T19),基本資料填寫!$E:$EU,COLUMN(基本資料填寫!X19),0),"")</f>
        <v/>
      </c>
      <c r="K21" s="233" t="str">
        <f>IFERROR(VLOOKUP(基本資料填寫!$E$1&amp;"-"&amp;ROW(U19),基本資料填寫!$E:$EU,COLUMN(基本資料填寫!Y19),0),"")</f>
        <v/>
      </c>
      <c r="L21" s="233" t="str">
        <f>IFERROR(VLOOKUP(基本資料填寫!$E$1&amp;"-"&amp;ROW(V19),基本資料填寫!$E:$EU,COLUMN(基本資料填寫!Z19),0),"")</f>
        <v/>
      </c>
      <c r="M21" s="233" t="str">
        <f>IFERROR(VLOOKUP(基本資料填寫!$E$1&amp;"-"&amp;ROW(W19),基本資料填寫!$E:$EU,COLUMN(基本資料填寫!AA19),0),"")</f>
        <v/>
      </c>
      <c r="N21" s="233" t="str">
        <f>IFERROR(VLOOKUP(基本資料填寫!$E$1&amp;"-"&amp;ROW(X19),基本資料填寫!$E:$EU,COLUMN(基本資料填寫!AB19),0),"")</f>
        <v/>
      </c>
    </row>
    <row r="22" spans="1:14" x14ac:dyDescent="0.3">
      <c r="A22" s="232" t="str">
        <f>IF(E22="","",COUNTA($E$3:E22))</f>
        <v/>
      </c>
      <c r="B22" s="233" t="str">
        <f>IFERROR(VLOOKUP(基本資料填寫!$E$1&amp;"-"&amp;ROW(F20),基本資料填寫!$E:$EU,COLUMN(基本資料填寫!F20),0),"")</f>
        <v/>
      </c>
      <c r="C22" s="233" t="str">
        <f>IFERROR(VLOOKUP(基本資料填寫!$E$1&amp;"-"&amp;ROW(K20),基本資料填寫!$E:$EU,COLUMN(基本資料填寫!K20),0),"")</f>
        <v/>
      </c>
      <c r="D22" s="233" t="str">
        <f>IFERROR(VLOOKUP(基本資料填寫!$E$1&amp;"-"&amp;ROW(H20),基本資料填寫!$E:$EU,COLUMN(基本資料填寫!L20),0),"")</f>
        <v/>
      </c>
      <c r="E22" s="233" t="str">
        <f>IFERROR(VLOOKUP(基本資料填寫!$E$1&amp;"-"&amp;ROW(I20),基本資料填寫!$E:$EU,COLUMN(基本資料填寫!M20),0),"")</f>
        <v/>
      </c>
      <c r="F22" s="233" t="str">
        <f>IFERROR(VLOOKUP(基本資料填寫!$E$1&amp;"-"&amp;ROW(O20),基本資料填寫!$E:$EU,COLUMN(基本資料填寫!S20),0),"")</f>
        <v/>
      </c>
      <c r="G22" s="233" t="str">
        <f>IFERROR(VLOOKUP(基本資料填寫!$E$1&amp;"-"&amp;ROW(P20),基本資料填寫!$E:$EU,COLUMN(基本資料填寫!T20),0),"")</f>
        <v/>
      </c>
      <c r="H22" s="233" t="str">
        <f>IFERROR(VLOOKUP(基本資料填寫!$E$1&amp;"-"&amp;ROW(R20),基本資料填寫!$E:$EU,COLUMN(基本資料填寫!V20),0),"")</f>
        <v/>
      </c>
      <c r="I22" s="233" t="str">
        <f>IFERROR(VLOOKUP(基本資料填寫!$E$1&amp;"-"&amp;ROW(S20),基本資料填寫!$E:$EU,COLUMN(基本資料填寫!W20),0),"")</f>
        <v/>
      </c>
      <c r="J22" s="233" t="str">
        <f>IFERROR(VLOOKUP(基本資料填寫!$E$1&amp;"-"&amp;ROW(T20),基本資料填寫!$E:$EU,COLUMN(基本資料填寫!X20),0),"")</f>
        <v/>
      </c>
      <c r="K22" s="233" t="str">
        <f>IFERROR(VLOOKUP(基本資料填寫!$E$1&amp;"-"&amp;ROW(U20),基本資料填寫!$E:$EU,COLUMN(基本資料填寫!Y20),0),"")</f>
        <v/>
      </c>
      <c r="L22" s="233" t="str">
        <f>IFERROR(VLOOKUP(基本資料填寫!$E$1&amp;"-"&amp;ROW(V20),基本資料填寫!$E:$EU,COLUMN(基本資料填寫!Z20),0),"")</f>
        <v/>
      </c>
      <c r="M22" s="233" t="str">
        <f>IFERROR(VLOOKUP(基本資料填寫!$E$1&amp;"-"&amp;ROW(W20),基本資料填寫!$E:$EU,COLUMN(基本資料填寫!AA20),0),"")</f>
        <v/>
      </c>
      <c r="N22" s="233" t="str">
        <f>IFERROR(VLOOKUP(基本資料填寫!$E$1&amp;"-"&amp;ROW(X20),基本資料填寫!$E:$EU,COLUMN(基本資料填寫!AB20),0),"")</f>
        <v/>
      </c>
    </row>
    <row r="23" spans="1:14" x14ac:dyDescent="0.3">
      <c r="A23" s="232" t="str">
        <f>IF(E23="","",COUNTA($E$3:E23))</f>
        <v/>
      </c>
      <c r="B23" s="233" t="str">
        <f>IFERROR(VLOOKUP(基本資料填寫!$E$1&amp;"-"&amp;ROW(F21),基本資料填寫!$E:$EU,COLUMN(基本資料填寫!F21),0),"")</f>
        <v/>
      </c>
      <c r="C23" s="233" t="str">
        <f>IFERROR(VLOOKUP(基本資料填寫!$E$1&amp;"-"&amp;ROW(K21),基本資料填寫!$E:$EU,COLUMN(基本資料填寫!K21),0),"")</f>
        <v/>
      </c>
      <c r="D23" s="233" t="str">
        <f>IFERROR(VLOOKUP(基本資料填寫!$E$1&amp;"-"&amp;ROW(H21),基本資料填寫!$E:$EU,COLUMN(基本資料填寫!L21),0),"")</f>
        <v/>
      </c>
      <c r="E23" s="233" t="str">
        <f>IFERROR(VLOOKUP(基本資料填寫!$E$1&amp;"-"&amp;ROW(I21),基本資料填寫!$E:$EU,COLUMN(基本資料填寫!M21),0),"")</f>
        <v/>
      </c>
      <c r="F23" s="233" t="str">
        <f>IFERROR(VLOOKUP(基本資料填寫!$E$1&amp;"-"&amp;ROW(O21),基本資料填寫!$E:$EU,COLUMN(基本資料填寫!S21),0),"")</f>
        <v/>
      </c>
      <c r="G23" s="233" t="str">
        <f>IFERROR(VLOOKUP(基本資料填寫!$E$1&amp;"-"&amp;ROW(P21),基本資料填寫!$E:$EU,COLUMN(基本資料填寫!T21),0),"")</f>
        <v/>
      </c>
      <c r="H23" s="233" t="str">
        <f>IFERROR(VLOOKUP(基本資料填寫!$E$1&amp;"-"&amp;ROW(R21),基本資料填寫!$E:$EU,COLUMN(基本資料填寫!V21),0),"")</f>
        <v/>
      </c>
      <c r="I23" s="233" t="str">
        <f>IFERROR(VLOOKUP(基本資料填寫!$E$1&amp;"-"&amp;ROW(S21),基本資料填寫!$E:$EU,COLUMN(基本資料填寫!W21),0),"")</f>
        <v/>
      </c>
      <c r="J23" s="233" t="str">
        <f>IFERROR(VLOOKUP(基本資料填寫!$E$1&amp;"-"&amp;ROW(T21),基本資料填寫!$E:$EU,COLUMN(基本資料填寫!X21),0),"")</f>
        <v/>
      </c>
      <c r="K23" s="233" t="str">
        <f>IFERROR(VLOOKUP(基本資料填寫!$E$1&amp;"-"&amp;ROW(U21),基本資料填寫!$E:$EU,COLUMN(基本資料填寫!Y21),0),"")</f>
        <v/>
      </c>
      <c r="L23" s="233" t="str">
        <f>IFERROR(VLOOKUP(基本資料填寫!$E$1&amp;"-"&amp;ROW(V21),基本資料填寫!$E:$EU,COLUMN(基本資料填寫!Z21),0),"")</f>
        <v/>
      </c>
      <c r="M23" s="233" t="str">
        <f>IFERROR(VLOOKUP(基本資料填寫!$E$1&amp;"-"&amp;ROW(W21),基本資料填寫!$E:$EU,COLUMN(基本資料填寫!AA21),0),"")</f>
        <v/>
      </c>
      <c r="N23" s="233" t="str">
        <f>IFERROR(VLOOKUP(基本資料填寫!$E$1&amp;"-"&amp;ROW(X21),基本資料填寫!$E:$EU,COLUMN(基本資料填寫!AB21),0),"")</f>
        <v/>
      </c>
    </row>
    <row r="24" spans="1:14" x14ac:dyDescent="0.3">
      <c r="A24" s="232" t="str">
        <f>IF(E24="","",COUNTA($E$3:E24))</f>
        <v/>
      </c>
      <c r="B24" s="233" t="str">
        <f>IFERROR(VLOOKUP(基本資料填寫!$E$1&amp;"-"&amp;ROW(F22),基本資料填寫!$E:$EU,COLUMN(基本資料填寫!F22),0),"")</f>
        <v/>
      </c>
      <c r="C24" s="233" t="str">
        <f>IFERROR(VLOOKUP(基本資料填寫!$E$1&amp;"-"&amp;ROW(K22),基本資料填寫!$E:$EU,COLUMN(基本資料填寫!K22),0),"")</f>
        <v/>
      </c>
      <c r="D24" s="233" t="str">
        <f>IFERROR(VLOOKUP(基本資料填寫!$E$1&amp;"-"&amp;ROW(H22),基本資料填寫!$E:$EU,COLUMN(基本資料填寫!L22),0),"")</f>
        <v/>
      </c>
      <c r="E24" s="233" t="str">
        <f>IFERROR(VLOOKUP(基本資料填寫!$E$1&amp;"-"&amp;ROW(I22),基本資料填寫!$E:$EU,COLUMN(基本資料填寫!M22),0),"")</f>
        <v/>
      </c>
      <c r="F24" s="233" t="str">
        <f>IFERROR(VLOOKUP(基本資料填寫!$E$1&amp;"-"&amp;ROW(O22),基本資料填寫!$E:$EU,COLUMN(基本資料填寫!S22),0),"")</f>
        <v/>
      </c>
      <c r="G24" s="233" t="str">
        <f>IFERROR(VLOOKUP(基本資料填寫!$E$1&amp;"-"&amp;ROW(P22),基本資料填寫!$E:$EU,COLUMN(基本資料填寫!T22),0),"")</f>
        <v/>
      </c>
      <c r="H24" s="233" t="str">
        <f>IFERROR(VLOOKUP(基本資料填寫!$E$1&amp;"-"&amp;ROW(R22),基本資料填寫!$E:$EU,COLUMN(基本資料填寫!V22),0),"")</f>
        <v/>
      </c>
      <c r="I24" s="233" t="str">
        <f>IFERROR(VLOOKUP(基本資料填寫!$E$1&amp;"-"&amp;ROW(S22),基本資料填寫!$E:$EU,COLUMN(基本資料填寫!W22),0),"")</f>
        <v/>
      </c>
      <c r="J24" s="233" t="str">
        <f>IFERROR(VLOOKUP(基本資料填寫!$E$1&amp;"-"&amp;ROW(T22),基本資料填寫!$E:$EU,COLUMN(基本資料填寫!X22),0),"")</f>
        <v/>
      </c>
      <c r="K24" s="233" t="str">
        <f>IFERROR(VLOOKUP(基本資料填寫!$E$1&amp;"-"&amp;ROW(U22),基本資料填寫!$E:$EU,COLUMN(基本資料填寫!Y22),0),"")</f>
        <v/>
      </c>
      <c r="L24" s="233" t="str">
        <f>IFERROR(VLOOKUP(基本資料填寫!$E$1&amp;"-"&amp;ROW(V22),基本資料填寫!$E:$EU,COLUMN(基本資料填寫!Z22),0),"")</f>
        <v/>
      </c>
      <c r="M24" s="233" t="str">
        <f>IFERROR(VLOOKUP(基本資料填寫!$E$1&amp;"-"&amp;ROW(W22),基本資料填寫!$E:$EU,COLUMN(基本資料填寫!AA22),0),"")</f>
        <v/>
      </c>
      <c r="N24" s="233" t="str">
        <f>IFERROR(VLOOKUP(基本資料填寫!$E$1&amp;"-"&amp;ROW(X22),基本資料填寫!$E:$EU,COLUMN(基本資料填寫!AB22),0),"")</f>
        <v/>
      </c>
    </row>
    <row r="25" spans="1:14" x14ac:dyDescent="0.3">
      <c r="A25" s="232" t="str">
        <f>IF(E25="","",COUNTA($E$3:E25))</f>
        <v/>
      </c>
      <c r="B25" s="233" t="str">
        <f>IFERROR(VLOOKUP(基本資料填寫!$E$1&amp;"-"&amp;ROW(F23),基本資料填寫!$E:$EU,COLUMN(基本資料填寫!F23),0),"")</f>
        <v/>
      </c>
      <c r="C25" s="233" t="str">
        <f>IFERROR(VLOOKUP(基本資料填寫!$E$1&amp;"-"&amp;ROW(K23),基本資料填寫!$E:$EU,COLUMN(基本資料填寫!K23),0),"")</f>
        <v/>
      </c>
      <c r="D25" s="233" t="str">
        <f>IFERROR(VLOOKUP(基本資料填寫!$E$1&amp;"-"&amp;ROW(H23),基本資料填寫!$E:$EU,COLUMN(基本資料填寫!L23),0),"")</f>
        <v/>
      </c>
      <c r="E25" s="233" t="str">
        <f>IFERROR(VLOOKUP(基本資料填寫!$E$1&amp;"-"&amp;ROW(I23),基本資料填寫!$E:$EU,COLUMN(基本資料填寫!M23),0),"")</f>
        <v/>
      </c>
      <c r="F25" s="233" t="str">
        <f>IFERROR(VLOOKUP(基本資料填寫!$E$1&amp;"-"&amp;ROW(O23),基本資料填寫!$E:$EU,COLUMN(基本資料填寫!S23),0),"")</f>
        <v/>
      </c>
      <c r="G25" s="233" t="str">
        <f>IFERROR(VLOOKUP(基本資料填寫!$E$1&amp;"-"&amp;ROW(P23),基本資料填寫!$E:$EU,COLUMN(基本資料填寫!T23),0),"")</f>
        <v/>
      </c>
      <c r="H25" s="233" t="str">
        <f>IFERROR(VLOOKUP(基本資料填寫!$E$1&amp;"-"&amp;ROW(R23),基本資料填寫!$E:$EU,COLUMN(基本資料填寫!V23),0),"")</f>
        <v/>
      </c>
      <c r="I25" s="233" t="str">
        <f>IFERROR(VLOOKUP(基本資料填寫!$E$1&amp;"-"&amp;ROW(S23),基本資料填寫!$E:$EU,COLUMN(基本資料填寫!W23),0),"")</f>
        <v/>
      </c>
      <c r="J25" s="233" t="str">
        <f>IFERROR(VLOOKUP(基本資料填寫!$E$1&amp;"-"&amp;ROW(T23),基本資料填寫!$E:$EU,COLUMN(基本資料填寫!X23),0),"")</f>
        <v/>
      </c>
      <c r="K25" s="233" t="str">
        <f>IFERROR(VLOOKUP(基本資料填寫!$E$1&amp;"-"&amp;ROW(U23),基本資料填寫!$E:$EU,COLUMN(基本資料填寫!Y23),0),"")</f>
        <v/>
      </c>
      <c r="L25" s="233" t="str">
        <f>IFERROR(VLOOKUP(基本資料填寫!$E$1&amp;"-"&amp;ROW(V23),基本資料填寫!$E:$EU,COLUMN(基本資料填寫!Z23),0),"")</f>
        <v/>
      </c>
      <c r="M25" s="233" t="str">
        <f>IFERROR(VLOOKUP(基本資料填寫!$E$1&amp;"-"&amp;ROW(W23),基本資料填寫!$E:$EU,COLUMN(基本資料填寫!AA23),0),"")</f>
        <v/>
      </c>
      <c r="N25" s="233" t="str">
        <f>IFERROR(VLOOKUP(基本資料填寫!$E$1&amp;"-"&amp;ROW(X23),基本資料填寫!$E:$EU,COLUMN(基本資料填寫!AB23),0),"")</f>
        <v/>
      </c>
    </row>
    <row r="26" spans="1:14" x14ac:dyDescent="0.3">
      <c r="A26" s="232" t="str">
        <f>IF(E26="","",COUNTA($E$3:E26))</f>
        <v/>
      </c>
      <c r="B26" s="233" t="str">
        <f>IFERROR(VLOOKUP(基本資料填寫!$E$1&amp;"-"&amp;ROW(F24),基本資料填寫!$E:$EU,COLUMN(基本資料填寫!F24),0),"")</f>
        <v/>
      </c>
      <c r="C26" s="233" t="str">
        <f>IFERROR(VLOOKUP(基本資料填寫!$E$1&amp;"-"&amp;ROW(K24),基本資料填寫!$E:$EU,COLUMN(基本資料填寫!K24),0),"")</f>
        <v/>
      </c>
      <c r="D26" s="233" t="str">
        <f>IFERROR(VLOOKUP(基本資料填寫!$E$1&amp;"-"&amp;ROW(H24),基本資料填寫!$E:$EU,COLUMN(基本資料填寫!L24),0),"")</f>
        <v/>
      </c>
      <c r="E26" s="233" t="str">
        <f>IFERROR(VLOOKUP(基本資料填寫!$E$1&amp;"-"&amp;ROW(I24),基本資料填寫!$E:$EU,COLUMN(基本資料填寫!M24),0),"")</f>
        <v/>
      </c>
      <c r="F26" s="233" t="str">
        <f>IFERROR(VLOOKUP(基本資料填寫!$E$1&amp;"-"&amp;ROW(O24),基本資料填寫!$E:$EU,COLUMN(基本資料填寫!S24),0),"")</f>
        <v/>
      </c>
      <c r="G26" s="233" t="str">
        <f>IFERROR(VLOOKUP(基本資料填寫!$E$1&amp;"-"&amp;ROW(P24),基本資料填寫!$E:$EU,COLUMN(基本資料填寫!T24),0),"")</f>
        <v/>
      </c>
      <c r="H26" s="233" t="str">
        <f>IFERROR(VLOOKUP(基本資料填寫!$E$1&amp;"-"&amp;ROW(R24),基本資料填寫!$E:$EU,COLUMN(基本資料填寫!V24),0),"")</f>
        <v/>
      </c>
      <c r="I26" s="233" t="str">
        <f>IFERROR(VLOOKUP(基本資料填寫!$E$1&amp;"-"&amp;ROW(S24),基本資料填寫!$E:$EU,COLUMN(基本資料填寫!W24),0),"")</f>
        <v/>
      </c>
      <c r="J26" s="233" t="str">
        <f>IFERROR(VLOOKUP(基本資料填寫!$E$1&amp;"-"&amp;ROW(T24),基本資料填寫!$E:$EU,COLUMN(基本資料填寫!X24),0),"")</f>
        <v/>
      </c>
      <c r="K26" s="233" t="str">
        <f>IFERROR(VLOOKUP(基本資料填寫!$E$1&amp;"-"&amp;ROW(U24),基本資料填寫!$E:$EU,COLUMN(基本資料填寫!Y24),0),"")</f>
        <v/>
      </c>
      <c r="L26" s="233" t="str">
        <f>IFERROR(VLOOKUP(基本資料填寫!$E$1&amp;"-"&amp;ROW(V24),基本資料填寫!$E:$EU,COLUMN(基本資料填寫!Z24),0),"")</f>
        <v/>
      </c>
      <c r="M26" s="233" t="str">
        <f>IFERROR(VLOOKUP(基本資料填寫!$E$1&amp;"-"&amp;ROW(W24),基本資料填寫!$E:$EU,COLUMN(基本資料填寫!AA24),0),"")</f>
        <v/>
      </c>
      <c r="N26" s="233" t="str">
        <f>IFERROR(VLOOKUP(基本資料填寫!$E$1&amp;"-"&amp;ROW(X24),基本資料填寫!$E:$EU,COLUMN(基本資料填寫!AB24),0),"")</f>
        <v/>
      </c>
    </row>
    <row r="27" spans="1:14" x14ac:dyDescent="0.3">
      <c r="A27" s="232" t="str">
        <f>IF(E27="","",COUNTA($E$3:E27))</f>
        <v/>
      </c>
      <c r="B27" s="233" t="str">
        <f>IFERROR(VLOOKUP(基本資料填寫!$E$1&amp;"-"&amp;ROW(F25),基本資料填寫!$E:$EU,COLUMN(基本資料填寫!F25),0),"")</f>
        <v/>
      </c>
      <c r="C27" s="233" t="str">
        <f>IFERROR(VLOOKUP(基本資料填寫!$E$1&amp;"-"&amp;ROW(K25),基本資料填寫!$E:$EU,COLUMN(基本資料填寫!K25),0),"")</f>
        <v/>
      </c>
      <c r="D27" s="233" t="str">
        <f>IFERROR(VLOOKUP(基本資料填寫!$E$1&amp;"-"&amp;ROW(H25),基本資料填寫!$E:$EU,COLUMN(基本資料填寫!L25),0),"")</f>
        <v/>
      </c>
      <c r="E27" s="233" t="str">
        <f>IFERROR(VLOOKUP(基本資料填寫!$E$1&amp;"-"&amp;ROW(I25),基本資料填寫!$E:$EU,COLUMN(基本資料填寫!M25),0),"")</f>
        <v/>
      </c>
      <c r="F27" s="233" t="str">
        <f>IFERROR(VLOOKUP(基本資料填寫!$E$1&amp;"-"&amp;ROW(O25),基本資料填寫!$E:$EU,COLUMN(基本資料填寫!S25),0),"")</f>
        <v/>
      </c>
      <c r="G27" s="233" t="str">
        <f>IFERROR(VLOOKUP(基本資料填寫!$E$1&amp;"-"&amp;ROW(P25),基本資料填寫!$E:$EU,COLUMN(基本資料填寫!T25),0),"")</f>
        <v/>
      </c>
      <c r="H27" s="233" t="str">
        <f>IFERROR(VLOOKUP(基本資料填寫!$E$1&amp;"-"&amp;ROW(R25),基本資料填寫!$E:$EU,COLUMN(基本資料填寫!V25),0),"")</f>
        <v/>
      </c>
      <c r="I27" s="233" t="str">
        <f>IFERROR(VLOOKUP(基本資料填寫!$E$1&amp;"-"&amp;ROW(S25),基本資料填寫!$E:$EU,COLUMN(基本資料填寫!W25),0),"")</f>
        <v/>
      </c>
      <c r="J27" s="233" t="str">
        <f>IFERROR(VLOOKUP(基本資料填寫!$E$1&amp;"-"&amp;ROW(T25),基本資料填寫!$E:$EU,COLUMN(基本資料填寫!X25),0),"")</f>
        <v/>
      </c>
      <c r="K27" s="233" t="str">
        <f>IFERROR(VLOOKUP(基本資料填寫!$E$1&amp;"-"&amp;ROW(U25),基本資料填寫!$E:$EU,COLUMN(基本資料填寫!Y25),0),"")</f>
        <v/>
      </c>
      <c r="L27" s="233" t="str">
        <f>IFERROR(VLOOKUP(基本資料填寫!$E$1&amp;"-"&amp;ROW(V25),基本資料填寫!$E:$EU,COLUMN(基本資料填寫!Z25),0),"")</f>
        <v/>
      </c>
      <c r="M27" s="233" t="str">
        <f>IFERROR(VLOOKUP(基本資料填寫!$E$1&amp;"-"&amp;ROW(W25),基本資料填寫!$E:$EU,COLUMN(基本資料填寫!AA25),0),"")</f>
        <v/>
      </c>
      <c r="N27" s="233" t="str">
        <f>IFERROR(VLOOKUP(基本資料填寫!$E$1&amp;"-"&amp;ROW(X25),基本資料填寫!$E:$EU,COLUMN(基本資料填寫!AB25),0),"")</f>
        <v/>
      </c>
    </row>
    <row r="28" spans="1:14" x14ac:dyDescent="0.3">
      <c r="A28" s="232" t="str">
        <f>IF(E28="","",COUNTA($E$3:E28))</f>
        <v/>
      </c>
      <c r="B28" s="233" t="str">
        <f>IFERROR(VLOOKUP(基本資料填寫!$E$1&amp;"-"&amp;ROW(F26),基本資料填寫!$E:$EU,COLUMN(基本資料填寫!F26),0),"")</f>
        <v/>
      </c>
      <c r="C28" s="233" t="str">
        <f>IFERROR(VLOOKUP(基本資料填寫!$E$1&amp;"-"&amp;ROW(K26),基本資料填寫!$E:$EU,COLUMN(基本資料填寫!K26),0),"")</f>
        <v/>
      </c>
      <c r="D28" s="233" t="str">
        <f>IFERROR(VLOOKUP(基本資料填寫!$E$1&amp;"-"&amp;ROW(H26),基本資料填寫!$E:$EU,COLUMN(基本資料填寫!L26),0),"")</f>
        <v/>
      </c>
      <c r="E28" s="233" t="str">
        <f>IFERROR(VLOOKUP(基本資料填寫!$E$1&amp;"-"&amp;ROW(I26),基本資料填寫!$E:$EU,COLUMN(基本資料填寫!M26),0),"")</f>
        <v/>
      </c>
      <c r="F28" s="233" t="str">
        <f>IFERROR(VLOOKUP(基本資料填寫!$E$1&amp;"-"&amp;ROW(O26),基本資料填寫!$E:$EU,COLUMN(基本資料填寫!S26),0),"")</f>
        <v/>
      </c>
      <c r="G28" s="233" t="str">
        <f>IFERROR(VLOOKUP(基本資料填寫!$E$1&amp;"-"&amp;ROW(P26),基本資料填寫!$E:$EU,COLUMN(基本資料填寫!T26),0),"")</f>
        <v/>
      </c>
      <c r="H28" s="233" t="str">
        <f>IFERROR(VLOOKUP(基本資料填寫!$E$1&amp;"-"&amp;ROW(R26),基本資料填寫!$E:$EU,COLUMN(基本資料填寫!V26),0),"")</f>
        <v/>
      </c>
      <c r="I28" s="233" t="str">
        <f>IFERROR(VLOOKUP(基本資料填寫!$E$1&amp;"-"&amp;ROW(S26),基本資料填寫!$E:$EU,COLUMN(基本資料填寫!W26),0),"")</f>
        <v/>
      </c>
      <c r="J28" s="233" t="str">
        <f>IFERROR(VLOOKUP(基本資料填寫!$E$1&amp;"-"&amp;ROW(T26),基本資料填寫!$E:$EU,COLUMN(基本資料填寫!X26),0),"")</f>
        <v/>
      </c>
      <c r="K28" s="233" t="str">
        <f>IFERROR(VLOOKUP(基本資料填寫!$E$1&amp;"-"&amp;ROW(U26),基本資料填寫!$E:$EU,COLUMN(基本資料填寫!Y26),0),"")</f>
        <v/>
      </c>
      <c r="L28" s="233" t="str">
        <f>IFERROR(VLOOKUP(基本資料填寫!$E$1&amp;"-"&amp;ROW(V26),基本資料填寫!$E:$EU,COLUMN(基本資料填寫!Z26),0),"")</f>
        <v/>
      </c>
      <c r="M28" s="233" t="str">
        <f>IFERROR(VLOOKUP(基本資料填寫!$E$1&amp;"-"&amp;ROW(W26),基本資料填寫!$E:$EU,COLUMN(基本資料填寫!AA26),0),"")</f>
        <v/>
      </c>
      <c r="N28" s="233" t="str">
        <f>IFERROR(VLOOKUP(基本資料填寫!$E$1&amp;"-"&amp;ROW(X26),基本資料填寫!$E:$EU,COLUMN(基本資料填寫!AB26),0),"")</f>
        <v/>
      </c>
    </row>
    <row r="29" spans="1:14" x14ac:dyDescent="0.3">
      <c r="A29" s="232" t="str">
        <f>IF(E29="","",COUNTA($E$3:E29))</f>
        <v/>
      </c>
      <c r="B29" s="233" t="str">
        <f>IFERROR(VLOOKUP(基本資料填寫!$E$1&amp;"-"&amp;ROW(F27),基本資料填寫!$E:$EU,COLUMN(基本資料填寫!F27),0),"")</f>
        <v/>
      </c>
      <c r="C29" s="233" t="str">
        <f>IFERROR(VLOOKUP(基本資料填寫!$E$1&amp;"-"&amp;ROW(K27),基本資料填寫!$E:$EU,COLUMN(基本資料填寫!K27),0),"")</f>
        <v/>
      </c>
      <c r="D29" s="233" t="str">
        <f>IFERROR(VLOOKUP(基本資料填寫!$E$1&amp;"-"&amp;ROW(H27),基本資料填寫!$E:$EU,COLUMN(基本資料填寫!L27),0),"")</f>
        <v/>
      </c>
      <c r="E29" s="233" t="str">
        <f>IFERROR(VLOOKUP(基本資料填寫!$E$1&amp;"-"&amp;ROW(I27),基本資料填寫!$E:$EU,COLUMN(基本資料填寫!M27),0),"")</f>
        <v/>
      </c>
      <c r="F29" s="233" t="str">
        <f>IFERROR(VLOOKUP(基本資料填寫!$E$1&amp;"-"&amp;ROW(O27),基本資料填寫!$E:$EU,COLUMN(基本資料填寫!S27),0),"")</f>
        <v/>
      </c>
      <c r="G29" s="233" t="str">
        <f>IFERROR(VLOOKUP(基本資料填寫!$E$1&amp;"-"&amp;ROW(P27),基本資料填寫!$E:$EU,COLUMN(基本資料填寫!T27),0),"")</f>
        <v/>
      </c>
      <c r="H29" s="233" t="str">
        <f>IFERROR(VLOOKUP(基本資料填寫!$E$1&amp;"-"&amp;ROW(R27),基本資料填寫!$E:$EU,COLUMN(基本資料填寫!V27),0),"")</f>
        <v/>
      </c>
      <c r="I29" s="233" t="str">
        <f>IFERROR(VLOOKUP(基本資料填寫!$E$1&amp;"-"&amp;ROW(S27),基本資料填寫!$E:$EU,COLUMN(基本資料填寫!W27),0),"")</f>
        <v/>
      </c>
      <c r="J29" s="233" t="str">
        <f>IFERROR(VLOOKUP(基本資料填寫!$E$1&amp;"-"&amp;ROW(T27),基本資料填寫!$E:$EU,COLUMN(基本資料填寫!X27),0),"")</f>
        <v/>
      </c>
      <c r="K29" s="233" t="str">
        <f>IFERROR(VLOOKUP(基本資料填寫!$E$1&amp;"-"&amp;ROW(U27),基本資料填寫!$E:$EU,COLUMN(基本資料填寫!Y27),0),"")</f>
        <v/>
      </c>
      <c r="L29" s="233" t="str">
        <f>IFERROR(VLOOKUP(基本資料填寫!$E$1&amp;"-"&amp;ROW(V27),基本資料填寫!$E:$EU,COLUMN(基本資料填寫!Z27),0),"")</f>
        <v/>
      </c>
      <c r="M29" s="233" t="str">
        <f>IFERROR(VLOOKUP(基本資料填寫!$E$1&amp;"-"&amp;ROW(W27),基本資料填寫!$E:$EU,COLUMN(基本資料填寫!AA27),0),"")</f>
        <v/>
      </c>
      <c r="N29" s="233" t="str">
        <f>IFERROR(VLOOKUP(基本資料填寫!$E$1&amp;"-"&amp;ROW(X27),基本資料填寫!$E:$EU,COLUMN(基本資料填寫!AB27),0),"")</f>
        <v/>
      </c>
    </row>
    <row r="30" spans="1:14" x14ac:dyDescent="0.3">
      <c r="A30" s="232" t="str">
        <f>IF(E30="","",COUNTA($E$3:E30))</f>
        <v/>
      </c>
      <c r="B30" s="233" t="str">
        <f>IFERROR(VLOOKUP(基本資料填寫!$E$1&amp;"-"&amp;ROW(F28),基本資料填寫!$E:$EU,COLUMN(基本資料填寫!F28),0),"")</f>
        <v/>
      </c>
      <c r="C30" s="233" t="str">
        <f>IFERROR(VLOOKUP(基本資料填寫!$E$1&amp;"-"&amp;ROW(K28),基本資料填寫!$E:$EU,COLUMN(基本資料填寫!K28),0),"")</f>
        <v/>
      </c>
      <c r="D30" s="233" t="str">
        <f>IFERROR(VLOOKUP(基本資料填寫!$E$1&amp;"-"&amp;ROW(H28),基本資料填寫!$E:$EU,COLUMN(基本資料填寫!L28),0),"")</f>
        <v/>
      </c>
      <c r="E30" s="233" t="str">
        <f>IFERROR(VLOOKUP(基本資料填寫!$E$1&amp;"-"&amp;ROW(I28),基本資料填寫!$E:$EU,COLUMN(基本資料填寫!M28),0),"")</f>
        <v/>
      </c>
      <c r="F30" s="233" t="str">
        <f>IFERROR(VLOOKUP(基本資料填寫!$E$1&amp;"-"&amp;ROW(O28),基本資料填寫!$E:$EU,COLUMN(基本資料填寫!S28),0),"")</f>
        <v/>
      </c>
      <c r="G30" s="233" t="str">
        <f>IFERROR(VLOOKUP(基本資料填寫!$E$1&amp;"-"&amp;ROW(P28),基本資料填寫!$E:$EU,COLUMN(基本資料填寫!T28),0),"")</f>
        <v/>
      </c>
      <c r="H30" s="233" t="str">
        <f>IFERROR(VLOOKUP(基本資料填寫!$E$1&amp;"-"&amp;ROW(R28),基本資料填寫!$E:$EU,COLUMN(基本資料填寫!V28),0),"")</f>
        <v/>
      </c>
      <c r="I30" s="233" t="str">
        <f>IFERROR(VLOOKUP(基本資料填寫!$E$1&amp;"-"&amp;ROW(S28),基本資料填寫!$E:$EU,COLUMN(基本資料填寫!W28),0),"")</f>
        <v/>
      </c>
      <c r="J30" s="233" t="str">
        <f>IFERROR(VLOOKUP(基本資料填寫!$E$1&amp;"-"&amp;ROW(T28),基本資料填寫!$E:$EU,COLUMN(基本資料填寫!X28),0),"")</f>
        <v/>
      </c>
      <c r="K30" s="233" t="str">
        <f>IFERROR(VLOOKUP(基本資料填寫!$E$1&amp;"-"&amp;ROW(U28),基本資料填寫!$E:$EU,COLUMN(基本資料填寫!Y28),0),"")</f>
        <v/>
      </c>
      <c r="L30" s="233" t="str">
        <f>IFERROR(VLOOKUP(基本資料填寫!$E$1&amp;"-"&amp;ROW(V28),基本資料填寫!$E:$EU,COLUMN(基本資料填寫!Z28),0),"")</f>
        <v/>
      </c>
      <c r="M30" s="233" t="str">
        <f>IFERROR(VLOOKUP(基本資料填寫!$E$1&amp;"-"&amp;ROW(W28),基本資料填寫!$E:$EU,COLUMN(基本資料填寫!AA28),0),"")</f>
        <v/>
      </c>
      <c r="N30" s="233" t="str">
        <f>IFERROR(VLOOKUP(基本資料填寫!$E$1&amp;"-"&amp;ROW(X28),基本資料填寫!$E:$EU,COLUMN(基本資料填寫!AB28),0),"")</f>
        <v/>
      </c>
    </row>
    <row r="31" spans="1:14" x14ac:dyDescent="0.3">
      <c r="A31" s="232" t="str">
        <f>IF(E31="","",COUNTA($E$3:E31))</f>
        <v/>
      </c>
      <c r="B31" s="233" t="str">
        <f>IFERROR(VLOOKUP(基本資料填寫!$E$1&amp;"-"&amp;ROW(F29),基本資料填寫!$E:$EU,COLUMN(基本資料填寫!F29),0),"")</f>
        <v/>
      </c>
      <c r="C31" s="233" t="str">
        <f>IFERROR(VLOOKUP(基本資料填寫!$E$1&amp;"-"&amp;ROW(K29),基本資料填寫!$E:$EU,COLUMN(基本資料填寫!K29),0),"")</f>
        <v/>
      </c>
      <c r="D31" s="233" t="str">
        <f>IFERROR(VLOOKUP(基本資料填寫!$E$1&amp;"-"&amp;ROW(H29),基本資料填寫!$E:$EU,COLUMN(基本資料填寫!L29),0),"")</f>
        <v/>
      </c>
      <c r="E31" s="233" t="str">
        <f>IFERROR(VLOOKUP(基本資料填寫!$E$1&amp;"-"&amp;ROW(I29),基本資料填寫!$E:$EU,COLUMN(基本資料填寫!M29),0),"")</f>
        <v/>
      </c>
      <c r="F31" s="233" t="str">
        <f>IFERROR(VLOOKUP(基本資料填寫!$E$1&amp;"-"&amp;ROW(O29),基本資料填寫!$E:$EU,COLUMN(基本資料填寫!S29),0),"")</f>
        <v/>
      </c>
      <c r="G31" s="233" t="str">
        <f>IFERROR(VLOOKUP(基本資料填寫!$E$1&amp;"-"&amp;ROW(P29),基本資料填寫!$E:$EU,COLUMN(基本資料填寫!T29),0),"")</f>
        <v/>
      </c>
      <c r="H31" s="233" t="str">
        <f>IFERROR(VLOOKUP(基本資料填寫!$E$1&amp;"-"&amp;ROW(R29),基本資料填寫!$E:$EU,COLUMN(基本資料填寫!V29),0),"")</f>
        <v/>
      </c>
      <c r="I31" s="233" t="str">
        <f>IFERROR(VLOOKUP(基本資料填寫!$E$1&amp;"-"&amp;ROW(S29),基本資料填寫!$E:$EU,COLUMN(基本資料填寫!W29),0),"")</f>
        <v/>
      </c>
      <c r="J31" s="233" t="str">
        <f>IFERROR(VLOOKUP(基本資料填寫!$E$1&amp;"-"&amp;ROW(T29),基本資料填寫!$E:$EU,COLUMN(基本資料填寫!X29),0),"")</f>
        <v/>
      </c>
      <c r="K31" s="233" t="str">
        <f>IFERROR(VLOOKUP(基本資料填寫!$E$1&amp;"-"&amp;ROW(U29),基本資料填寫!$E:$EU,COLUMN(基本資料填寫!Y29),0),"")</f>
        <v/>
      </c>
      <c r="L31" s="233" t="str">
        <f>IFERROR(VLOOKUP(基本資料填寫!$E$1&amp;"-"&amp;ROW(V29),基本資料填寫!$E:$EU,COLUMN(基本資料填寫!Z29),0),"")</f>
        <v/>
      </c>
      <c r="M31" s="233" t="str">
        <f>IFERROR(VLOOKUP(基本資料填寫!$E$1&amp;"-"&amp;ROW(W29),基本資料填寫!$E:$EU,COLUMN(基本資料填寫!AA29),0),"")</f>
        <v/>
      </c>
      <c r="N31" s="233" t="str">
        <f>IFERROR(VLOOKUP(基本資料填寫!$E$1&amp;"-"&amp;ROW(X29),基本資料填寫!$E:$EU,COLUMN(基本資料填寫!AB29),0),"")</f>
        <v/>
      </c>
    </row>
    <row r="32" spans="1:14" x14ac:dyDescent="0.3">
      <c r="A32" s="232" t="str">
        <f>IF(E32="","",COUNTA($E$3:E32))</f>
        <v/>
      </c>
      <c r="B32" s="233" t="str">
        <f>IFERROR(VLOOKUP(基本資料填寫!$E$1&amp;"-"&amp;ROW(F30),基本資料填寫!$E:$EU,COLUMN(基本資料填寫!F30),0),"")</f>
        <v/>
      </c>
      <c r="C32" s="233" t="str">
        <f>IFERROR(VLOOKUP(基本資料填寫!$E$1&amp;"-"&amp;ROW(K30),基本資料填寫!$E:$EU,COLUMN(基本資料填寫!K30),0),"")</f>
        <v/>
      </c>
      <c r="D32" s="233" t="str">
        <f>IFERROR(VLOOKUP(基本資料填寫!$E$1&amp;"-"&amp;ROW(H30),基本資料填寫!$E:$EU,COLUMN(基本資料填寫!L30),0),"")</f>
        <v/>
      </c>
      <c r="E32" s="233" t="str">
        <f>IFERROR(VLOOKUP(基本資料填寫!$E$1&amp;"-"&amp;ROW(I30),基本資料填寫!$E:$EU,COLUMN(基本資料填寫!M30),0),"")</f>
        <v/>
      </c>
      <c r="F32" s="233" t="str">
        <f>IFERROR(VLOOKUP(基本資料填寫!$E$1&amp;"-"&amp;ROW(O30),基本資料填寫!$E:$EU,COLUMN(基本資料填寫!S30),0),"")</f>
        <v/>
      </c>
      <c r="G32" s="233" t="str">
        <f>IFERROR(VLOOKUP(基本資料填寫!$E$1&amp;"-"&amp;ROW(P30),基本資料填寫!$E:$EU,COLUMN(基本資料填寫!T30),0),"")</f>
        <v/>
      </c>
      <c r="H32" s="233" t="str">
        <f>IFERROR(VLOOKUP(基本資料填寫!$E$1&amp;"-"&amp;ROW(R30),基本資料填寫!$E:$EU,COLUMN(基本資料填寫!V30),0),"")</f>
        <v/>
      </c>
      <c r="I32" s="233" t="str">
        <f>IFERROR(VLOOKUP(基本資料填寫!$E$1&amp;"-"&amp;ROW(S30),基本資料填寫!$E:$EU,COLUMN(基本資料填寫!W30),0),"")</f>
        <v/>
      </c>
      <c r="J32" s="233" t="str">
        <f>IFERROR(VLOOKUP(基本資料填寫!$E$1&amp;"-"&amp;ROW(T30),基本資料填寫!$E:$EU,COLUMN(基本資料填寫!X30),0),"")</f>
        <v/>
      </c>
      <c r="K32" s="233" t="str">
        <f>IFERROR(VLOOKUP(基本資料填寫!$E$1&amp;"-"&amp;ROW(U30),基本資料填寫!$E:$EU,COLUMN(基本資料填寫!Y30),0),"")</f>
        <v/>
      </c>
      <c r="L32" s="233" t="str">
        <f>IFERROR(VLOOKUP(基本資料填寫!$E$1&amp;"-"&amp;ROW(V30),基本資料填寫!$E:$EU,COLUMN(基本資料填寫!Z30),0),"")</f>
        <v/>
      </c>
      <c r="M32" s="233" t="str">
        <f>IFERROR(VLOOKUP(基本資料填寫!$E$1&amp;"-"&amp;ROW(W30),基本資料填寫!$E:$EU,COLUMN(基本資料填寫!AA30),0),"")</f>
        <v/>
      </c>
      <c r="N32" s="233" t="str">
        <f>IFERROR(VLOOKUP(基本資料填寫!$E$1&amp;"-"&amp;ROW(X30),基本資料填寫!$E:$EU,COLUMN(基本資料填寫!AB30),0),"")</f>
        <v/>
      </c>
    </row>
    <row r="33" spans="1:14" x14ac:dyDescent="0.3">
      <c r="A33" s="232" t="str">
        <f>IF(E33="","",COUNTA($E$3:E33))</f>
        <v/>
      </c>
      <c r="B33" s="233" t="str">
        <f>IFERROR(VLOOKUP(基本資料填寫!$E$1&amp;"-"&amp;ROW(F31),基本資料填寫!$E:$EU,COLUMN(基本資料填寫!F31),0),"")</f>
        <v/>
      </c>
      <c r="C33" s="233" t="str">
        <f>IFERROR(VLOOKUP(基本資料填寫!$E$1&amp;"-"&amp;ROW(K31),基本資料填寫!$E:$EU,COLUMN(基本資料填寫!K31),0),"")</f>
        <v/>
      </c>
      <c r="D33" s="233" t="str">
        <f>IFERROR(VLOOKUP(基本資料填寫!$E$1&amp;"-"&amp;ROW(H31),基本資料填寫!$E:$EU,COLUMN(基本資料填寫!L31),0),"")</f>
        <v/>
      </c>
      <c r="E33" s="233" t="str">
        <f>IFERROR(VLOOKUP(基本資料填寫!$E$1&amp;"-"&amp;ROW(I31),基本資料填寫!$E:$EU,COLUMN(基本資料填寫!M31),0),"")</f>
        <v/>
      </c>
      <c r="F33" s="233" t="str">
        <f>IFERROR(VLOOKUP(基本資料填寫!$E$1&amp;"-"&amp;ROW(O31),基本資料填寫!$E:$EU,COLUMN(基本資料填寫!S31),0),"")</f>
        <v/>
      </c>
      <c r="G33" s="233" t="str">
        <f>IFERROR(VLOOKUP(基本資料填寫!$E$1&amp;"-"&amp;ROW(P31),基本資料填寫!$E:$EU,COLUMN(基本資料填寫!T31),0),"")</f>
        <v/>
      </c>
      <c r="H33" s="233" t="str">
        <f>IFERROR(VLOOKUP(基本資料填寫!$E$1&amp;"-"&amp;ROW(R31),基本資料填寫!$E:$EU,COLUMN(基本資料填寫!V31),0),"")</f>
        <v/>
      </c>
      <c r="I33" s="233" t="str">
        <f>IFERROR(VLOOKUP(基本資料填寫!$E$1&amp;"-"&amp;ROW(S31),基本資料填寫!$E:$EU,COLUMN(基本資料填寫!W31),0),"")</f>
        <v/>
      </c>
      <c r="J33" s="233" t="str">
        <f>IFERROR(VLOOKUP(基本資料填寫!$E$1&amp;"-"&amp;ROW(T31),基本資料填寫!$E:$EU,COLUMN(基本資料填寫!X31),0),"")</f>
        <v/>
      </c>
      <c r="K33" s="233" t="str">
        <f>IFERROR(VLOOKUP(基本資料填寫!$E$1&amp;"-"&amp;ROW(U31),基本資料填寫!$E:$EU,COLUMN(基本資料填寫!Y31),0),"")</f>
        <v/>
      </c>
      <c r="L33" s="233" t="str">
        <f>IFERROR(VLOOKUP(基本資料填寫!$E$1&amp;"-"&amp;ROW(V31),基本資料填寫!$E:$EU,COLUMN(基本資料填寫!Z31),0),"")</f>
        <v/>
      </c>
      <c r="M33" s="233" t="str">
        <f>IFERROR(VLOOKUP(基本資料填寫!$E$1&amp;"-"&amp;ROW(W31),基本資料填寫!$E:$EU,COLUMN(基本資料填寫!AA31),0),"")</f>
        <v/>
      </c>
      <c r="N33" s="233" t="str">
        <f>IFERROR(VLOOKUP(基本資料填寫!$E$1&amp;"-"&amp;ROW(X31),基本資料填寫!$E:$EU,COLUMN(基本資料填寫!AB31),0),"")</f>
        <v/>
      </c>
    </row>
    <row r="34" spans="1:14" x14ac:dyDescent="0.3">
      <c r="A34" s="232" t="str">
        <f>IF(E34="","",COUNTA($E$3:E34))</f>
        <v/>
      </c>
      <c r="B34" s="233" t="str">
        <f>IFERROR(VLOOKUP(基本資料填寫!$E$1&amp;"-"&amp;ROW(F32),基本資料填寫!$E:$EU,COLUMN(基本資料填寫!F32),0),"")</f>
        <v/>
      </c>
      <c r="C34" s="233" t="str">
        <f>IFERROR(VLOOKUP(基本資料填寫!$E$1&amp;"-"&amp;ROW(K32),基本資料填寫!$E:$EU,COLUMN(基本資料填寫!K32),0),"")</f>
        <v/>
      </c>
      <c r="D34" s="233" t="str">
        <f>IFERROR(VLOOKUP(基本資料填寫!$E$1&amp;"-"&amp;ROW(H32),基本資料填寫!$E:$EU,COLUMN(基本資料填寫!L32),0),"")</f>
        <v/>
      </c>
      <c r="E34" s="233" t="str">
        <f>IFERROR(VLOOKUP(基本資料填寫!$E$1&amp;"-"&amp;ROW(I32),基本資料填寫!$E:$EU,COLUMN(基本資料填寫!M32),0),"")</f>
        <v/>
      </c>
      <c r="F34" s="233" t="str">
        <f>IFERROR(VLOOKUP(基本資料填寫!$E$1&amp;"-"&amp;ROW(O32),基本資料填寫!$E:$EU,COLUMN(基本資料填寫!S32),0),"")</f>
        <v/>
      </c>
      <c r="G34" s="233" t="str">
        <f>IFERROR(VLOOKUP(基本資料填寫!$E$1&amp;"-"&amp;ROW(P32),基本資料填寫!$E:$EU,COLUMN(基本資料填寫!T32),0),"")</f>
        <v/>
      </c>
      <c r="H34" s="233" t="str">
        <f>IFERROR(VLOOKUP(基本資料填寫!$E$1&amp;"-"&amp;ROW(R32),基本資料填寫!$E:$EU,COLUMN(基本資料填寫!V32),0),"")</f>
        <v/>
      </c>
      <c r="I34" s="233" t="str">
        <f>IFERROR(VLOOKUP(基本資料填寫!$E$1&amp;"-"&amp;ROW(S32),基本資料填寫!$E:$EU,COLUMN(基本資料填寫!W32),0),"")</f>
        <v/>
      </c>
      <c r="J34" s="233" t="str">
        <f>IFERROR(VLOOKUP(基本資料填寫!$E$1&amp;"-"&amp;ROW(T32),基本資料填寫!$E:$EU,COLUMN(基本資料填寫!X32),0),"")</f>
        <v/>
      </c>
      <c r="K34" s="233" t="str">
        <f>IFERROR(VLOOKUP(基本資料填寫!$E$1&amp;"-"&amp;ROW(U32),基本資料填寫!$E:$EU,COLUMN(基本資料填寫!Y32),0),"")</f>
        <v/>
      </c>
      <c r="L34" s="233" t="str">
        <f>IFERROR(VLOOKUP(基本資料填寫!$E$1&amp;"-"&amp;ROW(V32),基本資料填寫!$E:$EU,COLUMN(基本資料填寫!Z32),0),"")</f>
        <v/>
      </c>
      <c r="M34" s="233" t="str">
        <f>IFERROR(VLOOKUP(基本資料填寫!$E$1&amp;"-"&amp;ROW(W32),基本資料填寫!$E:$EU,COLUMN(基本資料填寫!AA32),0),"")</f>
        <v/>
      </c>
      <c r="N34" s="233" t="str">
        <f>IFERROR(VLOOKUP(基本資料填寫!$E$1&amp;"-"&amp;ROW(X32),基本資料填寫!$E:$EU,COLUMN(基本資料填寫!AB32),0),"")</f>
        <v/>
      </c>
    </row>
    <row r="35" spans="1:14" x14ac:dyDescent="0.3">
      <c r="A35" s="232" t="str">
        <f>IF(E35="","",COUNTA($E$3:E35))</f>
        <v/>
      </c>
      <c r="B35" s="233" t="str">
        <f>IFERROR(VLOOKUP(基本資料填寫!$E$1&amp;"-"&amp;ROW(F33),基本資料填寫!$E:$EU,COLUMN(基本資料填寫!F33),0),"")</f>
        <v/>
      </c>
      <c r="C35" s="233" t="str">
        <f>IFERROR(VLOOKUP(基本資料填寫!$E$1&amp;"-"&amp;ROW(K33),基本資料填寫!$E:$EU,COLUMN(基本資料填寫!K33),0),"")</f>
        <v/>
      </c>
      <c r="D35" s="233" t="str">
        <f>IFERROR(VLOOKUP(基本資料填寫!$E$1&amp;"-"&amp;ROW(H33),基本資料填寫!$E:$EU,COLUMN(基本資料填寫!L33),0),"")</f>
        <v/>
      </c>
      <c r="E35" s="233" t="str">
        <f>IFERROR(VLOOKUP(基本資料填寫!$E$1&amp;"-"&amp;ROW(I33),基本資料填寫!$E:$EU,COLUMN(基本資料填寫!M33),0),"")</f>
        <v/>
      </c>
      <c r="F35" s="233" t="str">
        <f>IFERROR(VLOOKUP(基本資料填寫!$E$1&amp;"-"&amp;ROW(O33),基本資料填寫!$E:$EU,COLUMN(基本資料填寫!S33),0),"")</f>
        <v/>
      </c>
      <c r="G35" s="233" t="str">
        <f>IFERROR(VLOOKUP(基本資料填寫!$E$1&amp;"-"&amp;ROW(P33),基本資料填寫!$E:$EU,COLUMN(基本資料填寫!T33),0),"")</f>
        <v/>
      </c>
      <c r="H35" s="233" t="str">
        <f>IFERROR(VLOOKUP(基本資料填寫!$E$1&amp;"-"&amp;ROW(R33),基本資料填寫!$E:$EU,COLUMN(基本資料填寫!V33),0),"")</f>
        <v/>
      </c>
      <c r="I35" s="233" t="str">
        <f>IFERROR(VLOOKUP(基本資料填寫!$E$1&amp;"-"&amp;ROW(S33),基本資料填寫!$E:$EU,COLUMN(基本資料填寫!W33),0),"")</f>
        <v/>
      </c>
      <c r="J35" s="233" t="str">
        <f>IFERROR(VLOOKUP(基本資料填寫!$E$1&amp;"-"&amp;ROW(T33),基本資料填寫!$E:$EU,COLUMN(基本資料填寫!X33),0),"")</f>
        <v/>
      </c>
      <c r="K35" s="233" t="str">
        <f>IFERROR(VLOOKUP(基本資料填寫!$E$1&amp;"-"&amp;ROW(U33),基本資料填寫!$E:$EU,COLUMN(基本資料填寫!Y33),0),"")</f>
        <v/>
      </c>
      <c r="L35" s="233" t="str">
        <f>IFERROR(VLOOKUP(基本資料填寫!$E$1&amp;"-"&amp;ROW(V33),基本資料填寫!$E:$EU,COLUMN(基本資料填寫!Z33),0),"")</f>
        <v/>
      </c>
      <c r="M35" s="233" t="str">
        <f>IFERROR(VLOOKUP(基本資料填寫!$E$1&amp;"-"&amp;ROW(W33),基本資料填寫!$E:$EU,COLUMN(基本資料填寫!AA33),0),"")</f>
        <v/>
      </c>
      <c r="N35" s="233" t="str">
        <f>IFERROR(VLOOKUP(基本資料填寫!$E$1&amp;"-"&amp;ROW(X33),基本資料填寫!$E:$EU,COLUMN(基本資料填寫!AB33),0),"")</f>
        <v/>
      </c>
    </row>
    <row r="36" spans="1:14" x14ac:dyDescent="0.3">
      <c r="A36" s="232" t="str">
        <f>IF(E36="","",COUNTA($E$3:E36))</f>
        <v/>
      </c>
      <c r="B36" s="233" t="str">
        <f>IFERROR(VLOOKUP(基本資料填寫!$E$1&amp;"-"&amp;ROW(F34),基本資料填寫!$E:$EU,COLUMN(基本資料填寫!F34),0),"")</f>
        <v/>
      </c>
      <c r="C36" s="233" t="str">
        <f>IFERROR(VLOOKUP(基本資料填寫!$E$1&amp;"-"&amp;ROW(K34),基本資料填寫!$E:$EU,COLUMN(基本資料填寫!K34),0),"")</f>
        <v/>
      </c>
      <c r="D36" s="233" t="str">
        <f>IFERROR(VLOOKUP(基本資料填寫!$E$1&amp;"-"&amp;ROW(H34),基本資料填寫!$E:$EU,COLUMN(基本資料填寫!L34),0),"")</f>
        <v/>
      </c>
      <c r="E36" s="233" t="str">
        <f>IFERROR(VLOOKUP(基本資料填寫!$E$1&amp;"-"&amp;ROW(I34),基本資料填寫!$E:$EU,COLUMN(基本資料填寫!M34),0),"")</f>
        <v/>
      </c>
      <c r="F36" s="233" t="str">
        <f>IFERROR(VLOOKUP(基本資料填寫!$E$1&amp;"-"&amp;ROW(O34),基本資料填寫!$E:$EU,COLUMN(基本資料填寫!S34),0),"")</f>
        <v/>
      </c>
      <c r="G36" s="233" t="str">
        <f>IFERROR(VLOOKUP(基本資料填寫!$E$1&amp;"-"&amp;ROW(P34),基本資料填寫!$E:$EU,COLUMN(基本資料填寫!T34),0),"")</f>
        <v/>
      </c>
      <c r="H36" s="233" t="str">
        <f>IFERROR(VLOOKUP(基本資料填寫!$E$1&amp;"-"&amp;ROW(R34),基本資料填寫!$E:$EU,COLUMN(基本資料填寫!V34),0),"")</f>
        <v/>
      </c>
      <c r="I36" s="233" t="str">
        <f>IFERROR(VLOOKUP(基本資料填寫!$E$1&amp;"-"&amp;ROW(S34),基本資料填寫!$E:$EU,COLUMN(基本資料填寫!W34),0),"")</f>
        <v/>
      </c>
      <c r="J36" s="233" t="str">
        <f>IFERROR(VLOOKUP(基本資料填寫!$E$1&amp;"-"&amp;ROW(T34),基本資料填寫!$E:$EU,COLUMN(基本資料填寫!X34),0),"")</f>
        <v/>
      </c>
      <c r="K36" s="233" t="str">
        <f>IFERROR(VLOOKUP(基本資料填寫!$E$1&amp;"-"&amp;ROW(U34),基本資料填寫!$E:$EU,COLUMN(基本資料填寫!Y34),0),"")</f>
        <v/>
      </c>
      <c r="L36" s="233" t="str">
        <f>IFERROR(VLOOKUP(基本資料填寫!$E$1&amp;"-"&amp;ROW(V34),基本資料填寫!$E:$EU,COLUMN(基本資料填寫!Z34),0),"")</f>
        <v/>
      </c>
      <c r="M36" s="233" t="str">
        <f>IFERROR(VLOOKUP(基本資料填寫!$E$1&amp;"-"&amp;ROW(W34),基本資料填寫!$E:$EU,COLUMN(基本資料填寫!AA34),0),"")</f>
        <v/>
      </c>
      <c r="N36" s="233" t="str">
        <f>IFERROR(VLOOKUP(基本資料填寫!$E$1&amp;"-"&amp;ROW(X34),基本資料填寫!$E:$EU,COLUMN(基本資料填寫!AB34),0),"")</f>
        <v/>
      </c>
    </row>
    <row r="37" spans="1:14" x14ac:dyDescent="0.3">
      <c r="A37" s="232" t="str">
        <f>IF(E37="","",COUNTA($E$3:E37))</f>
        <v/>
      </c>
      <c r="B37" s="233" t="str">
        <f>IFERROR(VLOOKUP(基本資料填寫!$E$1&amp;"-"&amp;ROW(F35),基本資料填寫!$E:$EU,COLUMN(基本資料填寫!F35),0),"")</f>
        <v/>
      </c>
      <c r="C37" s="233" t="str">
        <f>IFERROR(VLOOKUP(基本資料填寫!$E$1&amp;"-"&amp;ROW(K35),基本資料填寫!$E:$EU,COLUMN(基本資料填寫!K35),0),"")</f>
        <v/>
      </c>
      <c r="D37" s="233" t="str">
        <f>IFERROR(VLOOKUP(基本資料填寫!$E$1&amp;"-"&amp;ROW(H35),基本資料填寫!$E:$EU,COLUMN(基本資料填寫!L35),0),"")</f>
        <v/>
      </c>
      <c r="E37" s="233" t="str">
        <f>IFERROR(VLOOKUP(基本資料填寫!$E$1&amp;"-"&amp;ROW(I35),基本資料填寫!$E:$EU,COLUMN(基本資料填寫!M35),0),"")</f>
        <v/>
      </c>
      <c r="F37" s="233" t="str">
        <f>IFERROR(VLOOKUP(基本資料填寫!$E$1&amp;"-"&amp;ROW(O35),基本資料填寫!$E:$EU,COLUMN(基本資料填寫!S35),0),"")</f>
        <v/>
      </c>
      <c r="G37" s="233" t="str">
        <f>IFERROR(VLOOKUP(基本資料填寫!$E$1&amp;"-"&amp;ROW(P35),基本資料填寫!$E:$EU,COLUMN(基本資料填寫!T35),0),"")</f>
        <v/>
      </c>
      <c r="H37" s="233" t="str">
        <f>IFERROR(VLOOKUP(基本資料填寫!$E$1&amp;"-"&amp;ROW(R35),基本資料填寫!$E:$EU,COLUMN(基本資料填寫!V35),0),"")</f>
        <v/>
      </c>
      <c r="I37" s="233" t="str">
        <f>IFERROR(VLOOKUP(基本資料填寫!$E$1&amp;"-"&amp;ROW(S35),基本資料填寫!$E:$EU,COLUMN(基本資料填寫!W35),0),"")</f>
        <v/>
      </c>
      <c r="J37" s="233" t="str">
        <f>IFERROR(VLOOKUP(基本資料填寫!$E$1&amp;"-"&amp;ROW(T35),基本資料填寫!$E:$EU,COLUMN(基本資料填寫!X35),0),"")</f>
        <v/>
      </c>
      <c r="K37" s="233" t="str">
        <f>IFERROR(VLOOKUP(基本資料填寫!$E$1&amp;"-"&amp;ROW(U35),基本資料填寫!$E:$EU,COLUMN(基本資料填寫!Y35),0),"")</f>
        <v/>
      </c>
      <c r="L37" s="233" t="str">
        <f>IFERROR(VLOOKUP(基本資料填寫!$E$1&amp;"-"&amp;ROW(V35),基本資料填寫!$E:$EU,COLUMN(基本資料填寫!Z35),0),"")</f>
        <v/>
      </c>
      <c r="M37" s="233" t="str">
        <f>IFERROR(VLOOKUP(基本資料填寫!$E$1&amp;"-"&amp;ROW(W35),基本資料填寫!$E:$EU,COLUMN(基本資料填寫!AA35),0),"")</f>
        <v/>
      </c>
      <c r="N37" s="233" t="str">
        <f>IFERROR(VLOOKUP(基本資料填寫!$E$1&amp;"-"&amp;ROW(X35),基本資料填寫!$E:$EU,COLUMN(基本資料填寫!AB35),0),"")</f>
        <v/>
      </c>
    </row>
    <row r="38" spans="1:14" x14ac:dyDescent="0.3">
      <c r="A38" s="232" t="str">
        <f>IF(E38="","",COUNTA($E$3:E38))</f>
        <v/>
      </c>
      <c r="B38" s="233" t="str">
        <f>IFERROR(VLOOKUP(基本資料填寫!$E$1&amp;"-"&amp;ROW(F36),基本資料填寫!$E:$EU,COLUMN(基本資料填寫!F36),0),"")</f>
        <v/>
      </c>
      <c r="C38" s="233" t="str">
        <f>IFERROR(VLOOKUP(基本資料填寫!$E$1&amp;"-"&amp;ROW(K36),基本資料填寫!$E:$EU,COLUMN(基本資料填寫!K36),0),"")</f>
        <v/>
      </c>
      <c r="D38" s="233" t="str">
        <f>IFERROR(VLOOKUP(基本資料填寫!$E$1&amp;"-"&amp;ROW(H36),基本資料填寫!$E:$EU,COLUMN(基本資料填寫!L36),0),"")</f>
        <v/>
      </c>
      <c r="E38" s="233" t="str">
        <f>IFERROR(VLOOKUP(基本資料填寫!$E$1&amp;"-"&amp;ROW(I36),基本資料填寫!$E:$EU,COLUMN(基本資料填寫!M36),0),"")</f>
        <v/>
      </c>
      <c r="F38" s="233" t="str">
        <f>IFERROR(VLOOKUP(基本資料填寫!$E$1&amp;"-"&amp;ROW(O36),基本資料填寫!$E:$EU,COLUMN(基本資料填寫!S36),0),"")</f>
        <v/>
      </c>
      <c r="G38" s="233" t="str">
        <f>IFERROR(VLOOKUP(基本資料填寫!$E$1&amp;"-"&amp;ROW(P36),基本資料填寫!$E:$EU,COLUMN(基本資料填寫!T36),0),"")</f>
        <v/>
      </c>
      <c r="H38" s="233" t="str">
        <f>IFERROR(VLOOKUP(基本資料填寫!$E$1&amp;"-"&amp;ROW(R36),基本資料填寫!$E:$EU,COLUMN(基本資料填寫!V36),0),"")</f>
        <v/>
      </c>
      <c r="I38" s="233" t="str">
        <f>IFERROR(VLOOKUP(基本資料填寫!$E$1&amp;"-"&amp;ROW(S36),基本資料填寫!$E:$EU,COLUMN(基本資料填寫!W36),0),"")</f>
        <v/>
      </c>
      <c r="J38" s="233" t="str">
        <f>IFERROR(VLOOKUP(基本資料填寫!$E$1&amp;"-"&amp;ROW(T36),基本資料填寫!$E:$EU,COLUMN(基本資料填寫!X36),0),"")</f>
        <v/>
      </c>
      <c r="K38" s="233" t="str">
        <f>IFERROR(VLOOKUP(基本資料填寫!$E$1&amp;"-"&amp;ROW(U36),基本資料填寫!$E:$EU,COLUMN(基本資料填寫!Y36),0),"")</f>
        <v/>
      </c>
      <c r="L38" s="233" t="str">
        <f>IFERROR(VLOOKUP(基本資料填寫!$E$1&amp;"-"&amp;ROW(V36),基本資料填寫!$E:$EU,COLUMN(基本資料填寫!Z36),0),"")</f>
        <v/>
      </c>
      <c r="M38" s="233" t="str">
        <f>IFERROR(VLOOKUP(基本資料填寫!$E$1&amp;"-"&amp;ROW(W36),基本資料填寫!$E:$EU,COLUMN(基本資料填寫!AA36),0),"")</f>
        <v/>
      </c>
      <c r="N38" s="233" t="str">
        <f>IFERROR(VLOOKUP(基本資料填寫!$E$1&amp;"-"&amp;ROW(X36),基本資料填寫!$E:$EU,COLUMN(基本資料填寫!AB36),0),"")</f>
        <v/>
      </c>
    </row>
    <row r="39" spans="1:14" x14ac:dyDescent="0.3">
      <c r="A39" s="232" t="str">
        <f>IF(E39="","",COUNTA($E$3:E39))</f>
        <v/>
      </c>
      <c r="B39" s="233" t="str">
        <f>IFERROR(VLOOKUP(基本資料填寫!$E$1&amp;"-"&amp;ROW(F37),基本資料填寫!$E:$EU,COLUMN(基本資料填寫!F37),0),"")</f>
        <v/>
      </c>
      <c r="C39" s="233" t="str">
        <f>IFERROR(VLOOKUP(基本資料填寫!$E$1&amp;"-"&amp;ROW(K37),基本資料填寫!$E:$EU,COLUMN(基本資料填寫!K37),0),"")</f>
        <v/>
      </c>
      <c r="D39" s="233" t="str">
        <f>IFERROR(VLOOKUP(基本資料填寫!$E$1&amp;"-"&amp;ROW(H37),基本資料填寫!$E:$EU,COLUMN(基本資料填寫!L37),0),"")</f>
        <v/>
      </c>
      <c r="E39" s="233" t="str">
        <f>IFERROR(VLOOKUP(基本資料填寫!$E$1&amp;"-"&amp;ROW(I37),基本資料填寫!$E:$EU,COLUMN(基本資料填寫!M37),0),"")</f>
        <v/>
      </c>
      <c r="F39" s="233" t="str">
        <f>IFERROR(VLOOKUP(基本資料填寫!$E$1&amp;"-"&amp;ROW(O37),基本資料填寫!$E:$EU,COLUMN(基本資料填寫!S37),0),"")</f>
        <v/>
      </c>
      <c r="G39" s="233" t="str">
        <f>IFERROR(VLOOKUP(基本資料填寫!$E$1&amp;"-"&amp;ROW(P37),基本資料填寫!$E:$EU,COLUMN(基本資料填寫!T37),0),"")</f>
        <v/>
      </c>
      <c r="H39" s="233" t="str">
        <f>IFERROR(VLOOKUP(基本資料填寫!$E$1&amp;"-"&amp;ROW(R37),基本資料填寫!$E:$EU,COLUMN(基本資料填寫!V37),0),"")</f>
        <v/>
      </c>
      <c r="I39" s="233" t="str">
        <f>IFERROR(VLOOKUP(基本資料填寫!$E$1&amp;"-"&amp;ROW(S37),基本資料填寫!$E:$EU,COLUMN(基本資料填寫!W37),0),"")</f>
        <v/>
      </c>
      <c r="J39" s="233" t="str">
        <f>IFERROR(VLOOKUP(基本資料填寫!$E$1&amp;"-"&amp;ROW(T37),基本資料填寫!$E:$EU,COLUMN(基本資料填寫!X37),0),"")</f>
        <v/>
      </c>
      <c r="K39" s="233" t="str">
        <f>IFERROR(VLOOKUP(基本資料填寫!$E$1&amp;"-"&amp;ROW(U37),基本資料填寫!$E:$EU,COLUMN(基本資料填寫!Y37),0),"")</f>
        <v/>
      </c>
      <c r="L39" s="233" t="str">
        <f>IFERROR(VLOOKUP(基本資料填寫!$E$1&amp;"-"&amp;ROW(V37),基本資料填寫!$E:$EU,COLUMN(基本資料填寫!Z37),0),"")</f>
        <v/>
      </c>
      <c r="M39" s="233" t="str">
        <f>IFERROR(VLOOKUP(基本資料填寫!$E$1&amp;"-"&amp;ROW(W37),基本資料填寫!$E:$EU,COLUMN(基本資料填寫!AA37),0),"")</f>
        <v/>
      </c>
      <c r="N39" s="233" t="str">
        <f>IFERROR(VLOOKUP(基本資料填寫!$E$1&amp;"-"&amp;ROW(X37),基本資料填寫!$E:$EU,COLUMN(基本資料填寫!AB37),0),"")</f>
        <v/>
      </c>
    </row>
    <row r="40" spans="1:14" x14ac:dyDescent="0.3">
      <c r="A40" s="232" t="str">
        <f>IF(E40="","",COUNTA($E$3:E40))</f>
        <v/>
      </c>
      <c r="B40" s="233" t="str">
        <f>IFERROR(VLOOKUP(基本資料填寫!$E$1&amp;"-"&amp;ROW(F38),基本資料填寫!$E:$EU,COLUMN(基本資料填寫!F38),0),"")</f>
        <v/>
      </c>
      <c r="C40" s="233" t="str">
        <f>IFERROR(VLOOKUP(基本資料填寫!$E$1&amp;"-"&amp;ROW(K38),基本資料填寫!$E:$EU,COLUMN(基本資料填寫!K38),0),"")</f>
        <v/>
      </c>
      <c r="D40" s="233" t="str">
        <f>IFERROR(VLOOKUP(基本資料填寫!$E$1&amp;"-"&amp;ROW(H38),基本資料填寫!$E:$EU,COLUMN(基本資料填寫!L38),0),"")</f>
        <v/>
      </c>
      <c r="E40" s="233" t="str">
        <f>IFERROR(VLOOKUP(基本資料填寫!$E$1&amp;"-"&amp;ROW(I38),基本資料填寫!$E:$EU,COLUMN(基本資料填寫!M38),0),"")</f>
        <v/>
      </c>
      <c r="F40" s="233" t="str">
        <f>IFERROR(VLOOKUP(基本資料填寫!$E$1&amp;"-"&amp;ROW(O38),基本資料填寫!$E:$EU,COLUMN(基本資料填寫!S38),0),"")</f>
        <v/>
      </c>
      <c r="G40" s="233" t="str">
        <f>IFERROR(VLOOKUP(基本資料填寫!$E$1&amp;"-"&amp;ROW(P38),基本資料填寫!$E:$EU,COLUMN(基本資料填寫!T38),0),"")</f>
        <v/>
      </c>
      <c r="H40" s="233" t="str">
        <f>IFERROR(VLOOKUP(基本資料填寫!$E$1&amp;"-"&amp;ROW(R38),基本資料填寫!$E:$EU,COLUMN(基本資料填寫!V38),0),"")</f>
        <v/>
      </c>
      <c r="I40" s="233" t="str">
        <f>IFERROR(VLOOKUP(基本資料填寫!$E$1&amp;"-"&amp;ROW(S38),基本資料填寫!$E:$EU,COLUMN(基本資料填寫!W38),0),"")</f>
        <v/>
      </c>
      <c r="J40" s="233" t="str">
        <f>IFERROR(VLOOKUP(基本資料填寫!$E$1&amp;"-"&amp;ROW(T38),基本資料填寫!$E:$EU,COLUMN(基本資料填寫!X38),0),"")</f>
        <v/>
      </c>
      <c r="K40" s="233" t="str">
        <f>IFERROR(VLOOKUP(基本資料填寫!$E$1&amp;"-"&amp;ROW(U38),基本資料填寫!$E:$EU,COLUMN(基本資料填寫!Y38),0),"")</f>
        <v/>
      </c>
      <c r="L40" s="233" t="str">
        <f>IFERROR(VLOOKUP(基本資料填寫!$E$1&amp;"-"&amp;ROW(V38),基本資料填寫!$E:$EU,COLUMN(基本資料填寫!Z38),0),"")</f>
        <v/>
      </c>
      <c r="M40" s="233" t="str">
        <f>IFERROR(VLOOKUP(基本資料填寫!$E$1&amp;"-"&amp;ROW(W38),基本資料填寫!$E:$EU,COLUMN(基本資料填寫!AA38),0),"")</f>
        <v/>
      </c>
      <c r="N40" s="233" t="str">
        <f>IFERROR(VLOOKUP(基本資料填寫!$E$1&amp;"-"&amp;ROW(X38),基本資料填寫!$E:$EU,COLUMN(基本資料填寫!AB38),0),"")</f>
        <v/>
      </c>
    </row>
    <row r="41" spans="1:14" x14ac:dyDescent="0.3">
      <c r="A41" s="232" t="str">
        <f>IF(E41="","",COUNTA($E$3:E41))</f>
        <v/>
      </c>
      <c r="B41" s="233" t="str">
        <f>IFERROR(VLOOKUP(基本資料填寫!$E$1&amp;"-"&amp;ROW(F39),基本資料填寫!$E:$EU,COLUMN(基本資料填寫!F39),0),"")</f>
        <v/>
      </c>
      <c r="C41" s="233" t="str">
        <f>IFERROR(VLOOKUP(基本資料填寫!$E$1&amp;"-"&amp;ROW(K39),基本資料填寫!$E:$EU,COLUMN(基本資料填寫!K39),0),"")</f>
        <v/>
      </c>
      <c r="D41" s="233" t="str">
        <f>IFERROR(VLOOKUP(基本資料填寫!$E$1&amp;"-"&amp;ROW(H39),基本資料填寫!$E:$EU,COLUMN(基本資料填寫!L39),0),"")</f>
        <v/>
      </c>
      <c r="E41" s="233" t="str">
        <f>IFERROR(VLOOKUP(基本資料填寫!$E$1&amp;"-"&amp;ROW(I39),基本資料填寫!$E:$EU,COLUMN(基本資料填寫!M39),0),"")</f>
        <v/>
      </c>
      <c r="F41" s="233" t="str">
        <f>IFERROR(VLOOKUP(基本資料填寫!$E$1&amp;"-"&amp;ROW(O39),基本資料填寫!$E:$EU,COLUMN(基本資料填寫!S39),0),"")</f>
        <v/>
      </c>
      <c r="G41" s="233" t="str">
        <f>IFERROR(VLOOKUP(基本資料填寫!$E$1&amp;"-"&amp;ROW(P39),基本資料填寫!$E:$EU,COLUMN(基本資料填寫!T39),0),"")</f>
        <v/>
      </c>
      <c r="H41" s="233" t="str">
        <f>IFERROR(VLOOKUP(基本資料填寫!$E$1&amp;"-"&amp;ROW(R39),基本資料填寫!$E:$EU,COLUMN(基本資料填寫!V39),0),"")</f>
        <v/>
      </c>
      <c r="I41" s="233" t="str">
        <f>IFERROR(VLOOKUP(基本資料填寫!$E$1&amp;"-"&amp;ROW(S39),基本資料填寫!$E:$EU,COLUMN(基本資料填寫!W39),0),"")</f>
        <v/>
      </c>
      <c r="J41" s="233" t="str">
        <f>IFERROR(VLOOKUP(基本資料填寫!$E$1&amp;"-"&amp;ROW(T39),基本資料填寫!$E:$EU,COLUMN(基本資料填寫!X39),0),"")</f>
        <v/>
      </c>
      <c r="K41" s="233" t="str">
        <f>IFERROR(VLOOKUP(基本資料填寫!$E$1&amp;"-"&amp;ROW(U39),基本資料填寫!$E:$EU,COLUMN(基本資料填寫!Y39),0),"")</f>
        <v/>
      </c>
      <c r="L41" s="233" t="str">
        <f>IFERROR(VLOOKUP(基本資料填寫!$E$1&amp;"-"&amp;ROW(V39),基本資料填寫!$E:$EU,COLUMN(基本資料填寫!Z39),0),"")</f>
        <v/>
      </c>
      <c r="M41" s="233" t="str">
        <f>IFERROR(VLOOKUP(基本資料填寫!$E$1&amp;"-"&amp;ROW(W39),基本資料填寫!$E:$EU,COLUMN(基本資料填寫!AA39),0),"")</f>
        <v/>
      </c>
      <c r="N41" s="233" t="str">
        <f>IFERROR(VLOOKUP(基本資料填寫!$E$1&amp;"-"&amp;ROW(X39),基本資料填寫!$E:$EU,COLUMN(基本資料填寫!AB39),0),"")</f>
        <v/>
      </c>
    </row>
    <row r="42" spans="1:14" x14ac:dyDescent="0.3">
      <c r="A42" s="232" t="str">
        <f>IF(E42="","",COUNTA($E$3:E42))</f>
        <v/>
      </c>
      <c r="B42" s="233" t="str">
        <f>IFERROR(VLOOKUP(基本資料填寫!$E$1&amp;"-"&amp;ROW(F40),基本資料填寫!$E:$EU,COLUMN(基本資料填寫!F40),0),"")</f>
        <v/>
      </c>
      <c r="C42" s="233" t="str">
        <f>IFERROR(VLOOKUP(基本資料填寫!$E$1&amp;"-"&amp;ROW(K40),基本資料填寫!$E:$EU,COLUMN(基本資料填寫!K40),0),"")</f>
        <v/>
      </c>
      <c r="D42" s="233" t="str">
        <f>IFERROR(VLOOKUP(基本資料填寫!$E$1&amp;"-"&amp;ROW(H40),基本資料填寫!$E:$EU,COLUMN(基本資料填寫!L40),0),"")</f>
        <v/>
      </c>
      <c r="E42" s="233" t="str">
        <f>IFERROR(VLOOKUP(基本資料填寫!$E$1&amp;"-"&amp;ROW(I40),基本資料填寫!$E:$EU,COLUMN(基本資料填寫!M40),0),"")</f>
        <v/>
      </c>
      <c r="F42" s="233" t="str">
        <f>IFERROR(VLOOKUP(基本資料填寫!$E$1&amp;"-"&amp;ROW(O40),基本資料填寫!$E:$EU,COLUMN(基本資料填寫!S40),0),"")</f>
        <v/>
      </c>
      <c r="G42" s="233" t="str">
        <f>IFERROR(VLOOKUP(基本資料填寫!$E$1&amp;"-"&amp;ROW(P40),基本資料填寫!$E:$EU,COLUMN(基本資料填寫!T40),0),"")</f>
        <v/>
      </c>
      <c r="H42" s="233" t="str">
        <f>IFERROR(VLOOKUP(基本資料填寫!$E$1&amp;"-"&amp;ROW(R40),基本資料填寫!$E:$EU,COLUMN(基本資料填寫!V40),0),"")</f>
        <v/>
      </c>
      <c r="I42" s="233" t="str">
        <f>IFERROR(VLOOKUP(基本資料填寫!$E$1&amp;"-"&amp;ROW(S40),基本資料填寫!$E:$EU,COLUMN(基本資料填寫!W40),0),"")</f>
        <v/>
      </c>
      <c r="J42" s="233" t="str">
        <f>IFERROR(VLOOKUP(基本資料填寫!$E$1&amp;"-"&amp;ROW(T40),基本資料填寫!$E:$EU,COLUMN(基本資料填寫!X40),0),"")</f>
        <v/>
      </c>
      <c r="K42" s="233" t="str">
        <f>IFERROR(VLOOKUP(基本資料填寫!$E$1&amp;"-"&amp;ROW(U40),基本資料填寫!$E:$EU,COLUMN(基本資料填寫!Y40),0),"")</f>
        <v/>
      </c>
      <c r="L42" s="233" t="str">
        <f>IFERROR(VLOOKUP(基本資料填寫!$E$1&amp;"-"&amp;ROW(V40),基本資料填寫!$E:$EU,COLUMN(基本資料填寫!Z40),0),"")</f>
        <v/>
      </c>
      <c r="M42" s="233" t="str">
        <f>IFERROR(VLOOKUP(基本資料填寫!$E$1&amp;"-"&amp;ROW(W40),基本資料填寫!$E:$EU,COLUMN(基本資料填寫!AA40),0),"")</f>
        <v/>
      </c>
      <c r="N42" s="233" t="str">
        <f>IFERROR(VLOOKUP(基本資料填寫!$E$1&amp;"-"&amp;ROW(X40),基本資料填寫!$E:$EU,COLUMN(基本資料填寫!AB40),0),"")</f>
        <v/>
      </c>
    </row>
    <row r="43" spans="1:14" x14ac:dyDescent="0.3">
      <c r="A43" s="232" t="str">
        <f>IF(E43="","",COUNTA($E$3:E43))</f>
        <v/>
      </c>
      <c r="B43" s="233" t="str">
        <f>IFERROR(VLOOKUP(基本資料填寫!$E$1&amp;"-"&amp;ROW(F41),基本資料填寫!$E:$EU,COLUMN(基本資料填寫!F41),0),"")</f>
        <v/>
      </c>
      <c r="C43" s="233" t="str">
        <f>IFERROR(VLOOKUP(基本資料填寫!$E$1&amp;"-"&amp;ROW(K41),基本資料填寫!$E:$EU,COLUMN(基本資料填寫!K41),0),"")</f>
        <v/>
      </c>
      <c r="D43" s="233" t="str">
        <f>IFERROR(VLOOKUP(基本資料填寫!$E$1&amp;"-"&amp;ROW(H41),基本資料填寫!$E:$EU,COLUMN(基本資料填寫!L41),0),"")</f>
        <v/>
      </c>
      <c r="E43" s="233" t="str">
        <f>IFERROR(VLOOKUP(基本資料填寫!$E$1&amp;"-"&amp;ROW(I41),基本資料填寫!$E:$EU,COLUMN(基本資料填寫!M41),0),"")</f>
        <v/>
      </c>
      <c r="F43" s="233" t="str">
        <f>IFERROR(VLOOKUP(基本資料填寫!$E$1&amp;"-"&amp;ROW(O41),基本資料填寫!$E:$EU,COLUMN(基本資料填寫!S41),0),"")</f>
        <v/>
      </c>
      <c r="G43" s="233" t="str">
        <f>IFERROR(VLOOKUP(基本資料填寫!$E$1&amp;"-"&amp;ROW(P41),基本資料填寫!$E:$EU,COLUMN(基本資料填寫!T41),0),"")</f>
        <v/>
      </c>
      <c r="H43" s="233" t="str">
        <f>IFERROR(VLOOKUP(基本資料填寫!$E$1&amp;"-"&amp;ROW(R41),基本資料填寫!$E:$EU,COLUMN(基本資料填寫!V41),0),"")</f>
        <v/>
      </c>
      <c r="I43" s="233" t="str">
        <f>IFERROR(VLOOKUP(基本資料填寫!$E$1&amp;"-"&amp;ROW(S41),基本資料填寫!$E:$EU,COLUMN(基本資料填寫!W41),0),"")</f>
        <v/>
      </c>
      <c r="J43" s="233" t="str">
        <f>IFERROR(VLOOKUP(基本資料填寫!$E$1&amp;"-"&amp;ROW(T41),基本資料填寫!$E:$EU,COLUMN(基本資料填寫!X41),0),"")</f>
        <v/>
      </c>
      <c r="K43" s="233" t="str">
        <f>IFERROR(VLOOKUP(基本資料填寫!$E$1&amp;"-"&amp;ROW(U41),基本資料填寫!$E:$EU,COLUMN(基本資料填寫!Y41),0),"")</f>
        <v/>
      </c>
      <c r="L43" s="233" t="str">
        <f>IFERROR(VLOOKUP(基本資料填寫!$E$1&amp;"-"&amp;ROW(V41),基本資料填寫!$E:$EU,COLUMN(基本資料填寫!Z41),0),"")</f>
        <v/>
      </c>
      <c r="M43" s="233" t="str">
        <f>IFERROR(VLOOKUP(基本資料填寫!$E$1&amp;"-"&amp;ROW(W41),基本資料填寫!$E:$EU,COLUMN(基本資料填寫!AA41),0),"")</f>
        <v/>
      </c>
      <c r="N43" s="233" t="str">
        <f>IFERROR(VLOOKUP(基本資料填寫!$E$1&amp;"-"&amp;ROW(X41),基本資料填寫!$E:$EU,COLUMN(基本資料填寫!AB41),0),"")</f>
        <v/>
      </c>
    </row>
    <row r="44" spans="1:14" x14ac:dyDescent="0.3">
      <c r="A44" s="232" t="str">
        <f>IF(E44="","",COUNTA($E$3:E44))</f>
        <v/>
      </c>
      <c r="B44" s="233" t="str">
        <f>IFERROR(VLOOKUP(基本資料填寫!$E$1&amp;"-"&amp;ROW(F42),基本資料填寫!$E:$EU,COLUMN(基本資料填寫!F42),0),"")</f>
        <v/>
      </c>
      <c r="C44" s="233" t="str">
        <f>IFERROR(VLOOKUP(基本資料填寫!$E$1&amp;"-"&amp;ROW(K42),基本資料填寫!$E:$EU,COLUMN(基本資料填寫!K42),0),"")</f>
        <v/>
      </c>
      <c r="D44" s="233" t="str">
        <f>IFERROR(VLOOKUP(基本資料填寫!$E$1&amp;"-"&amp;ROW(H42),基本資料填寫!$E:$EU,COLUMN(基本資料填寫!L42),0),"")</f>
        <v/>
      </c>
      <c r="E44" s="233" t="str">
        <f>IFERROR(VLOOKUP(基本資料填寫!$E$1&amp;"-"&amp;ROW(I42),基本資料填寫!$E:$EU,COLUMN(基本資料填寫!M42),0),"")</f>
        <v/>
      </c>
      <c r="F44" s="233" t="str">
        <f>IFERROR(VLOOKUP(基本資料填寫!$E$1&amp;"-"&amp;ROW(O42),基本資料填寫!$E:$EU,COLUMN(基本資料填寫!S42),0),"")</f>
        <v/>
      </c>
      <c r="G44" s="233" t="str">
        <f>IFERROR(VLOOKUP(基本資料填寫!$E$1&amp;"-"&amp;ROW(P42),基本資料填寫!$E:$EU,COLUMN(基本資料填寫!T42),0),"")</f>
        <v/>
      </c>
      <c r="H44" s="233" t="str">
        <f>IFERROR(VLOOKUP(基本資料填寫!$E$1&amp;"-"&amp;ROW(R42),基本資料填寫!$E:$EU,COLUMN(基本資料填寫!V42),0),"")</f>
        <v/>
      </c>
      <c r="I44" s="233" t="str">
        <f>IFERROR(VLOOKUP(基本資料填寫!$E$1&amp;"-"&amp;ROW(S42),基本資料填寫!$E:$EU,COLUMN(基本資料填寫!W42),0),"")</f>
        <v/>
      </c>
      <c r="J44" s="233" t="str">
        <f>IFERROR(VLOOKUP(基本資料填寫!$E$1&amp;"-"&amp;ROW(T42),基本資料填寫!$E:$EU,COLUMN(基本資料填寫!X42),0),"")</f>
        <v/>
      </c>
      <c r="K44" s="233" t="str">
        <f>IFERROR(VLOOKUP(基本資料填寫!$E$1&amp;"-"&amp;ROW(U42),基本資料填寫!$E:$EU,COLUMN(基本資料填寫!Y42),0),"")</f>
        <v/>
      </c>
      <c r="L44" s="233" t="str">
        <f>IFERROR(VLOOKUP(基本資料填寫!$E$1&amp;"-"&amp;ROW(V42),基本資料填寫!$E:$EU,COLUMN(基本資料填寫!Z42),0),"")</f>
        <v/>
      </c>
      <c r="M44" s="233" t="str">
        <f>IFERROR(VLOOKUP(基本資料填寫!$E$1&amp;"-"&amp;ROW(W42),基本資料填寫!$E:$EU,COLUMN(基本資料填寫!AA42),0),"")</f>
        <v/>
      </c>
      <c r="N44" s="233" t="str">
        <f>IFERROR(VLOOKUP(基本資料填寫!$E$1&amp;"-"&amp;ROW(X42),基本資料填寫!$E:$EU,COLUMN(基本資料填寫!AB42),0),"")</f>
        <v/>
      </c>
    </row>
    <row r="45" spans="1:14" x14ac:dyDescent="0.3">
      <c r="A45" s="232" t="str">
        <f>IF(E45="","",COUNTA($E$3:E45))</f>
        <v/>
      </c>
      <c r="B45" s="233" t="str">
        <f>IFERROR(VLOOKUP(基本資料填寫!$E$1&amp;"-"&amp;ROW(F43),基本資料填寫!$E:$EU,COLUMN(基本資料填寫!F43),0),"")</f>
        <v/>
      </c>
      <c r="C45" s="233" t="str">
        <f>IFERROR(VLOOKUP(基本資料填寫!$E$1&amp;"-"&amp;ROW(K43),基本資料填寫!$E:$EU,COLUMN(基本資料填寫!K43),0),"")</f>
        <v/>
      </c>
      <c r="D45" s="233" t="str">
        <f>IFERROR(VLOOKUP(基本資料填寫!$E$1&amp;"-"&amp;ROW(H43),基本資料填寫!$E:$EU,COLUMN(基本資料填寫!L43),0),"")</f>
        <v/>
      </c>
      <c r="E45" s="233" t="str">
        <f>IFERROR(VLOOKUP(基本資料填寫!$E$1&amp;"-"&amp;ROW(I43),基本資料填寫!$E:$EU,COLUMN(基本資料填寫!M43),0),"")</f>
        <v/>
      </c>
      <c r="F45" s="233" t="str">
        <f>IFERROR(VLOOKUP(基本資料填寫!$E$1&amp;"-"&amp;ROW(O43),基本資料填寫!$E:$EU,COLUMN(基本資料填寫!S43),0),"")</f>
        <v/>
      </c>
      <c r="G45" s="233" t="str">
        <f>IFERROR(VLOOKUP(基本資料填寫!$E$1&amp;"-"&amp;ROW(P43),基本資料填寫!$E:$EU,COLUMN(基本資料填寫!T43),0),"")</f>
        <v/>
      </c>
      <c r="H45" s="233" t="str">
        <f>IFERROR(VLOOKUP(基本資料填寫!$E$1&amp;"-"&amp;ROW(R43),基本資料填寫!$E:$EU,COLUMN(基本資料填寫!V43),0),"")</f>
        <v/>
      </c>
      <c r="I45" s="233" t="str">
        <f>IFERROR(VLOOKUP(基本資料填寫!$E$1&amp;"-"&amp;ROW(S43),基本資料填寫!$E:$EU,COLUMN(基本資料填寫!W43),0),"")</f>
        <v/>
      </c>
      <c r="J45" s="233" t="str">
        <f>IFERROR(VLOOKUP(基本資料填寫!$E$1&amp;"-"&amp;ROW(T43),基本資料填寫!$E:$EU,COLUMN(基本資料填寫!X43),0),"")</f>
        <v/>
      </c>
      <c r="K45" s="233" t="str">
        <f>IFERROR(VLOOKUP(基本資料填寫!$E$1&amp;"-"&amp;ROW(U43),基本資料填寫!$E:$EU,COLUMN(基本資料填寫!Y43),0),"")</f>
        <v/>
      </c>
      <c r="L45" s="233" t="str">
        <f>IFERROR(VLOOKUP(基本資料填寫!$E$1&amp;"-"&amp;ROW(V43),基本資料填寫!$E:$EU,COLUMN(基本資料填寫!Z43),0),"")</f>
        <v/>
      </c>
      <c r="M45" s="233" t="str">
        <f>IFERROR(VLOOKUP(基本資料填寫!$E$1&amp;"-"&amp;ROW(W43),基本資料填寫!$E:$EU,COLUMN(基本資料填寫!AA43),0),"")</f>
        <v/>
      </c>
      <c r="N45" s="233" t="str">
        <f>IFERROR(VLOOKUP(基本資料填寫!$E$1&amp;"-"&amp;ROW(X43),基本資料填寫!$E:$EU,COLUMN(基本資料填寫!AB43),0),"")</f>
        <v/>
      </c>
    </row>
    <row r="46" spans="1:14" x14ac:dyDescent="0.3">
      <c r="A46" s="232" t="str">
        <f>IF(E46="","",COUNTA($E$3:E46))</f>
        <v/>
      </c>
      <c r="B46" s="233" t="str">
        <f>IFERROR(VLOOKUP(基本資料填寫!$E$1&amp;"-"&amp;ROW(F44),基本資料填寫!$E:$EU,COLUMN(基本資料填寫!F44),0),"")</f>
        <v/>
      </c>
      <c r="C46" s="233" t="str">
        <f>IFERROR(VLOOKUP(基本資料填寫!$E$1&amp;"-"&amp;ROW(K44),基本資料填寫!$E:$EU,COLUMN(基本資料填寫!K44),0),"")</f>
        <v/>
      </c>
      <c r="D46" s="233" t="str">
        <f>IFERROR(VLOOKUP(基本資料填寫!$E$1&amp;"-"&amp;ROW(H44),基本資料填寫!$E:$EU,COLUMN(基本資料填寫!L44),0),"")</f>
        <v/>
      </c>
      <c r="E46" s="233" t="str">
        <f>IFERROR(VLOOKUP(基本資料填寫!$E$1&amp;"-"&amp;ROW(I44),基本資料填寫!$E:$EU,COLUMN(基本資料填寫!M44),0),"")</f>
        <v/>
      </c>
      <c r="F46" s="233" t="str">
        <f>IFERROR(VLOOKUP(基本資料填寫!$E$1&amp;"-"&amp;ROW(O44),基本資料填寫!$E:$EU,COLUMN(基本資料填寫!S44),0),"")</f>
        <v/>
      </c>
      <c r="G46" s="233" t="str">
        <f>IFERROR(VLOOKUP(基本資料填寫!$E$1&amp;"-"&amp;ROW(P44),基本資料填寫!$E:$EU,COLUMN(基本資料填寫!T44),0),"")</f>
        <v/>
      </c>
      <c r="H46" s="233" t="str">
        <f>IFERROR(VLOOKUP(基本資料填寫!$E$1&amp;"-"&amp;ROW(R44),基本資料填寫!$E:$EU,COLUMN(基本資料填寫!V44),0),"")</f>
        <v/>
      </c>
      <c r="I46" s="233" t="str">
        <f>IFERROR(VLOOKUP(基本資料填寫!$E$1&amp;"-"&amp;ROW(S44),基本資料填寫!$E:$EU,COLUMN(基本資料填寫!W44),0),"")</f>
        <v/>
      </c>
      <c r="J46" s="233" t="str">
        <f>IFERROR(VLOOKUP(基本資料填寫!$E$1&amp;"-"&amp;ROW(T44),基本資料填寫!$E:$EU,COLUMN(基本資料填寫!X44),0),"")</f>
        <v/>
      </c>
      <c r="K46" s="233" t="str">
        <f>IFERROR(VLOOKUP(基本資料填寫!$E$1&amp;"-"&amp;ROW(U44),基本資料填寫!$E:$EU,COLUMN(基本資料填寫!Y44),0),"")</f>
        <v/>
      </c>
      <c r="L46" s="233" t="str">
        <f>IFERROR(VLOOKUP(基本資料填寫!$E$1&amp;"-"&amp;ROW(V44),基本資料填寫!$E:$EU,COLUMN(基本資料填寫!Z44),0),"")</f>
        <v/>
      </c>
      <c r="M46" s="233" t="str">
        <f>IFERROR(VLOOKUP(基本資料填寫!$E$1&amp;"-"&amp;ROW(W44),基本資料填寫!$E:$EU,COLUMN(基本資料填寫!AA44),0),"")</f>
        <v/>
      </c>
      <c r="N46" s="233" t="str">
        <f>IFERROR(VLOOKUP(基本資料填寫!$E$1&amp;"-"&amp;ROW(X44),基本資料填寫!$E:$EU,COLUMN(基本資料填寫!AB44),0),"")</f>
        <v/>
      </c>
    </row>
    <row r="47" spans="1:14" x14ac:dyDescent="0.3">
      <c r="A47" s="232" t="str">
        <f>IF(E47="","",COUNTA($E$3:E47))</f>
        <v/>
      </c>
      <c r="B47" s="233" t="str">
        <f>IFERROR(VLOOKUP(基本資料填寫!$E$1&amp;"-"&amp;ROW(F45),基本資料填寫!$E:$EU,COLUMN(基本資料填寫!F45),0),"")</f>
        <v/>
      </c>
      <c r="C47" s="233" t="str">
        <f>IFERROR(VLOOKUP(基本資料填寫!$E$1&amp;"-"&amp;ROW(K45),基本資料填寫!$E:$EU,COLUMN(基本資料填寫!K45),0),"")</f>
        <v/>
      </c>
      <c r="D47" s="233" t="str">
        <f>IFERROR(VLOOKUP(基本資料填寫!$E$1&amp;"-"&amp;ROW(H45),基本資料填寫!$E:$EU,COLUMN(基本資料填寫!L45),0),"")</f>
        <v/>
      </c>
      <c r="E47" s="233" t="str">
        <f>IFERROR(VLOOKUP(基本資料填寫!$E$1&amp;"-"&amp;ROW(I45),基本資料填寫!$E:$EU,COLUMN(基本資料填寫!M45),0),"")</f>
        <v/>
      </c>
      <c r="F47" s="233" t="str">
        <f>IFERROR(VLOOKUP(基本資料填寫!$E$1&amp;"-"&amp;ROW(O45),基本資料填寫!$E:$EU,COLUMN(基本資料填寫!S45),0),"")</f>
        <v/>
      </c>
      <c r="G47" s="233" t="str">
        <f>IFERROR(VLOOKUP(基本資料填寫!$E$1&amp;"-"&amp;ROW(P45),基本資料填寫!$E:$EU,COLUMN(基本資料填寫!T45),0),"")</f>
        <v/>
      </c>
      <c r="H47" s="233" t="str">
        <f>IFERROR(VLOOKUP(基本資料填寫!$E$1&amp;"-"&amp;ROW(R45),基本資料填寫!$E:$EU,COLUMN(基本資料填寫!V45),0),"")</f>
        <v/>
      </c>
      <c r="I47" s="233" t="str">
        <f>IFERROR(VLOOKUP(基本資料填寫!$E$1&amp;"-"&amp;ROW(S45),基本資料填寫!$E:$EU,COLUMN(基本資料填寫!W45),0),"")</f>
        <v/>
      </c>
      <c r="J47" s="233" t="str">
        <f>IFERROR(VLOOKUP(基本資料填寫!$E$1&amp;"-"&amp;ROW(T45),基本資料填寫!$E:$EU,COLUMN(基本資料填寫!X45),0),"")</f>
        <v/>
      </c>
      <c r="K47" s="233" t="str">
        <f>IFERROR(VLOOKUP(基本資料填寫!$E$1&amp;"-"&amp;ROW(U45),基本資料填寫!$E:$EU,COLUMN(基本資料填寫!Y45),0),"")</f>
        <v/>
      </c>
      <c r="L47" s="233" t="str">
        <f>IFERROR(VLOOKUP(基本資料填寫!$E$1&amp;"-"&amp;ROW(V45),基本資料填寫!$E:$EU,COLUMN(基本資料填寫!Z45),0),"")</f>
        <v/>
      </c>
      <c r="M47" s="233" t="str">
        <f>IFERROR(VLOOKUP(基本資料填寫!$E$1&amp;"-"&amp;ROW(W45),基本資料填寫!$E:$EU,COLUMN(基本資料填寫!AA45),0),"")</f>
        <v/>
      </c>
      <c r="N47" s="233" t="str">
        <f>IFERROR(VLOOKUP(基本資料填寫!$E$1&amp;"-"&amp;ROW(X45),基本資料填寫!$E:$EU,COLUMN(基本資料填寫!AB45),0),"")</f>
        <v/>
      </c>
    </row>
    <row r="48" spans="1:14" x14ac:dyDescent="0.3">
      <c r="A48" s="232" t="str">
        <f>IF(E48="","",COUNTA($E$3:E48))</f>
        <v/>
      </c>
      <c r="B48" s="233" t="str">
        <f>IFERROR(VLOOKUP(基本資料填寫!$E$1&amp;"-"&amp;ROW(F46),基本資料填寫!$E:$EU,COLUMN(基本資料填寫!F46),0),"")</f>
        <v/>
      </c>
      <c r="C48" s="233" t="str">
        <f>IFERROR(VLOOKUP(基本資料填寫!$E$1&amp;"-"&amp;ROW(K46),基本資料填寫!$E:$EU,COLUMN(基本資料填寫!K46),0),"")</f>
        <v/>
      </c>
      <c r="D48" s="233" t="str">
        <f>IFERROR(VLOOKUP(基本資料填寫!$E$1&amp;"-"&amp;ROW(H46),基本資料填寫!$E:$EU,COLUMN(基本資料填寫!L46),0),"")</f>
        <v/>
      </c>
      <c r="E48" s="233" t="str">
        <f>IFERROR(VLOOKUP(基本資料填寫!$E$1&amp;"-"&amp;ROW(I46),基本資料填寫!$E:$EU,COLUMN(基本資料填寫!M46),0),"")</f>
        <v/>
      </c>
      <c r="F48" s="233" t="str">
        <f>IFERROR(VLOOKUP(基本資料填寫!$E$1&amp;"-"&amp;ROW(O46),基本資料填寫!$E:$EU,COLUMN(基本資料填寫!S46),0),"")</f>
        <v/>
      </c>
      <c r="G48" s="233" t="str">
        <f>IFERROR(VLOOKUP(基本資料填寫!$E$1&amp;"-"&amp;ROW(P46),基本資料填寫!$E:$EU,COLUMN(基本資料填寫!T46),0),"")</f>
        <v/>
      </c>
      <c r="H48" s="233" t="str">
        <f>IFERROR(VLOOKUP(基本資料填寫!$E$1&amp;"-"&amp;ROW(R46),基本資料填寫!$E:$EU,COLUMN(基本資料填寫!V46),0),"")</f>
        <v/>
      </c>
      <c r="I48" s="233" t="str">
        <f>IFERROR(VLOOKUP(基本資料填寫!$E$1&amp;"-"&amp;ROW(S46),基本資料填寫!$E:$EU,COLUMN(基本資料填寫!W46),0),"")</f>
        <v/>
      </c>
      <c r="J48" s="233" t="str">
        <f>IFERROR(VLOOKUP(基本資料填寫!$E$1&amp;"-"&amp;ROW(T46),基本資料填寫!$E:$EU,COLUMN(基本資料填寫!X46),0),"")</f>
        <v/>
      </c>
      <c r="K48" s="233" t="str">
        <f>IFERROR(VLOOKUP(基本資料填寫!$E$1&amp;"-"&amp;ROW(U46),基本資料填寫!$E:$EU,COLUMN(基本資料填寫!Y46),0),"")</f>
        <v/>
      </c>
      <c r="L48" s="233" t="str">
        <f>IFERROR(VLOOKUP(基本資料填寫!$E$1&amp;"-"&amp;ROW(V46),基本資料填寫!$E:$EU,COLUMN(基本資料填寫!Z46),0),"")</f>
        <v/>
      </c>
      <c r="M48" s="233" t="str">
        <f>IFERROR(VLOOKUP(基本資料填寫!$E$1&amp;"-"&amp;ROW(W46),基本資料填寫!$E:$EU,COLUMN(基本資料填寫!AA46),0),"")</f>
        <v/>
      </c>
      <c r="N48" s="233" t="str">
        <f>IFERROR(VLOOKUP(基本資料填寫!$E$1&amp;"-"&amp;ROW(X46),基本資料填寫!$E:$EU,COLUMN(基本資料填寫!AB46),0),"")</f>
        <v/>
      </c>
    </row>
    <row r="49" spans="1:14" x14ac:dyDescent="0.3">
      <c r="A49" s="232" t="str">
        <f>IF(E49="","",COUNTA($E$3:E49))</f>
        <v/>
      </c>
      <c r="B49" s="233" t="str">
        <f>IFERROR(VLOOKUP(基本資料填寫!$E$1&amp;"-"&amp;ROW(F47),基本資料填寫!$E:$EU,COLUMN(基本資料填寫!F47),0),"")</f>
        <v/>
      </c>
      <c r="C49" s="233" t="str">
        <f>IFERROR(VLOOKUP(基本資料填寫!$E$1&amp;"-"&amp;ROW(K47),基本資料填寫!$E:$EU,COLUMN(基本資料填寫!K47),0),"")</f>
        <v/>
      </c>
      <c r="D49" s="233" t="str">
        <f>IFERROR(VLOOKUP(基本資料填寫!$E$1&amp;"-"&amp;ROW(H47),基本資料填寫!$E:$EU,COLUMN(基本資料填寫!L47),0),"")</f>
        <v/>
      </c>
      <c r="E49" s="233" t="str">
        <f>IFERROR(VLOOKUP(基本資料填寫!$E$1&amp;"-"&amp;ROW(I47),基本資料填寫!$E:$EU,COLUMN(基本資料填寫!M47),0),"")</f>
        <v/>
      </c>
      <c r="F49" s="233" t="str">
        <f>IFERROR(VLOOKUP(基本資料填寫!$E$1&amp;"-"&amp;ROW(O47),基本資料填寫!$E:$EU,COLUMN(基本資料填寫!S47),0),"")</f>
        <v/>
      </c>
      <c r="G49" s="233" t="str">
        <f>IFERROR(VLOOKUP(基本資料填寫!$E$1&amp;"-"&amp;ROW(P47),基本資料填寫!$E:$EU,COLUMN(基本資料填寫!T47),0),"")</f>
        <v/>
      </c>
      <c r="H49" s="233" t="str">
        <f>IFERROR(VLOOKUP(基本資料填寫!$E$1&amp;"-"&amp;ROW(R47),基本資料填寫!$E:$EU,COLUMN(基本資料填寫!V47),0),"")</f>
        <v/>
      </c>
      <c r="I49" s="233" t="str">
        <f>IFERROR(VLOOKUP(基本資料填寫!$E$1&amp;"-"&amp;ROW(S47),基本資料填寫!$E:$EU,COLUMN(基本資料填寫!W47),0),"")</f>
        <v/>
      </c>
      <c r="J49" s="233" t="str">
        <f>IFERROR(VLOOKUP(基本資料填寫!$E$1&amp;"-"&amp;ROW(T47),基本資料填寫!$E:$EU,COLUMN(基本資料填寫!X47),0),"")</f>
        <v/>
      </c>
      <c r="K49" s="233" t="str">
        <f>IFERROR(VLOOKUP(基本資料填寫!$E$1&amp;"-"&amp;ROW(U47),基本資料填寫!$E:$EU,COLUMN(基本資料填寫!Y47),0),"")</f>
        <v/>
      </c>
      <c r="L49" s="233" t="str">
        <f>IFERROR(VLOOKUP(基本資料填寫!$E$1&amp;"-"&amp;ROW(V47),基本資料填寫!$E:$EU,COLUMN(基本資料填寫!Z47),0),"")</f>
        <v/>
      </c>
      <c r="M49" s="233" t="str">
        <f>IFERROR(VLOOKUP(基本資料填寫!$E$1&amp;"-"&amp;ROW(W47),基本資料填寫!$E:$EU,COLUMN(基本資料填寫!AA47),0),"")</f>
        <v/>
      </c>
      <c r="N49" s="233" t="str">
        <f>IFERROR(VLOOKUP(基本資料填寫!$E$1&amp;"-"&amp;ROW(X47),基本資料填寫!$E:$EU,COLUMN(基本資料填寫!AB47),0),"")</f>
        <v/>
      </c>
    </row>
    <row r="50" spans="1:14" x14ac:dyDescent="0.3">
      <c r="A50" s="232" t="str">
        <f>IF(E50="","",COUNTA($E$3:E50))</f>
        <v/>
      </c>
      <c r="B50" s="233" t="str">
        <f>IFERROR(VLOOKUP(基本資料填寫!$E$1&amp;"-"&amp;ROW(F48),基本資料填寫!$E:$EU,COLUMN(基本資料填寫!F48),0),"")</f>
        <v/>
      </c>
      <c r="C50" s="233" t="str">
        <f>IFERROR(VLOOKUP(基本資料填寫!$E$1&amp;"-"&amp;ROW(K48),基本資料填寫!$E:$EU,COLUMN(基本資料填寫!K48),0),"")</f>
        <v/>
      </c>
      <c r="D50" s="233" t="str">
        <f>IFERROR(VLOOKUP(基本資料填寫!$E$1&amp;"-"&amp;ROW(H48),基本資料填寫!$E:$EU,COLUMN(基本資料填寫!L48),0),"")</f>
        <v/>
      </c>
      <c r="E50" s="233" t="str">
        <f>IFERROR(VLOOKUP(基本資料填寫!$E$1&amp;"-"&amp;ROW(I48),基本資料填寫!$E:$EU,COLUMN(基本資料填寫!M48),0),"")</f>
        <v/>
      </c>
      <c r="F50" s="233" t="str">
        <f>IFERROR(VLOOKUP(基本資料填寫!$E$1&amp;"-"&amp;ROW(O48),基本資料填寫!$E:$EU,COLUMN(基本資料填寫!S48),0),"")</f>
        <v/>
      </c>
      <c r="G50" s="233" t="str">
        <f>IFERROR(VLOOKUP(基本資料填寫!$E$1&amp;"-"&amp;ROW(P48),基本資料填寫!$E:$EU,COLUMN(基本資料填寫!T48),0),"")</f>
        <v/>
      </c>
      <c r="H50" s="233" t="str">
        <f>IFERROR(VLOOKUP(基本資料填寫!$E$1&amp;"-"&amp;ROW(R48),基本資料填寫!$E:$EU,COLUMN(基本資料填寫!V48),0),"")</f>
        <v/>
      </c>
      <c r="I50" s="233" t="str">
        <f>IFERROR(VLOOKUP(基本資料填寫!$E$1&amp;"-"&amp;ROW(S48),基本資料填寫!$E:$EU,COLUMN(基本資料填寫!W48),0),"")</f>
        <v/>
      </c>
      <c r="J50" s="233" t="str">
        <f>IFERROR(VLOOKUP(基本資料填寫!$E$1&amp;"-"&amp;ROW(T48),基本資料填寫!$E:$EU,COLUMN(基本資料填寫!X48),0),"")</f>
        <v/>
      </c>
      <c r="K50" s="233" t="str">
        <f>IFERROR(VLOOKUP(基本資料填寫!$E$1&amp;"-"&amp;ROW(U48),基本資料填寫!$E:$EU,COLUMN(基本資料填寫!Y48),0),"")</f>
        <v/>
      </c>
      <c r="L50" s="233" t="str">
        <f>IFERROR(VLOOKUP(基本資料填寫!$E$1&amp;"-"&amp;ROW(V48),基本資料填寫!$E:$EU,COLUMN(基本資料填寫!Z48),0),"")</f>
        <v/>
      </c>
      <c r="M50" s="233" t="str">
        <f>IFERROR(VLOOKUP(基本資料填寫!$E$1&amp;"-"&amp;ROW(W48),基本資料填寫!$E:$EU,COLUMN(基本資料填寫!AA48),0),"")</f>
        <v/>
      </c>
      <c r="N50" s="233" t="str">
        <f>IFERROR(VLOOKUP(基本資料填寫!$E$1&amp;"-"&amp;ROW(X48),基本資料填寫!$E:$EU,COLUMN(基本資料填寫!AB48),0),"")</f>
        <v/>
      </c>
    </row>
    <row r="51" spans="1:14" x14ac:dyDescent="0.3">
      <c r="A51" s="232" t="str">
        <f>IF(E51="","",COUNTA($E$3:E51))</f>
        <v/>
      </c>
      <c r="B51" s="233" t="str">
        <f>IFERROR(VLOOKUP(基本資料填寫!$E$1&amp;"-"&amp;ROW(F49),基本資料填寫!$E:$EU,COLUMN(基本資料填寫!F49),0),"")</f>
        <v/>
      </c>
      <c r="C51" s="233" t="str">
        <f>IFERROR(VLOOKUP(基本資料填寫!$E$1&amp;"-"&amp;ROW(K49),基本資料填寫!$E:$EU,COLUMN(基本資料填寫!K49),0),"")</f>
        <v/>
      </c>
      <c r="D51" s="233" t="str">
        <f>IFERROR(VLOOKUP(基本資料填寫!$E$1&amp;"-"&amp;ROW(H49),基本資料填寫!$E:$EU,COLUMN(基本資料填寫!L49),0),"")</f>
        <v/>
      </c>
      <c r="E51" s="233" t="str">
        <f>IFERROR(VLOOKUP(基本資料填寫!$E$1&amp;"-"&amp;ROW(I49),基本資料填寫!$E:$EU,COLUMN(基本資料填寫!M49),0),"")</f>
        <v/>
      </c>
      <c r="F51" s="233" t="str">
        <f>IFERROR(VLOOKUP(基本資料填寫!$E$1&amp;"-"&amp;ROW(O49),基本資料填寫!$E:$EU,COLUMN(基本資料填寫!S49),0),"")</f>
        <v/>
      </c>
      <c r="G51" s="233" t="str">
        <f>IFERROR(VLOOKUP(基本資料填寫!$E$1&amp;"-"&amp;ROW(P49),基本資料填寫!$E:$EU,COLUMN(基本資料填寫!T49),0),"")</f>
        <v/>
      </c>
      <c r="H51" s="233" t="str">
        <f>IFERROR(VLOOKUP(基本資料填寫!$E$1&amp;"-"&amp;ROW(R49),基本資料填寫!$E:$EU,COLUMN(基本資料填寫!V49),0),"")</f>
        <v/>
      </c>
      <c r="I51" s="233" t="str">
        <f>IFERROR(VLOOKUP(基本資料填寫!$E$1&amp;"-"&amp;ROW(S49),基本資料填寫!$E:$EU,COLUMN(基本資料填寫!W49),0),"")</f>
        <v/>
      </c>
      <c r="J51" s="233" t="str">
        <f>IFERROR(VLOOKUP(基本資料填寫!$E$1&amp;"-"&amp;ROW(T49),基本資料填寫!$E:$EU,COLUMN(基本資料填寫!X49),0),"")</f>
        <v/>
      </c>
      <c r="K51" s="233" t="str">
        <f>IFERROR(VLOOKUP(基本資料填寫!$E$1&amp;"-"&amp;ROW(U49),基本資料填寫!$E:$EU,COLUMN(基本資料填寫!Y49),0),"")</f>
        <v/>
      </c>
      <c r="L51" s="233" t="str">
        <f>IFERROR(VLOOKUP(基本資料填寫!$E$1&amp;"-"&amp;ROW(V49),基本資料填寫!$E:$EU,COLUMN(基本資料填寫!Z49),0),"")</f>
        <v/>
      </c>
      <c r="M51" s="233" t="str">
        <f>IFERROR(VLOOKUP(基本資料填寫!$E$1&amp;"-"&amp;ROW(W49),基本資料填寫!$E:$EU,COLUMN(基本資料填寫!AA49),0),"")</f>
        <v/>
      </c>
      <c r="N51" s="233" t="str">
        <f>IFERROR(VLOOKUP(基本資料填寫!$E$1&amp;"-"&amp;ROW(X49),基本資料填寫!$E:$EU,COLUMN(基本資料填寫!AB49),0),"")</f>
        <v/>
      </c>
    </row>
    <row r="52" spans="1:14" x14ac:dyDescent="0.3">
      <c r="A52" s="232" t="str">
        <f>IF(E52="","",COUNTA($E$3:E52))</f>
        <v/>
      </c>
      <c r="B52" s="233" t="str">
        <f>IFERROR(VLOOKUP(基本資料填寫!$E$1&amp;"-"&amp;ROW(F50),基本資料填寫!$E:$EU,COLUMN(基本資料填寫!F50),0),"")</f>
        <v/>
      </c>
      <c r="C52" s="233" t="str">
        <f>IFERROR(VLOOKUP(基本資料填寫!$E$1&amp;"-"&amp;ROW(K50),基本資料填寫!$E:$EU,COLUMN(基本資料填寫!K50),0),"")</f>
        <v/>
      </c>
      <c r="D52" s="233" t="str">
        <f>IFERROR(VLOOKUP(基本資料填寫!$E$1&amp;"-"&amp;ROW(H50),基本資料填寫!$E:$EU,COLUMN(基本資料填寫!L50),0),"")</f>
        <v/>
      </c>
      <c r="E52" s="233" t="str">
        <f>IFERROR(VLOOKUP(基本資料填寫!$E$1&amp;"-"&amp;ROW(I50),基本資料填寫!$E:$EU,COLUMN(基本資料填寫!M50),0),"")</f>
        <v/>
      </c>
      <c r="F52" s="233" t="str">
        <f>IFERROR(VLOOKUP(基本資料填寫!$E$1&amp;"-"&amp;ROW(O50),基本資料填寫!$E:$EU,COLUMN(基本資料填寫!S50),0),"")</f>
        <v/>
      </c>
      <c r="G52" s="233" t="str">
        <f>IFERROR(VLOOKUP(基本資料填寫!$E$1&amp;"-"&amp;ROW(P50),基本資料填寫!$E:$EU,COLUMN(基本資料填寫!T50),0),"")</f>
        <v/>
      </c>
      <c r="H52" s="233" t="str">
        <f>IFERROR(VLOOKUP(基本資料填寫!$E$1&amp;"-"&amp;ROW(R50),基本資料填寫!$E:$EU,COLUMN(基本資料填寫!V50),0),"")</f>
        <v/>
      </c>
      <c r="I52" s="233" t="str">
        <f>IFERROR(VLOOKUP(基本資料填寫!$E$1&amp;"-"&amp;ROW(S50),基本資料填寫!$E:$EU,COLUMN(基本資料填寫!W50),0),"")</f>
        <v/>
      </c>
      <c r="J52" s="233" t="str">
        <f>IFERROR(VLOOKUP(基本資料填寫!$E$1&amp;"-"&amp;ROW(T50),基本資料填寫!$E:$EU,COLUMN(基本資料填寫!X50),0),"")</f>
        <v/>
      </c>
      <c r="K52" s="233" t="str">
        <f>IFERROR(VLOOKUP(基本資料填寫!$E$1&amp;"-"&amp;ROW(U50),基本資料填寫!$E:$EU,COLUMN(基本資料填寫!Y50),0),"")</f>
        <v/>
      </c>
      <c r="L52" s="233" t="str">
        <f>IFERROR(VLOOKUP(基本資料填寫!$E$1&amp;"-"&amp;ROW(V50),基本資料填寫!$E:$EU,COLUMN(基本資料填寫!Z50),0),"")</f>
        <v/>
      </c>
      <c r="M52" s="233" t="str">
        <f>IFERROR(VLOOKUP(基本資料填寫!$E$1&amp;"-"&amp;ROW(W50),基本資料填寫!$E:$EU,COLUMN(基本資料填寫!AA50),0),"")</f>
        <v/>
      </c>
      <c r="N52" s="233" t="str">
        <f>IFERROR(VLOOKUP(基本資料填寫!$E$1&amp;"-"&amp;ROW(X50),基本資料填寫!$E:$EU,COLUMN(基本資料填寫!AB50),0),"")</f>
        <v/>
      </c>
    </row>
    <row r="53" spans="1:14" x14ac:dyDescent="0.3">
      <c r="A53" s="232" t="str">
        <f>IF(E53="","",COUNTA($E$3:E53))</f>
        <v/>
      </c>
      <c r="B53" s="233" t="str">
        <f>IFERROR(VLOOKUP(基本資料填寫!$E$1&amp;"-"&amp;ROW(F51),基本資料填寫!$E:$EU,COLUMN(基本資料填寫!F51),0),"")</f>
        <v/>
      </c>
      <c r="C53" s="233" t="str">
        <f>IFERROR(VLOOKUP(基本資料填寫!$E$1&amp;"-"&amp;ROW(K51),基本資料填寫!$E:$EU,COLUMN(基本資料填寫!K51),0),"")</f>
        <v/>
      </c>
      <c r="D53" s="233" t="str">
        <f>IFERROR(VLOOKUP(基本資料填寫!$E$1&amp;"-"&amp;ROW(H51),基本資料填寫!$E:$EU,COLUMN(基本資料填寫!L51),0),"")</f>
        <v/>
      </c>
      <c r="E53" s="233" t="str">
        <f>IFERROR(VLOOKUP(基本資料填寫!$E$1&amp;"-"&amp;ROW(I51),基本資料填寫!$E:$EU,COLUMN(基本資料填寫!M51),0),"")</f>
        <v/>
      </c>
      <c r="F53" s="233" t="str">
        <f>IFERROR(VLOOKUP(基本資料填寫!$E$1&amp;"-"&amp;ROW(O51),基本資料填寫!$E:$EU,COLUMN(基本資料填寫!S51),0),"")</f>
        <v/>
      </c>
      <c r="G53" s="233" t="str">
        <f>IFERROR(VLOOKUP(基本資料填寫!$E$1&amp;"-"&amp;ROW(P51),基本資料填寫!$E:$EU,COLUMN(基本資料填寫!T51),0),"")</f>
        <v/>
      </c>
      <c r="H53" s="233" t="str">
        <f>IFERROR(VLOOKUP(基本資料填寫!$E$1&amp;"-"&amp;ROW(R51),基本資料填寫!$E:$EU,COLUMN(基本資料填寫!V51),0),"")</f>
        <v/>
      </c>
      <c r="I53" s="233" t="str">
        <f>IFERROR(VLOOKUP(基本資料填寫!$E$1&amp;"-"&amp;ROW(S51),基本資料填寫!$E:$EU,COLUMN(基本資料填寫!W51),0),"")</f>
        <v/>
      </c>
      <c r="J53" s="233" t="str">
        <f>IFERROR(VLOOKUP(基本資料填寫!$E$1&amp;"-"&amp;ROW(T51),基本資料填寫!$E:$EU,COLUMN(基本資料填寫!X51),0),"")</f>
        <v/>
      </c>
      <c r="K53" s="233" t="str">
        <f>IFERROR(VLOOKUP(基本資料填寫!$E$1&amp;"-"&amp;ROW(U51),基本資料填寫!$E:$EU,COLUMN(基本資料填寫!Y51),0),"")</f>
        <v/>
      </c>
      <c r="L53" s="233" t="str">
        <f>IFERROR(VLOOKUP(基本資料填寫!$E$1&amp;"-"&amp;ROW(V51),基本資料填寫!$E:$EU,COLUMN(基本資料填寫!Z51),0),"")</f>
        <v/>
      </c>
      <c r="M53" s="233" t="str">
        <f>IFERROR(VLOOKUP(基本資料填寫!$E$1&amp;"-"&amp;ROW(W51),基本資料填寫!$E:$EU,COLUMN(基本資料填寫!AA51),0),"")</f>
        <v/>
      </c>
      <c r="N53" s="233" t="str">
        <f>IFERROR(VLOOKUP(基本資料填寫!$E$1&amp;"-"&amp;ROW(X51),基本資料填寫!$E:$EU,COLUMN(基本資料填寫!AB51),0),"")</f>
        <v/>
      </c>
    </row>
    <row r="54" spans="1:14" x14ac:dyDescent="0.3">
      <c r="A54" s="232" t="str">
        <f>IF(E54="","",COUNTA($E$3:E54))</f>
        <v/>
      </c>
      <c r="B54" s="233" t="str">
        <f>IFERROR(VLOOKUP(基本資料填寫!$E$1&amp;"-"&amp;ROW(F52),基本資料填寫!$E:$EU,COLUMN(基本資料填寫!F52),0),"")</f>
        <v/>
      </c>
      <c r="C54" s="233" t="str">
        <f>IFERROR(VLOOKUP(基本資料填寫!$E$1&amp;"-"&amp;ROW(K52),基本資料填寫!$E:$EU,COLUMN(基本資料填寫!K52),0),"")</f>
        <v/>
      </c>
      <c r="D54" s="233" t="str">
        <f>IFERROR(VLOOKUP(基本資料填寫!$E$1&amp;"-"&amp;ROW(H52),基本資料填寫!$E:$EU,COLUMN(基本資料填寫!L52),0),"")</f>
        <v/>
      </c>
      <c r="E54" s="233" t="str">
        <f>IFERROR(VLOOKUP(基本資料填寫!$E$1&amp;"-"&amp;ROW(I52),基本資料填寫!$E:$EU,COLUMN(基本資料填寫!M52),0),"")</f>
        <v/>
      </c>
      <c r="F54" s="233" t="str">
        <f>IFERROR(VLOOKUP(基本資料填寫!$E$1&amp;"-"&amp;ROW(O52),基本資料填寫!$E:$EU,COLUMN(基本資料填寫!S52),0),"")</f>
        <v/>
      </c>
      <c r="G54" s="233" t="str">
        <f>IFERROR(VLOOKUP(基本資料填寫!$E$1&amp;"-"&amp;ROW(P52),基本資料填寫!$E:$EU,COLUMN(基本資料填寫!T52),0),"")</f>
        <v/>
      </c>
      <c r="H54" s="233" t="str">
        <f>IFERROR(VLOOKUP(基本資料填寫!$E$1&amp;"-"&amp;ROW(R52),基本資料填寫!$E:$EU,COLUMN(基本資料填寫!V52),0),"")</f>
        <v/>
      </c>
      <c r="I54" s="233" t="str">
        <f>IFERROR(VLOOKUP(基本資料填寫!$E$1&amp;"-"&amp;ROW(S52),基本資料填寫!$E:$EU,COLUMN(基本資料填寫!W52),0),"")</f>
        <v/>
      </c>
      <c r="J54" s="233" t="str">
        <f>IFERROR(VLOOKUP(基本資料填寫!$E$1&amp;"-"&amp;ROW(T52),基本資料填寫!$E:$EU,COLUMN(基本資料填寫!X52),0),"")</f>
        <v/>
      </c>
      <c r="K54" s="233" t="str">
        <f>IFERROR(VLOOKUP(基本資料填寫!$E$1&amp;"-"&amp;ROW(U52),基本資料填寫!$E:$EU,COLUMN(基本資料填寫!Y52),0),"")</f>
        <v/>
      </c>
      <c r="L54" s="233" t="str">
        <f>IFERROR(VLOOKUP(基本資料填寫!$E$1&amp;"-"&amp;ROW(V52),基本資料填寫!$E:$EU,COLUMN(基本資料填寫!Z52),0),"")</f>
        <v/>
      </c>
      <c r="M54" s="233" t="str">
        <f>IFERROR(VLOOKUP(基本資料填寫!$E$1&amp;"-"&amp;ROW(W52),基本資料填寫!$E:$EU,COLUMN(基本資料填寫!AA52),0),"")</f>
        <v/>
      </c>
      <c r="N54" s="233" t="str">
        <f>IFERROR(VLOOKUP(基本資料填寫!$E$1&amp;"-"&amp;ROW(X52),基本資料填寫!$E:$EU,COLUMN(基本資料填寫!AB52),0),"")</f>
        <v/>
      </c>
    </row>
    <row r="55" spans="1:14" x14ac:dyDescent="0.3">
      <c r="A55" s="232" t="str">
        <f>IF(E55="","",COUNTA($E$3:E55))</f>
        <v/>
      </c>
      <c r="B55" s="233" t="str">
        <f>IFERROR(VLOOKUP(基本資料填寫!$E$1&amp;"-"&amp;ROW(F53),基本資料填寫!$E:$EU,COLUMN(基本資料填寫!F53),0),"")</f>
        <v/>
      </c>
      <c r="C55" s="233" t="str">
        <f>IFERROR(VLOOKUP(基本資料填寫!$E$1&amp;"-"&amp;ROW(K53),基本資料填寫!$E:$EU,COLUMN(基本資料填寫!K53),0),"")</f>
        <v/>
      </c>
      <c r="D55" s="233" t="str">
        <f>IFERROR(VLOOKUP(基本資料填寫!$E$1&amp;"-"&amp;ROW(H53),基本資料填寫!$E:$EU,COLUMN(基本資料填寫!L53),0),"")</f>
        <v/>
      </c>
      <c r="E55" s="233" t="str">
        <f>IFERROR(VLOOKUP(基本資料填寫!$E$1&amp;"-"&amp;ROW(I53),基本資料填寫!$E:$EU,COLUMN(基本資料填寫!M53),0),"")</f>
        <v/>
      </c>
      <c r="F55" s="233" t="str">
        <f>IFERROR(VLOOKUP(基本資料填寫!$E$1&amp;"-"&amp;ROW(O53),基本資料填寫!$E:$EU,COLUMN(基本資料填寫!S53),0),"")</f>
        <v/>
      </c>
      <c r="G55" s="233" t="str">
        <f>IFERROR(VLOOKUP(基本資料填寫!$E$1&amp;"-"&amp;ROW(P53),基本資料填寫!$E:$EU,COLUMN(基本資料填寫!T53),0),"")</f>
        <v/>
      </c>
      <c r="H55" s="233" t="str">
        <f>IFERROR(VLOOKUP(基本資料填寫!$E$1&amp;"-"&amp;ROW(R53),基本資料填寫!$E:$EU,COLUMN(基本資料填寫!V53),0),"")</f>
        <v/>
      </c>
      <c r="I55" s="233" t="str">
        <f>IFERROR(VLOOKUP(基本資料填寫!$E$1&amp;"-"&amp;ROW(S53),基本資料填寫!$E:$EU,COLUMN(基本資料填寫!W53),0),"")</f>
        <v/>
      </c>
      <c r="J55" s="233" t="str">
        <f>IFERROR(VLOOKUP(基本資料填寫!$E$1&amp;"-"&amp;ROW(T53),基本資料填寫!$E:$EU,COLUMN(基本資料填寫!X53),0),"")</f>
        <v/>
      </c>
      <c r="K55" s="233" t="str">
        <f>IFERROR(VLOOKUP(基本資料填寫!$E$1&amp;"-"&amp;ROW(U53),基本資料填寫!$E:$EU,COLUMN(基本資料填寫!Y53),0),"")</f>
        <v/>
      </c>
      <c r="L55" s="233" t="str">
        <f>IFERROR(VLOOKUP(基本資料填寫!$E$1&amp;"-"&amp;ROW(V53),基本資料填寫!$E:$EU,COLUMN(基本資料填寫!Z53),0),"")</f>
        <v/>
      </c>
      <c r="M55" s="233" t="str">
        <f>IFERROR(VLOOKUP(基本資料填寫!$E$1&amp;"-"&amp;ROW(W53),基本資料填寫!$E:$EU,COLUMN(基本資料填寫!AA53),0),"")</f>
        <v/>
      </c>
      <c r="N55" s="233" t="str">
        <f>IFERROR(VLOOKUP(基本資料填寫!$E$1&amp;"-"&amp;ROW(X53),基本資料填寫!$E:$EU,COLUMN(基本資料填寫!AB53),0),"")</f>
        <v/>
      </c>
    </row>
    <row r="56" spans="1:14" x14ac:dyDescent="0.3">
      <c r="A56" s="232" t="str">
        <f>IF(E56="","",COUNTA($E$3:E56))</f>
        <v/>
      </c>
      <c r="B56" s="233" t="str">
        <f>IFERROR(VLOOKUP(基本資料填寫!$E$1&amp;"-"&amp;ROW(F54),基本資料填寫!$E:$EU,COLUMN(基本資料填寫!F54),0),"")</f>
        <v/>
      </c>
      <c r="C56" s="233" t="str">
        <f>IFERROR(VLOOKUP(基本資料填寫!$E$1&amp;"-"&amp;ROW(K54),基本資料填寫!$E:$EU,COLUMN(基本資料填寫!K54),0),"")</f>
        <v/>
      </c>
      <c r="D56" s="233" t="str">
        <f>IFERROR(VLOOKUP(基本資料填寫!$E$1&amp;"-"&amp;ROW(H54),基本資料填寫!$E:$EU,COLUMN(基本資料填寫!L54),0),"")</f>
        <v/>
      </c>
      <c r="E56" s="233" t="str">
        <f>IFERROR(VLOOKUP(基本資料填寫!$E$1&amp;"-"&amp;ROW(I54),基本資料填寫!$E:$EU,COLUMN(基本資料填寫!M54),0),"")</f>
        <v/>
      </c>
      <c r="F56" s="233" t="str">
        <f>IFERROR(VLOOKUP(基本資料填寫!$E$1&amp;"-"&amp;ROW(O54),基本資料填寫!$E:$EU,COLUMN(基本資料填寫!S54),0),"")</f>
        <v/>
      </c>
      <c r="G56" s="233" t="str">
        <f>IFERROR(VLOOKUP(基本資料填寫!$E$1&amp;"-"&amp;ROW(P54),基本資料填寫!$E:$EU,COLUMN(基本資料填寫!T54),0),"")</f>
        <v/>
      </c>
      <c r="H56" s="233" t="str">
        <f>IFERROR(VLOOKUP(基本資料填寫!$E$1&amp;"-"&amp;ROW(R54),基本資料填寫!$E:$EU,COLUMN(基本資料填寫!V54),0),"")</f>
        <v/>
      </c>
      <c r="I56" s="233" t="str">
        <f>IFERROR(VLOOKUP(基本資料填寫!$E$1&amp;"-"&amp;ROW(S54),基本資料填寫!$E:$EU,COLUMN(基本資料填寫!W54),0),"")</f>
        <v/>
      </c>
      <c r="J56" s="233" t="str">
        <f>IFERROR(VLOOKUP(基本資料填寫!$E$1&amp;"-"&amp;ROW(T54),基本資料填寫!$E:$EU,COLUMN(基本資料填寫!X54),0),"")</f>
        <v/>
      </c>
      <c r="K56" s="233" t="str">
        <f>IFERROR(VLOOKUP(基本資料填寫!$E$1&amp;"-"&amp;ROW(U54),基本資料填寫!$E:$EU,COLUMN(基本資料填寫!Y54),0),"")</f>
        <v/>
      </c>
      <c r="L56" s="233" t="str">
        <f>IFERROR(VLOOKUP(基本資料填寫!$E$1&amp;"-"&amp;ROW(V54),基本資料填寫!$E:$EU,COLUMN(基本資料填寫!Z54),0),"")</f>
        <v/>
      </c>
      <c r="M56" s="233" t="str">
        <f>IFERROR(VLOOKUP(基本資料填寫!$E$1&amp;"-"&amp;ROW(W54),基本資料填寫!$E:$EU,COLUMN(基本資料填寫!AA54),0),"")</f>
        <v/>
      </c>
      <c r="N56" s="233" t="str">
        <f>IFERROR(VLOOKUP(基本資料填寫!$E$1&amp;"-"&amp;ROW(X54),基本資料填寫!$E:$EU,COLUMN(基本資料填寫!AB54),0),"")</f>
        <v/>
      </c>
    </row>
    <row r="57" spans="1:14" x14ac:dyDescent="0.3">
      <c r="A57" s="232" t="str">
        <f>IF(E57="","",COUNTA($E$3:E57))</f>
        <v/>
      </c>
      <c r="B57" s="233" t="str">
        <f>IFERROR(VLOOKUP(基本資料填寫!$E$1&amp;"-"&amp;ROW(F55),基本資料填寫!$E:$EU,COLUMN(基本資料填寫!F55),0),"")</f>
        <v/>
      </c>
      <c r="C57" s="233" t="str">
        <f>IFERROR(VLOOKUP(基本資料填寫!$E$1&amp;"-"&amp;ROW(K55),基本資料填寫!$E:$EU,COLUMN(基本資料填寫!K55),0),"")</f>
        <v/>
      </c>
      <c r="D57" s="233" t="str">
        <f>IFERROR(VLOOKUP(基本資料填寫!$E$1&amp;"-"&amp;ROW(H55),基本資料填寫!$E:$EU,COLUMN(基本資料填寫!L55),0),"")</f>
        <v/>
      </c>
      <c r="E57" s="233" t="str">
        <f>IFERROR(VLOOKUP(基本資料填寫!$E$1&amp;"-"&amp;ROW(I55),基本資料填寫!$E:$EU,COLUMN(基本資料填寫!M55),0),"")</f>
        <v/>
      </c>
      <c r="F57" s="233" t="str">
        <f>IFERROR(VLOOKUP(基本資料填寫!$E$1&amp;"-"&amp;ROW(O55),基本資料填寫!$E:$EU,COLUMN(基本資料填寫!S55),0),"")</f>
        <v/>
      </c>
      <c r="G57" s="233" t="str">
        <f>IFERROR(VLOOKUP(基本資料填寫!$E$1&amp;"-"&amp;ROW(P55),基本資料填寫!$E:$EU,COLUMN(基本資料填寫!T55),0),"")</f>
        <v/>
      </c>
      <c r="H57" s="233" t="str">
        <f>IFERROR(VLOOKUP(基本資料填寫!$E$1&amp;"-"&amp;ROW(R55),基本資料填寫!$E:$EU,COLUMN(基本資料填寫!V55),0),"")</f>
        <v/>
      </c>
      <c r="I57" s="233" t="str">
        <f>IFERROR(VLOOKUP(基本資料填寫!$E$1&amp;"-"&amp;ROW(S55),基本資料填寫!$E:$EU,COLUMN(基本資料填寫!W55),0),"")</f>
        <v/>
      </c>
      <c r="J57" s="233" t="str">
        <f>IFERROR(VLOOKUP(基本資料填寫!$E$1&amp;"-"&amp;ROW(T55),基本資料填寫!$E:$EU,COLUMN(基本資料填寫!X55),0),"")</f>
        <v/>
      </c>
      <c r="K57" s="233" t="str">
        <f>IFERROR(VLOOKUP(基本資料填寫!$E$1&amp;"-"&amp;ROW(U55),基本資料填寫!$E:$EU,COLUMN(基本資料填寫!Y55),0),"")</f>
        <v/>
      </c>
      <c r="L57" s="233" t="str">
        <f>IFERROR(VLOOKUP(基本資料填寫!$E$1&amp;"-"&amp;ROW(V55),基本資料填寫!$E:$EU,COLUMN(基本資料填寫!Z55),0),"")</f>
        <v/>
      </c>
      <c r="M57" s="233" t="str">
        <f>IFERROR(VLOOKUP(基本資料填寫!$E$1&amp;"-"&amp;ROW(W55),基本資料填寫!$E:$EU,COLUMN(基本資料填寫!AA55),0),"")</f>
        <v/>
      </c>
      <c r="N57" s="233" t="str">
        <f>IFERROR(VLOOKUP(基本資料填寫!$E$1&amp;"-"&amp;ROW(X55),基本資料填寫!$E:$EU,COLUMN(基本資料填寫!AB55),0),"")</f>
        <v/>
      </c>
    </row>
    <row r="58" spans="1:14" x14ac:dyDescent="0.3">
      <c r="A58" s="232" t="str">
        <f>IF(E58="","",COUNTA($E$3:E58))</f>
        <v/>
      </c>
      <c r="B58" s="233" t="str">
        <f>IFERROR(VLOOKUP(基本資料填寫!$E$1&amp;"-"&amp;ROW(F56),基本資料填寫!$E:$EU,COLUMN(基本資料填寫!F56),0),"")</f>
        <v/>
      </c>
      <c r="C58" s="233" t="str">
        <f>IFERROR(VLOOKUP(基本資料填寫!$E$1&amp;"-"&amp;ROW(K56),基本資料填寫!$E:$EU,COLUMN(基本資料填寫!K56),0),"")</f>
        <v/>
      </c>
      <c r="D58" s="233" t="str">
        <f>IFERROR(VLOOKUP(基本資料填寫!$E$1&amp;"-"&amp;ROW(H56),基本資料填寫!$E:$EU,COLUMN(基本資料填寫!L56),0),"")</f>
        <v/>
      </c>
      <c r="E58" s="233" t="str">
        <f>IFERROR(VLOOKUP(基本資料填寫!$E$1&amp;"-"&amp;ROW(I56),基本資料填寫!$E:$EU,COLUMN(基本資料填寫!M56),0),"")</f>
        <v/>
      </c>
      <c r="F58" s="233" t="str">
        <f>IFERROR(VLOOKUP(基本資料填寫!$E$1&amp;"-"&amp;ROW(O56),基本資料填寫!$E:$EU,COLUMN(基本資料填寫!S56),0),"")</f>
        <v/>
      </c>
      <c r="G58" s="233" t="str">
        <f>IFERROR(VLOOKUP(基本資料填寫!$E$1&amp;"-"&amp;ROW(P56),基本資料填寫!$E:$EU,COLUMN(基本資料填寫!T56),0),"")</f>
        <v/>
      </c>
      <c r="H58" s="233" t="str">
        <f>IFERROR(VLOOKUP(基本資料填寫!$E$1&amp;"-"&amp;ROW(R56),基本資料填寫!$E:$EU,COLUMN(基本資料填寫!V56),0),"")</f>
        <v/>
      </c>
      <c r="I58" s="233" t="str">
        <f>IFERROR(VLOOKUP(基本資料填寫!$E$1&amp;"-"&amp;ROW(S56),基本資料填寫!$E:$EU,COLUMN(基本資料填寫!W56),0),"")</f>
        <v/>
      </c>
      <c r="J58" s="233" t="str">
        <f>IFERROR(VLOOKUP(基本資料填寫!$E$1&amp;"-"&amp;ROW(T56),基本資料填寫!$E:$EU,COLUMN(基本資料填寫!X56),0),"")</f>
        <v/>
      </c>
      <c r="K58" s="233" t="str">
        <f>IFERROR(VLOOKUP(基本資料填寫!$E$1&amp;"-"&amp;ROW(U56),基本資料填寫!$E:$EU,COLUMN(基本資料填寫!Y56),0),"")</f>
        <v/>
      </c>
      <c r="L58" s="233" t="str">
        <f>IFERROR(VLOOKUP(基本資料填寫!$E$1&amp;"-"&amp;ROW(V56),基本資料填寫!$E:$EU,COLUMN(基本資料填寫!Z56),0),"")</f>
        <v/>
      </c>
      <c r="M58" s="233" t="str">
        <f>IFERROR(VLOOKUP(基本資料填寫!$E$1&amp;"-"&amp;ROW(W56),基本資料填寫!$E:$EU,COLUMN(基本資料填寫!AA56),0),"")</f>
        <v/>
      </c>
      <c r="N58" s="233" t="str">
        <f>IFERROR(VLOOKUP(基本資料填寫!$E$1&amp;"-"&amp;ROW(X56),基本資料填寫!$E:$EU,COLUMN(基本資料填寫!AB56),0),"")</f>
        <v/>
      </c>
    </row>
    <row r="59" spans="1:14" x14ac:dyDescent="0.3">
      <c r="A59" s="232" t="str">
        <f>IF(E59="","",COUNTA($E$3:E59))</f>
        <v/>
      </c>
      <c r="B59" s="233" t="str">
        <f>IFERROR(VLOOKUP(基本資料填寫!$E$1&amp;"-"&amp;ROW(F57),基本資料填寫!$E:$EU,COLUMN(基本資料填寫!F57),0),"")</f>
        <v/>
      </c>
      <c r="C59" s="233" t="str">
        <f>IFERROR(VLOOKUP(基本資料填寫!$E$1&amp;"-"&amp;ROW(K57),基本資料填寫!$E:$EU,COLUMN(基本資料填寫!K57),0),"")</f>
        <v/>
      </c>
      <c r="D59" s="233" t="str">
        <f>IFERROR(VLOOKUP(基本資料填寫!$E$1&amp;"-"&amp;ROW(H57),基本資料填寫!$E:$EU,COLUMN(基本資料填寫!L57),0),"")</f>
        <v/>
      </c>
      <c r="E59" s="233" t="str">
        <f>IFERROR(VLOOKUP(基本資料填寫!$E$1&amp;"-"&amp;ROW(I57),基本資料填寫!$E:$EU,COLUMN(基本資料填寫!M57),0),"")</f>
        <v/>
      </c>
      <c r="F59" s="233" t="str">
        <f>IFERROR(VLOOKUP(基本資料填寫!$E$1&amp;"-"&amp;ROW(O57),基本資料填寫!$E:$EU,COLUMN(基本資料填寫!S57),0),"")</f>
        <v/>
      </c>
      <c r="G59" s="233" t="str">
        <f>IFERROR(VLOOKUP(基本資料填寫!$E$1&amp;"-"&amp;ROW(P57),基本資料填寫!$E:$EU,COLUMN(基本資料填寫!T57),0),"")</f>
        <v/>
      </c>
      <c r="H59" s="233" t="str">
        <f>IFERROR(VLOOKUP(基本資料填寫!$E$1&amp;"-"&amp;ROW(R57),基本資料填寫!$E:$EU,COLUMN(基本資料填寫!V57),0),"")</f>
        <v/>
      </c>
      <c r="I59" s="233" t="str">
        <f>IFERROR(VLOOKUP(基本資料填寫!$E$1&amp;"-"&amp;ROW(S57),基本資料填寫!$E:$EU,COLUMN(基本資料填寫!W57),0),"")</f>
        <v/>
      </c>
      <c r="J59" s="233" t="str">
        <f>IFERROR(VLOOKUP(基本資料填寫!$E$1&amp;"-"&amp;ROW(T57),基本資料填寫!$E:$EU,COLUMN(基本資料填寫!X57),0),"")</f>
        <v/>
      </c>
      <c r="K59" s="233" t="str">
        <f>IFERROR(VLOOKUP(基本資料填寫!$E$1&amp;"-"&amp;ROW(U57),基本資料填寫!$E:$EU,COLUMN(基本資料填寫!Y57),0),"")</f>
        <v/>
      </c>
      <c r="L59" s="233" t="str">
        <f>IFERROR(VLOOKUP(基本資料填寫!$E$1&amp;"-"&amp;ROW(V57),基本資料填寫!$E:$EU,COLUMN(基本資料填寫!Z57),0),"")</f>
        <v/>
      </c>
      <c r="M59" s="233" t="str">
        <f>IFERROR(VLOOKUP(基本資料填寫!$E$1&amp;"-"&amp;ROW(W57),基本資料填寫!$E:$EU,COLUMN(基本資料填寫!AA57),0),"")</f>
        <v/>
      </c>
      <c r="N59" s="233" t="str">
        <f>IFERROR(VLOOKUP(基本資料填寫!$E$1&amp;"-"&amp;ROW(X57),基本資料填寫!$E:$EU,COLUMN(基本資料填寫!AB57),0),"")</f>
        <v/>
      </c>
    </row>
    <row r="60" spans="1:14" x14ac:dyDescent="0.3">
      <c r="A60" s="232" t="str">
        <f>IF(E60="","",COUNTA($E$3:E60))</f>
        <v/>
      </c>
      <c r="B60" s="233" t="str">
        <f>IFERROR(VLOOKUP(基本資料填寫!$E$1&amp;"-"&amp;ROW(F58),基本資料填寫!$E:$EU,COLUMN(基本資料填寫!F58),0),"")</f>
        <v/>
      </c>
      <c r="C60" s="233" t="str">
        <f>IFERROR(VLOOKUP(基本資料填寫!$E$1&amp;"-"&amp;ROW(K58),基本資料填寫!$E:$EU,COLUMN(基本資料填寫!K58),0),"")</f>
        <v/>
      </c>
      <c r="D60" s="233" t="str">
        <f>IFERROR(VLOOKUP(基本資料填寫!$E$1&amp;"-"&amp;ROW(H58),基本資料填寫!$E:$EU,COLUMN(基本資料填寫!L58),0),"")</f>
        <v/>
      </c>
      <c r="E60" s="233" t="str">
        <f>IFERROR(VLOOKUP(基本資料填寫!$E$1&amp;"-"&amp;ROW(I58),基本資料填寫!$E:$EU,COLUMN(基本資料填寫!M58),0),"")</f>
        <v/>
      </c>
      <c r="F60" s="233" t="str">
        <f>IFERROR(VLOOKUP(基本資料填寫!$E$1&amp;"-"&amp;ROW(O58),基本資料填寫!$E:$EU,COLUMN(基本資料填寫!S58),0),"")</f>
        <v/>
      </c>
      <c r="G60" s="233" t="str">
        <f>IFERROR(VLOOKUP(基本資料填寫!$E$1&amp;"-"&amp;ROW(P58),基本資料填寫!$E:$EU,COLUMN(基本資料填寫!T58),0),"")</f>
        <v/>
      </c>
      <c r="H60" s="233" t="str">
        <f>IFERROR(VLOOKUP(基本資料填寫!$E$1&amp;"-"&amp;ROW(R58),基本資料填寫!$E:$EU,COLUMN(基本資料填寫!V58),0),"")</f>
        <v/>
      </c>
      <c r="I60" s="233" t="str">
        <f>IFERROR(VLOOKUP(基本資料填寫!$E$1&amp;"-"&amp;ROW(S58),基本資料填寫!$E:$EU,COLUMN(基本資料填寫!W58),0),"")</f>
        <v/>
      </c>
      <c r="J60" s="233" t="str">
        <f>IFERROR(VLOOKUP(基本資料填寫!$E$1&amp;"-"&amp;ROW(T58),基本資料填寫!$E:$EU,COLUMN(基本資料填寫!X58),0),"")</f>
        <v/>
      </c>
      <c r="K60" s="233" t="str">
        <f>IFERROR(VLOOKUP(基本資料填寫!$E$1&amp;"-"&amp;ROW(U58),基本資料填寫!$E:$EU,COLUMN(基本資料填寫!Y58),0),"")</f>
        <v/>
      </c>
      <c r="L60" s="233" t="str">
        <f>IFERROR(VLOOKUP(基本資料填寫!$E$1&amp;"-"&amp;ROW(V58),基本資料填寫!$E:$EU,COLUMN(基本資料填寫!Z58),0),"")</f>
        <v/>
      </c>
      <c r="M60" s="233" t="str">
        <f>IFERROR(VLOOKUP(基本資料填寫!$E$1&amp;"-"&amp;ROW(W58),基本資料填寫!$E:$EU,COLUMN(基本資料填寫!AA58),0),"")</f>
        <v/>
      </c>
      <c r="N60" s="233" t="str">
        <f>IFERROR(VLOOKUP(基本資料填寫!$E$1&amp;"-"&amp;ROW(X58),基本資料填寫!$E:$EU,COLUMN(基本資料填寫!AB58),0),"")</f>
        <v/>
      </c>
    </row>
    <row r="61" spans="1:14" x14ac:dyDescent="0.3">
      <c r="A61" s="232" t="str">
        <f>IF(E61="","",COUNTA($E$3:E61))</f>
        <v/>
      </c>
      <c r="B61" s="233" t="str">
        <f>IFERROR(VLOOKUP(基本資料填寫!$E$1&amp;"-"&amp;ROW(F59),基本資料填寫!$E:$EU,COLUMN(基本資料填寫!F59),0),"")</f>
        <v/>
      </c>
      <c r="C61" s="233" t="str">
        <f>IFERROR(VLOOKUP(基本資料填寫!$E$1&amp;"-"&amp;ROW(K59),基本資料填寫!$E:$EU,COLUMN(基本資料填寫!K59),0),"")</f>
        <v/>
      </c>
      <c r="D61" s="233" t="str">
        <f>IFERROR(VLOOKUP(基本資料填寫!$E$1&amp;"-"&amp;ROW(H59),基本資料填寫!$E:$EU,COLUMN(基本資料填寫!L59),0),"")</f>
        <v/>
      </c>
      <c r="E61" s="233" t="str">
        <f>IFERROR(VLOOKUP(基本資料填寫!$E$1&amp;"-"&amp;ROW(I59),基本資料填寫!$E:$EU,COLUMN(基本資料填寫!M59),0),"")</f>
        <v/>
      </c>
      <c r="F61" s="233" t="str">
        <f>IFERROR(VLOOKUP(基本資料填寫!$E$1&amp;"-"&amp;ROW(O59),基本資料填寫!$E:$EU,COLUMN(基本資料填寫!S59),0),"")</f>
        <v/>
      </c>
      <c r="G61" s="233" t="str">
        <f>IFERROR(VLOOKUP(基本資料填寫!$E$1&amp;"-"&amp;ROW(P59),基本資料填寫!$E:$EU,COLUMN(基本資料填寫!T59),0),"")</f>
        <v/>
      </c>
      <c r="H61" s="233" t="str">
        <f>IFERROR(VLOOKUP(基本資料填寫!$E$1&amp;"-"&amp;ROW(R59),基本資料填寫!$E:$EU,COLUMN(基本資料填寫!V59),0),"")</f>
        <v/>
      </c>
      <c r="I61" s="233" t="str">
        <f>IFERROR(VLOOKUP(基本資料填寫!$E$1&amp;"-"&amp;ROW(S59),基本資料填寫!$E:$EU,COLUMN(基本資料填寫!W59),0),"")</f>
        <v/>
      </c>
      <c r="J61" s="233" t="str">
        <f>IFERROR(VLOOKUP(基本資料填寫!$E$1&amp;"-"&amp;ROW(T59),基本資料填寫!$E:$EU,COLUMN(基本資料填寫!X59),0),"")</f>
        <v/>
      </c>
      <c r="K61" s="233" t="str">
        <f>IFERROR(VLOOKUP(基本資料填寫!$E$1&amp;"-"&amp;ROW(U59),基本資料填寫!$E:$EU,COLUMN(基本資料填寫!Y59),0),"")</f>
        <v/>
      </c>
      <c r="L61" s="233" t="str">
        <f>IFERROR(VLOOKUP(基本資料填寫!$E$1&amp;"-"&amp;ROW(V59),基本資料填寫!$E:$EU,COLUMN(基本資料填寫!Z59),0),"")</f>
        <v/>
      </c>
      <c r="M61" s="233" t="str">
        <f>IFERROR(VLOOKUP(基本資料填寫!$E$1&amp;"-"&amp;ROW(W59),基本資料填寫!$E:$EU,COLUMN(基本資料填寫!AA59),0),"")</f>
        <v/>
      </c>
      <c r="N61" s="233" t="str">
        <f>IFERROR(VLOOKUP(基本資料填寫!$E$1&amp;"-"&amp;ROW(X59),基本資料填寫!$E:$EU,COLUMN(基本資料填寫!AB59),0),"")</f>
        <v/>
      </c>
    </row>
    <row r="62" spans="1:14" x14ac:dyDescent="0.3">
      <c r="A62" s="232" t="str">
        <f>IF(E62="","",COUNTA($E$3:E62))</f>
        <v/>
      </c>
      <c r="B62" s="233" t="str">
        <f>IFERROR(VLOOKUP(基本資料填寫!$E$1&amp;"-"&amp;ROW(F60),基本資料填寫!$E:$EU,COLUMN(基本資料填寫!F60),0),"")</f>
        <v/>
      </c>
      <c r="C62" s="233" t="str">
        <f>IFERROR(VLOOKUP(基本資料填寫!$E$1&amp;"-"&amp;ROW(K60),基本資料填寫!$E:$EU,COLUMN(基本資料填寫!K60),0),"")</f>
        <v/>
      </c>
      <c r="D62" s="233" t="str">
        <f>IFERROR(VLOOKUP(基本資料填寫!$E$1&amp;"-"&amp;ROW(H60),基本資料填寫!$E:$EU,COLUMN(基本資料填寫!L60),0),"")</f>
        <v/>
      </c>
      <c r="E62" s="233" t="str">
        <f>IFERROR(VLOOKUP(基本資料填寫!$E$1&amp;"-"&amp;ROW(I60),基本資料填寫!$E:$EU,COLUMN(基本資料填寫!M60),0),"")</f>
        <v/>
      </c>
      <c r="F62" s="233" t="str">
        <f>IFERROR(VLOOKUP(基本資料填寫!$E$1&amp;"-"&amp;ROW(O60),基本資料填寫!$E:$EU,COLUMN(基本資料填寫!S60),0),"")</f>
        <v/>
      </c>
      <c r="G62" s="233" t="str">
        <f>IFERROR(VLOOKUP(基本資料填寫!$E$1&amp;"-"&amp;ROW(P60),基本資料填寫!$E:$EU,COLUMN(基本資料填寫!T60),0),"")</f>
        <v/>
      </c>
      <c r="H62" s="233" t="str">
        <f>IFERROR(VLOOKUP(基本資料填寫!$E$1&amp;"-"&amp;ROW(R60),基本資料填寫!$E:$EU,COLUMN(基本資料填寫!V60),0),"")</f>
        <v/>
      </c>
      <c r="I62" s="233" t="str">
        <f>IFERROR(VLOOKUP(基本資料填寫!$E$1&amp;"-"&amp;ROW(S60),基本資料填寫!$E:$EU,COLUMN(基本資料填寫!W60),0),"")</f>
        <v/>
      </c>
      <c r="J62" s="233" t="str">
        <f>IFERROR(VLOOKUP(基本資料填寫!$E$1&amp;"-"&amp;ROW(T60),基本資料填寫!$E:$EU,COLUMN(基本資料填寫!X60),0),"")</f>
        <v/>
      </c>
      <c r="K62" s="233" t="str">
        <f>IFERROR(VLOOKUP(基本資料填寫!$E$1&amp;"-"&amp;ROW(U60),基本資料填寫!$E:$EU,COLUMN(基本資料填寫!Y60),0),"")</f>
        <v/>
      </c>
      <c r="L62" s="233" t="str">
        <f>IFERROR(VLOOKUP(基本資料填寫!$E$1&amp;"-"&amp;ROW(V60),基本資料填寫!$E:$EU,COLUMN(基本資料填寫!Z60),0),"")</f>
        <v/>
      </c>
      <c r="M62" s="233" t="str">
        <f>IFERROR(VLOOKUP(基本資料填寫!$E$1&amp;"-"&amp;ROW(W60),基本資料填寫!$E:$EU,COLUMN(基本資料填寫!AA60),0),"")</f>
        <v/>
      </c>
      <c r="N62" s="233" t="str">
        <f>IFERROR(VLOOKUP(基本資料填寫!$E$1&amp;"-"&amp;ROW(X60),基本資料填寫!$E:$EU,COLUMN(基本資料填寫!AB60),0),"")</f>
        <v/>
      </c>
    </row>
    <row r="63" spans="1:14" x14ac:dyDescent="0.3">
      <c r="A63" s="232" t="str">
        <f>IF(E63="","",COUNTA($E$3:E63))</f>
        <v/>
      </c>
      <c r="B63" s="233" t="str">
        <f>IFERROR(VLOOKUP(基本資料填寫!$E$1&amp;"-"&amp;ROW(F61),基本資料填寫!$E:$EU,COLUMN(基本資料填寫!F61),0),"")</f>
        <v/>
      </c>
      <c r="C63" s="233" t="str">
        <f>IFERROR(VLOOKUP(基本資料填寫!$E$1&amp;"-"&amp;ROW(K61),基本資料填寫!$E:$EU,COLUMN(基本資料填寫!K61),0),"")</f>
        <v/>
      </c>
      <c r="D63" s="233" t="str">
        <f>IFERROR(VLOOKUP(基本資料填寫!$E$1&amp;"-"&amp;ROW(H61),基本資料填寫!$E:$EU,COLUMN(基本資料填寫!L61),0),"")</f>
        <v/>
      </c>
      <c r="E63" s="233" t="str">
        <f>IFERROR(VLOOKUP(基本資料填寫!$E$1&amp;"-"&amp;ROW(I61),基本資料填寫!$E:$EU,COLUMN(基本資料填寫!M61),0),"")</f>
        <v/>
      </c>
      <c r="F63" s="233" t="str">
        <f>IFERROR(VLOOKUP(基本資料填寫!$E$1&amp;"-"&amp;ROW(O61),基本資料填寫!$E:$EU,COLUMN(基本資料填寫!S61),0),"")</f>
        <v/>
      </c>
      <c r="G63" s="233" t="str">
        <f>IFERROR(VLOOKUP(基本資料填寫!$E$1&amp;"-"&amp;ROW(P61),基本資料填寫!$E:$EU,COLUMN(基本資料填寫!T61),0),"")</f>
        <v/>
      </c>
      <c r="H63" s="233" t="str">
        <f>IFERROR(VLOOKUP(基本資料填寫!$E$1&amp;"-"&amp;ROW(R61),基本資料填寫!$E:$EU,COLUMN(基本資料填寫!V61),0),"")</f>
        <v/>
      </c>
      <c r="I63" s="233" t="str">
        <f>IFERROR(VLOOKUP(基本資料填寫!$E$1&amp;"-"&amp;ROW(S61),基本資料填寫!$E:$EU,COLUMN(基本資料填寫!W61),0),"")</f>
        <v/>
      </c>
      <c r="J63" s="233" t="str">
        <f>IFERROR(VLOOKUP(基本資料填寫!$E$1&amp;"-"&amp;ROW(T61),基本資料填寫!$E:$EU,COLUMN(基本資料填寫!X61),0),"")</f>
        <v/>
      </c>
      <c r="K63" s="233" t="str">
        <f>IFERROR(VLOOKUP(基本資料填寫!$E$1&amp;"-"&amp;ROW(U61),基本資料填寫!$E:$EU,COLUMN(基本資料填寫!Y61),0),"")</f>
        <v/>
      </c>
      <c r="L63" s="233" t="str">
        <f>IFERROR(VLOOKUP(基本資料填寫!$E$1&amp;"-"&amp;ROW(V61),基本資料填寫!$E:$EU,COLUMN(基本資料填寫!Z61),0),"")</f>
        <v/>
      </c>
      <c r="M63" s="233" t="str">
        <f>IFERROR(VLOOKUP(基本資料填寫!$E$1&amp;"-"&amp;ROW(W61),基本資料填寫!$E:$EU,COLUMN(基本資料填寫!AA61),0),"")</f>
        <v/>
      </c>
      <c r="N63" s="233" t="str">
        <f>IFERROR(VLOOKUP(基本資料填寫!$E$1&amp;"-"&amp;ROW(X61),基本資料填寫!$E:$EU,COLUMN(基本資料填寫!AB61),0),"")</f>
        <v/>
      </c>
    </row>
    <row r="64" spans="1:14" x14ac:dyDescent="0.3">
      <c r="A64" s="232" t="str">
        <f>IF(E64="","",COUNTA($E$3:E64))</f>
        <v/>
      </c>
      <c r="B64" s="233" t="str">
        <f>IFERROR(VLOOKUP(基本資料填寫!$E$1&amp;"-"&amp;ROW(F62),基本資料填寫!$E:$EU,COLUMN(基本資料填寫!F62),0),"")</f>
        <v/>
      </c>
      <c r="C64" s="233" t="str">
        <f>IFERROR(VLOOKUP(基本資料填寫!$E$1&amp;"-"&amp;ROW(K62),基本資料填寫!$E:$EU,COLUMN(基本資料填寫!K62),0),"")</f>
        <v/>
      </c>
      <c r="D64" s="233" t="str">
        <f>IFERROR(VLOOKUP(基本資料填寫!$E$1&amp;"-"&amp;ROW(H62),基本資料填寫!$E:$EU,COLUMN(基本資料填寫!L62),0),"")</f>
        <v/>
      </c>
      <c r="E64" s="233" t="str">
        <f>IFERROR(VLOOKUP(基本資料填寫!$E$1&amp;"-"&amp;ROW(I62),基本資料填寫!$E:$EU,COLUMN(基本資料填寫!M62),0),"")</f>
        <v/>
      </c>
      <c r="F64" s="233" t="str">
        <f>IFERROR(VLOOKUP(基本資料填寫!$E$1&amp;"-"&amp;ROW(O62),基本資料填寫!$E:$EU,COLUMN(基本資料填寫!S62),0),"")</f>
        <v/>
      </c>
      <c r="G64" s="233" t="str">
        <f>IFERROR(VLOOKUP(基本資料填寫!$E$1&amp;"-"&amp;ROW(P62),基本資料填寫!$E:$EU,COLUMN(基本資料填寫!T62),0),"")</f>
        <v/>
      </c>
      <c r="H64" s="233" t="str">
        <f>IFERROR(VLOOKUP(基本資料填寫!$E$1&amp;"-"&amp;ROW(R62),基本資料填寫!$E:$EU,COLUMN(基本資料填寫!V62),0),"")</f>
        <v/>
      </c>
      <c r="I64" s="233" t="str">
        <f>IFERROR(VLOOKUP(基本資料填寫!$E$1&amp;"-"&amp;ROW(S62),基本資料填寫!$E:$EU,COLUMN(基本資料填寫!W62),0),"")</f>
        <v/>
      </c>
      <c r="J64" s="233" t="str">
        <f>IFERROR(VLOOKUP(基本資料填寫!$E$1&amp;"-"&amp;ROW(T62),基本資料填寫!$E:$EU,COLUMN(基本資料填寫!X62),0),"")</f>
        <v/>
      </c>
      <c r="K64" s="233" t="str">
        <f>IFERROR(VLOOKUP(基本資料填寫!$E$1&amp;"-"&amp;ROW(U62),基本資料填寫!$E:$EU,COLUMN(基本資料填寫!Y62),0),"")</f>
        <v/>
      </c>
      <c r="L64" s="233" t="str">
        <f>IFERROR(VLOOKUP(基本資料填寫!$E$1&amp;"-"&amp;ROW(V62),基本資料填寫!$E:$EU,COLUMN(基本資料填寫!Z62),0),"")</f>
        <v/>
      </c>
      <c r="M64" s="233" t="str">
        <f>IFERROR(VLOOKUP(基本資料填寫!$E$1&amp;"-"&amp;ROW(W62),基本資料填寫!$E:$EU,COLUMN(基本資料填寫!AA62),0),"")</f>
        <v/>
      </c>
      <c r="N64" s="233" t="str">
        <f>IFERROR(VLOOKUP(基本資料填寫!$E$1&amp;"-"&amp;ROW(X62),基本資料填寫!$E:$EU,COLUMN(基本資料填寫!AB62),0),"")</f>
        <v/>
      </c>
    </row>
    <row r="65" spans="1:14" x14ac:dyDescent="0.3">
      <c r="A65" s="232" t="str">
        <f>IF(E65="","",COUNTA($E$3:E65))</f>
        <v/>
      </c>
      <c r="B65" s="233" t="str">
        <f>IFERROR(VLOOKUP(基本資料填寫!$E$1&amp;"-"&amp;ROW(F63),基本資料填寫!$E:$EU,COLUMN(基本資料填寫!F63),0),"")</f>
        <v/>
      </c>
      <c r="C65" s="233" t="str">
        <f>IFERROR(VLOOKUP(基本資料填寫!$E$1&amp;"-"&amp;ROW(K63),基本資料填寫!$E:$EU,COLUMN(基本資料填寫!K63),0),"")</f>
        <v/>
      </c>
      <c r="D65" s="233" t="str">
        <f>IFERROR(VLOOKUP(基本資料填寫!$E$1&amp;"-"&amp;ROW(H63),基本資料填寫!$E:$EU,COLUMN(基本資料填寫!L63),0),"")</f>
        <v/>
      </c>
      <c r="E65" s="233" t="str">
        <f>IFERROR(VLOOKUP(基本資料填寫!$E$1&amp;"-"&amp;ROW(I63),基本資料填寫!$E:$EU,COLUMN(基本資料填寫!M63),0),"")</f>
        <v/>
      </c>
      <c r="F65" s="233" t="str">
        <f>IFERROR(VLOOKUP(基本資料填寫!$E$1&amp;"-"&amp;ROW(O63),基本資料填寫!$E:$EU,COLUMN(基本資料填寫!S63),0),"")</f>
        <v/>
      </c>
      <c r="G65" s="233" t="str">
        <f>IFERROR(VLOOKUP(基本資料填寫!$E$1&amp;"-"&amp;ROW(P63),基本資料填寫!$E:$EU,COLUMN(基本資料填寫!T63),0),"")</f>
        <v/>
      </c>
      <c r="H65" s="233" t="str">
        <f>IFERROR(VLOOKUP(基本資料填寫!$E$1&amp;"-"&amp;ROW(R63),基本資料填寫!$E:$EU,COLUMN(基本資料填寫!V63),0),"")</f>
        <v/>
      </c>
      <c r="I65" s="233" t="str">
        <f>IFERROR(VLOOKUP(基本資料填寫!$E$1&amp;"-"&amp;ROW(S63),基本資料填寫!$E:$EU,COLUMN(基本資料填寫!W63),0),"")</f>
        <v/>
      </c>
      <c r="J65" s="233" t="str">
        <f>IFERROR(VLOOKUP(基本資料填寫!$E$1&amp;"-"&amp;ROW(T63),基本資料填寫!$E:$EU,COLUMN(基本資料填寫!X63),0),"")</f>
        <v/>
      </c>
      <c r="K65" s="233" t="str">
        <f>IFERROR(VLOOKUP(基本資料填寫!$E$1&amp;"-"&amp;ROW(U63),基本資料填寫!$E:$EU,COLUMN(基本資料填寫!Y63),0),"")</f>
        <v/>
      </c>
      <c r="L65" s="233" t="str">
        <f>IFERROR(VLOOKUP(基本資料填寫!$E$1&amp;"-"&amp;ROW(V63),基本資料填寫!$E:$EU,COLUMN(基本資料填寫!Z63),0),"")</f>
        <v/>
      </c>
      <c r="M65" s="233" t="str">
        <f>IFERROR(VLOOKUP(基本資料填寫!$E$1&amp;"-"&amp;ROW(W63),基本資料填寫!$E:$EU,COLUMN(基本資料填寫!AA63),0),"")</f>
        <v/>
      </c>
      <c r="N65" s="233" t="str">
        <f>IFERROR(VLOOKUP(基本資料填寫!$E$1&amp;"-"&amp;ROW(X63),基本資料填寫!$E:$EU,COLUMN(基本資料填寫!AB63),0),"")</f>
        <v/>
      </c>
    </row>
    <row r="66" spans="1:14" x14ac:dyDescent="0.3">
      <c r="A66" s="232" t="str">
        <f>IF(E66="","",COUNTA($E$3:E66))</f>
        <v/>
      </c>
      <c r="B66" s="233" t="str">
        <f>IFERROR(VLOOKUP(基本資料填寫!$E$1&amp;"-"&amp;ROW(F64),基本資料填寫!$E:$EU,COLUMN(基本資料填寫!F64),0),"")</f>
        <v/>
      </c>
      <c r="C66" s="233" t="str">
        <f>IFERROR(VLOOKUP(基本資料填寫!$E$1&amp;"-"&amp;ROW(K64),基本資料填寫!$E:$EU,COLUMN(基本資料填寫!K64),0),"")</f>
        <v/>
      </c>
      <c r="D66" s="233" t="str">
        <f>IFERROR(VLOOKUP(基本資料填寫!$E$1&amp;"-"&amp;ROW(H64),基本資料填寫!$E:$EU,COLUMN(基本資料填寫!L64),0),"")</f>
        <v/>
      </c>
      <c r="E66" s="233" t="str">
        <f>IFERROR(VLOOKUP(基本資料填寫!$E$1&amp;"-"&amp;ROW(I64),基本資料填寫!$E:$EU,COLUMN(基本資料填寫!M64),0),"")</f>
        <v/>
      </c>
      <c r="F66" s="233" t="str">
        <f>IFERROR(VLOOKUP(基本資料填寫!$E$1&amp;"-"&amp;ROW(O64),基本資料填寫!$E:$EU,COLUMN(基本資料填寫!S64),0),"")</f>
        <v/>
      </c>
      <c r="G66" s="233" t="str">
        <f>IFERROR(VLOOKUP(基本資料填寫!$E$1&amp;"-"&amp;ROW(P64),基本資料填寫!$E:$EU,COLUMN(基本資料填寫!T64),0),"")</f>
        <v/>
      </c>
      <c r="H66" s="233" t="str">
        <f>IFERROR(VLOOKUP(基本資料填寫!$E$1&amp;"-"&amp;ROW(R64),基本資料填寫!$E:$EU,COLUMN(基本資料填寫!V64),0),"")</f>
        <v/>
      </c>
      <c r="I66" s="233" t="str">
        <f>IFERROR(VLOOKUP(基本資料填寫!$E$1&amp;"-"&amp;ROW(S64),基本資料填寫!$E:$EU,COLUMN(基本資料填寫!W64),0),"")</f>
        <v/>
      </c>
      <c r="J66" s="233" t="str">
        <f>IFERROR(VLOOKUP(基本資料填寫!$E$1&amp;"-"&amp;ROW(T64),基本資料填寫!$E:$EU,COLUMN(基本資料填寫!X64),0),"")</f>
        <v/>
      </c>
      <c r="K66" s="233" t="str">
        <f>IFERROR(VLOOKUP(基本資料填寫!$E$1&amp;"-"&amp;ROW(U64),基本資料填寫!$E:$EU,COLUMN(基本資料填寫!Y64),0),"")</f>
        <v/>
      </c>
      <c r="L66" s="233" t="str">
        <f>IFERROR(VLOOKUP(基本資料填寫!$E$1&amp;"-"&amp;ROW(V64),基本資料填寫!$E:$EU,COLUMN(基本資料填寫!Z64),0),"")</f>
        <v/>
      </c>
      <c r="M66" s="233" t="str">
        <f>IFERROR(VLOOKUP(基本資料填寫!$E$1&amp;"-"&amp;ROW(W64),基本資料填寫!$E:$EU,COLUMN(基本資料填寫!AA64),0),"")</f>
        <v/>
      </c>
      <c r="N66" s="233" t="str">
        <f>IFERROR(VLOOKUP(基本資料填寫!$E$1&amp;"-"&amp;ROW(X64),基本資料填寫!$E:$EU,COLUMN(基本資料填寫!AB64),0),"")</f>
        <v/>
      </c>
    </row>
    <row r="67" spans="1:14" x14ac:dyDescent="0.3">
      <c r="A67" s="232" t="str">
        <f>IF(E67="","",COUNTA($E$3:E67))</f>
        <v/>
      </c>
      <c r="B67" s="233" t="str">
        <f>IFERROR(VLOOKUP(基本資料填寫!$E$1&amp;"-"&amp;ROW(F65),基本資料填寫!$E:$EU,COLUMN(基本資料填寫!F65),0),"")</f>
        <v/>
      </c>
      <c r="C67" s="233" t="str">
        <f>IFERROR(VLOOKUP(基本資料填寫!$E$1&amp;"-"&amp;ROW(K65),基本資料填寫!$E:$EU,COLUMN(基本資料填寫!K65),0),"")</f>
        <v/>
      </c>
      <c r="D67" s="233" t="str">
        <f>IFERROR(VLOOKUP(基本資料填寫!$E$1&amp;"-"&amp;ROW(H65),基本資料填寫!$E:$EU,COLUMN(基本資料填寫!L65),0),"")</f>
        <v/>
      </c>
      <c r="E67" s="233" t="str">
        <f>IFERROR(VLOOKUP(基本資料填寫!$E$1&amp;"-"&amp;ROW(I65),基本資料填寫!$E:$EU,COLUMN(基本資料填寫!M65),0),"")</f>
        <v/>
      </c>
      <c r="F67" s="233" t="str">
        <f>IFERROR(VLOOKUP(基本資料填寫!$E$1&amp;"-"&amp;ROW(O65),基本資料填寫!$E:$EU,COLUMN(基本資料填寫!S65),0),"")</f>
        <v/>
      </c>
      <c r="G67" s="233" t="str">
        <f>IFERROR(VLOOKUP(基本資料填寫!$E$1&amp;"-"&amp;ROW(P65),基本資料填寫!$E:$EU,COLUMN(基本資料填寫!T65),0),"")</f>
        <v/>
      </c>
      <c r="H67" s="233" t="str">
        <f>IFERROR(VLOOKUP(基本資料填寫!$E$1&amp;"-"&amp;ROW(R65),基本資料填寫!$E:$EU,COLUMN(基本資料填寫!V65),0),"")</f>
        <v/>
      </c>
      <c r="I67" s="233" t="str">
        <f>IFERROR(VLOOKUP(基本資料填寫!$E$1&amp;"-"&amp;ROW(S65),基本資料填寫!$E:$EU,COLUMN(基本資料填寫!W65),0),"")</f>
        <v/>
      </c>
      <c r="J67" s="233" t="str">
        <f>IFERROR(VLOOKUP(基本資料填寫!$E$1&amp;"-"&amp;ROW(T65),基本資料填寫!$E:$EU,COLUMN(基本資料填寫!X65),0),"")</f>
        <v/>
      </c>
      <c r="K67" s="233" t="str">
        <f>IFERROR(VLOOKUP(基本資料填寫!$E$1&amp;"-"&amp;ROW(U65),基本資料填寫!$E:$EU,COLUMN(基本資料填寫!Y65),0),"")</f>
        <v/>
      </c>
      <c r="L67" s="233" t="str">
        <f>IFERROR(VLOOKUP(基本資料填寫!$E$1&amp;"-"&amp;ROW(V65),基本資料填寫!$E:$EU,COLUMN(基本資料填寫!Z65),0),"")</f>
        <v/>
      </c>
      <c r="M67" s="233" t="str">
        <f>IFERROR(VLOOKUP(基本資料填寫!$E$1&amp;"-"&amp;ROW(W65),基本資料填寫!$E:$EU,COLUMN(基本資料填寫!AA65),0),"")</f>
        <v/>
      </c>
      <c r="N67" s="233" t="str">
        <f>IFERROR(VLOOKUP(基本資料填寫!$E$1&amp;"-"&amp;ROW(X65),基本資料填寫!$E:$EU,COLUMN(基本資料填寫!AB65),0),"")</f>
        <v/>
      </c>
    </row>
    <row r="68" spans="1:14" x14ac:dyDescent="0.3">
      <c r="A68" s="232" t="str">
        <f>IF(E68="","",COUNTA($E$3:E68))</f>
        <v/>
      </c>
      <c r="B68" s="233" t="str">
        <f>IFERROR(VLOOKUP(基本資料填寫!$E$1&amp;"-"&amp;ROW(F66),基本資料填寫!$E:$EU,COLUMN(基本資料填寫!F66),0),"")</f>
        <v/>
      </c>
      <c r="C68" s="233" t="str">
        <f>IFERROR(VLOOKUP(基本資料填寫!$E$1&amp;"-"&amp;ROW(K66),基本資料填寫!$E:$EU,COLUMN(基本資料填寫!K66),0),"")</f>
        <v/>
      </c>
      <c r="D68" s="233" t="str">
        <f>IFERROR(VLOOKUP(基本資料填寫!$E$1&amp;"-"&amp;ROW(H66),基本資料填寫!$E:$EU,COLUMN(基本資料填寫!L66),0),"")</f>
        <v/>
      </c>
      <c r="E68" s="233" t="str">
        <f>IFERROR(VLOOKUP(基本資料填寫!$E$1&amp;"-"&amp;ROW(I66),基本資料填寫!$E:$EU,COLUMN(基本資料填寫!M66),0),"")</f>
        <v/>
      </c>
      <c r="F68" s="233" t="str">
        <f>IFERROR(VLOOKUP(基本資料填寫!$E$1&amp;"-"&amp;ROW(O66),基本資料填寫!$E:$EU,COLUMN(基本資料填寫!S66),0),"")</f>
        <v/>
      </c>
      <c r="G68" s="233" t="str">
        <f>IFERROR(VLOOKUP(基本資料填寫!$E$1&amp;"-"&amp;ROW(P66),基本資料填寫!$E:$EU,COLUMN(基本資料填寫!T66),0),"")</f>
        <v/>
      </c>
      <c r="H68" s="233" t="str">
        <f>IFERROR(VLOOKUP(基本資料填寫!$E$1&amp;"-"&amp;ROW(R66),基本資料填寫!$E:$EU,COLUMN(基本資料填寫!V66),0),"")</f>
        <v/>
      </c>
      <c r="I68" s="233" t="str">
        <f>IFERROR(VLOOKUP(基本資料填寫!$E$1&amp;"-"&amp;ROW(S66),基本資料填寫!$E:$EU,COLUMN(基本資料填寫!W66),0),"")</f>
        <v/>
      </c>
      <c r="J68" s="233" t="str">
        <f>IFERROR(VLOOKUP(基本資料填寫!$E$1&amp;"-"&amp;ROW(T66),基本資料填寫!$E:$EU,COLUMN(基本資料填寫!X66),0),"")</f>
        <v/>
      </c>
      <c r="K68" s="233" t="str">
        <f>IFERROR(VLOOKUP(基本資料填寫!$E$1&amp;"-"&amp;ROW(U66),基本資料填寫!$E:$EU,COLUMN(基本資料填寫!Y66),0),"")</f>
        <v/>
      </c>
      <c r="L68" s="233" t="str">
        <f>IFERROR(VLOOKUP(基本資料填寫!$E$1&amp;"-"&amp;ROW(V66),基本資料填寫!$E:$EU,COLUMN(基本資料填寫!Z66),0),"")</f>
        <v/>
      </c>
      <c r="M68" s="233" t="str">
        <f>IFERROR(VLOOKUP(基本資料填寫!$E$1&amp;"-"&amp;ROW(W66),基本資料填寫!$E:$EU,COLUMN(基本資料填寫!AA66),0),"")</f>
        <v/>
      </c>
      <c r="N68" s="233" t="str">
        <f>IFERROR(VLOOKUP(基本資料填寫!$E$1&amp;"-"&amp;ROW(X66),基本資料填寫!$E:$EU,COLUMN(基本資料填寫!AB66),0),"")</f>
        <v/>
      </c>
    </row>
    <row r="69" spans="1:14" x14ac:dyDescent="0.3">
      <c r="A69" s="232" t="str">
        <f>IF(E69="","",COUNTA($E$3:E69))</f>
        <v/>
      </c>
      <c r="B69" s="233" t="str">
        <f>IFERROR(VLOOKUP(基本資料填寫!$E$1&amp;"-"&amp;ROW(F67),基本資料填寫!$E:$EU,COLUMN(基本資料填寫!F67),0),"")</f>
        <v/>
      </c>
      <c r="C69" s="233" t="str">
        <f>IFERROR(VLOOKUP(基本資料填寫!$E$1&amp;"-"&amp;ROW(K67),基本資料填寫!$E:$EU,COLUMN(基本資料填寫!K67),0),"")</f>
        <v/>
      </c>
      <c r="D69" s="233" t="str">
        <f>IFERROR(VLOOKUP(基本資料填寫!$E$1&amp;"-"&amp;ROW(H67),基本資料填寫!$E:$EU,COLUMN(基本資料填寫!L67),0),"")</f>
        <v/>
      </c>
      <c r="E69" s="233" t="str">
        <f>IFERROR(VLOOKUP(基本資料填寫!$E$1&amp;"-"&amp;ROW(I67),基本資料填寫!$E:$EU,COLUMN(基本資料填寫!M67),0),"")</f>
        <v/>
      </c>
      <c r="F69" s="233" t="str">
        <f>IFERROR(VLOOKUP(基本資料填寫!$E$1&amp;"-"&amp;ROW(O67),基本資料填寫!$E:$EU,COLUMN(基本資料填寫!S67),0),"")</f>
        <v/>
      </c>
      <c r="G69" s="233" t="str">
        <f>IFERROR(VLOOKUP(基本資料填寫!$E$1&amp;"-"&amp;ROW(P67),基本資料填寫!$E:$EU,COLUMN(基本資料填寫!T67),0),"")</f>
        <v/>
      </c>
      <c r="H69" s="233" t="str">
        <f>IFERROR(VLOOKUP(基本資料填寫!$E$1&amp;"-"&amp;ROW(R67),基本資料填寫!$E:$EU,COLUMN(基本資料填寫!V67),0),"")</f>
        <v/>
      </c>
      <c r="I69" s="233" t="str">
        <f>IFERROR(VLOOKUP(基本資料填寫!$E$1&amp;"-"&amp;ROW(S67),基本資料填寫!$E:$EU,COLUMN(基本資料填寫!W67),0),"")</f>
        <v/>
      </c>
      <c r="J69" s="233" t="str">
        <f>IFERROR(VLOOKUP(基本資料填寫!$E$1&amp;"-"&amp;ROW(T67),基本資料填寫!$E:$EU,COLUMN(基本資料填寫!X67),0),"")</f>
        <v/>
      </c>
      <c r="K69" s="233" t="str">
        <f>IFERROR(VLOOKUP(基本資料填寫!$E$1&amp;"-"&amp;ROW(U67),基本資料填寫!$E:$EU,COLUMN(基本資料填寫!Y67),0),"")</f>
        <v/>
      </c>
      <c r="L69" s="233" t="str">
        <f>IFERROR(VLOOKUP(基本資料填寫!$E$1&amp;"-"&amp;ROW(V67),基本資料填寫!$E:$EU,COLUMN(基本資料填寫!Z67),0),"")</f>
        <v/>
      </c>
      <c r="M69" s="233" t="str">
        <f>IFERROR(VLOOKUP(基本資料填寫!$E$1&amp;"-"&amp;ROW(W67),基本資料填寫!$E:$EU,COLUMN(基本資料填寫!AA67),0),"")</f>
        <v/>
      </c>
      <c r="N69" s="233" t="str">
        <f>IFERROR(VLOOKUP(基本資料填寫!$E$1&amp;"-"&amp;ROW(X67),基本資料填寫!$E:$EU,COLUMN(基本資料填寫!AB67),0),"")</f>
        <v/>
      </c>
    </row>
    <row r="70" spans="1:14" x14ac:dyDescent="0.3">
      <c r="A70" s="232" t="str">
        <f>IF(E70="","",COUNTA($E$3:E70))</f>
        <v/>
      </c>
      <c r="B70" s="233" t="str">
        <f>IFERROR(VLOOKUP(基本資料填寫!$E$1&amp;"-"&amp;ROW(F68),基本資料填寫!$E:$EU,COLUMN(基本資料填寫!F68),0),"")</f>
        <v/>
      </c>
      <c r="C70" s="233" t="str">
        <f>IFERROR(VLOOKUP(基本資料填寫!$E$1&amp;"-"&amp;ROW(K68),基本資料填寫!$E:$EU,COLUMN(基本資料填寫!K68),0),"")</f>
        <v/>
      </c>
      <c r="D70" s="233" t="str">
        <f>IFERROR(VLOOKUP(基本資料填寫!$E$1&amp;"-"&amp;ROW(H68),基本資料填寫!$E:$EU,COLUMN(基本資料填寫!L68),0),"")</f>
        <v/>
      </c>
      <c r="E70" s="233" t="str">
        <f>IFERROR(VLOOKUP(基本資料填寫!$E$1&amp;"-"&amp;ROW(I68),基本資料填寫!$E:$EU,COLUMN(基本資料填寫!M68),0),"")</f>
        <v/>
      </c>
      <c r="F70" s="233" t="str">
        <f>IFERROR(VLOOKUP(基本資料填寫!$E$1&amp;"-"&amp;ROW(O68),基本資料填寫!$E:$EU,COLUMN(基本資料填寫!S68),0),"")</f>
        <v/>
      </c>
      <c r="G70" s="233" t="str">
        <f>IFERROR(VLOOKUP(基本資料填寫!$E$1&amp;"-"&amp;ROW(P68),基本資料填寫!$E:$EU,COLUMN(基本資料填寫!T68),0),"")</f>
        <v/>
      </c>
      <c r="H70" s="233" t="str">
        <f>IFERROR(VLOOKUP(基本資料填寫!$E$1&amp;"-"&amp;ROW(R68),基本資料填寫!$E:$EU,COLUMN(基本資料填寫!V68),0),"")</f>
        <v/>
      </c>
      <c r="I70" s="233" t="str">
        <f>IFERROR(VLOOKUP(基本資料填寫!$E$1&amp;"-"&amp;ROW(S68),基本資料填寫!$E:$EU,COLUMN(基本資料填寫!W68),0),"")</f>
        <v/>
      </c>
      <c r="J70" s="233" t="str">
        <f>IFERROR(VLOOKUP(基本資料填寫!$E$1&amp;"-"&amp;ROW(T68),基本資料填寫!$E:$EU,COLUMN(基本資料填寫!X68),0),"")</f>
        <v/>
      </c>
      <c r="K70" s="233" t="str">
        <f>IFERROR(VLOOKUP(基本資料填寫!$E$1&amp;"-"&amp;ROW(U68),基本資料填寫!$E:$EU,COLUMN(基本資料填寫!Y68),0),"")</f>
        <v/>
      </c>
      <c r="L70" s="233" t="str">
        <f>IFERROR(VLOOKUP(基本資料填寫!$E$1&amp;"-"&amp;ROW(V68),基本資料填寫!$E:$EU,COLUMN(基本資料填寫!Z68),0),"")</f>
        <v/>
      </c>
      <c r="M70" s="233" t="str">
        <f>IFERROR(VLOOKUP(基本資料填寫!$E$1&amp;"-"&amp;ROW(W68),基本資料填寫!$E:$EU,COLUMN(基本資料填寫!AA68),0),"")</f>
        <v/>
      </c>
      <c r="N70" s="233" t="str">
        <f>IFERROR(VLOOKUP(基本資料填寫!$E$1&amp;"-"&amp;ROW(X68),基本資料填寫!$E:$EU,COLUMN(基本資料填寫!AB68),0),"")</f>
        <v/>
      </c>
    </row>
    <row r="71" spans="1:14" x14ac:dyDescent="0.3">
      <c r="A71" s="232" t="str">
        <f>IF(E71="","",COUNTA($E$3:E71))</f>
        <v/>
      </c>
      <c r="B71" s="233" t="str">
        <f>IFERROR(VLOOKUP(基本資料填寫!$E$1&amp;"-"&amp;ROW(F69),基本資料填寫!$E:$EU,COLUMN(基本資料填寫!F69),0),"")</f>
        <v/>
      </c>
      <c r="C71" s="233" t="str">
        <f>IFERROR(VLOOKUP(基本資料填寫!$E$1&amp;"-"&amp;ROW(K69),基本資料填寫!$E:$EU,COLUMN(基本資料填寫!K69),0),"")</f>
        <v/>
      </c>
      <c r="D71" s="233" t="str">
        <f>IFERROR(VLOOKUP(基本資料填寫!$E$1&amp;"-"&amp;ROW(H69),基本資料填寫!$E:$EU,COLUMN(基本資料填寫!L69),0),"")</f>
        <v/>
      </c>
      <c r="E71" s="233" t="str">
        <f>IFERROR(VLOOKUP(基本資料填寫!$E$1&amp;"-"&amp;ROW(I69),基本資料填寫!$E:$EU,COLUMN(基本資料填寫!M69),0),"")</f>
        <v/>
      </c>
      <c r="F71" s="233" t="str">
        <f>IFERROR(VLOOKUP(基本資料填寫!$E$1&amp;"-"&amp;ROW(O69),基本資料填寫!$E:$EU,COLUMN(基本資料填寫!S69),0),"")</f>
        <v/>
      </c>
      <c r="G71" s="233" t="str">
        <f>IFERROR(VLOOKUP(基本資料填寫!$E$1&amp;"-"&amp;ROW(P69),基本資料填寫!$E:$EU,COLUMN(基本資料填寫!T69),0),"")</f>
        <v/>
      </c>
      <c r="H71" s="233" t="str">
        <f>IFERROR(VLOOKUP(基本資料填寫!$E$1&amp;"-"&amp;ROW(R69),基本資料填寫!$E:$EU,COLUMN(基本資料填寫!V69),0),"")</f>
        <v/>
      </c>
      <c r="I71" s="233" t="str">
        <f>IFERROR(VLOOKUP(基本資料填寫!$E$1&amp;"-"&amp;ROW(S69),基本資料填寫!$E:$EU,COLUMN(基本資料填寫!W69),0),"")</f>
        <v/>
      </c>
      <c r="J71" s="233" t="str">
        <f>IFERROR(VLOOKUP(基本資料填寫!$E$1&amp;"-"&amp;ROW(T69),基本資料填寫!$E:$EU,COLUMN(基本資料填寫!X69),0),"")</f>
        <v/>
      </c>
      <c r="K71" s="233" t="str">
        <f>IFERROR(VLOOKUP(基本資料填寫!$E$1&amp;"-"&amp;ROW(U69),基本資料填寫!$E:$EU,COLUMN(基本資料填寫!Y69),0),"")</f>
        <v/>
      </c>
      <c r="L71" s="233" t="str">
        <f>IFERROR(VLOOKUP(基本資料填寫!$E$1&amp;"-"&amp;ROW(V69),基本資料填寫!$E:$EU,COLUMN(基本資料填寫!Z69),0),"")</f>
        <v/>
      </c>
      <c r="M71" s="233" t="str">
        <f>IFERROR(VLOOKUP(基本資料填寫!$E$1&amp;"-"&amp;ROW(W69),基本資料填寫!$E:$EU,COLUMN(基本資料填寫!AA69),0),"")</f>
        <v/>
      </c>
      <c r="N71" s="233" t="str">
        <f>IFERROR(VLOOKUP(基本資料填寫!$E$1&amp;"-"&amp;ROW(X69),基本資料填寫!$E:$EU,COLUMN(基本資料填寫!AB69),0),"")</f>
        <v/>
      </c>
    </row>
    <row r="72" spans="1:14" x14ac:dyDescent="0.3">
      <c r="A72" s="232" t="str">
        <f>IF(E72="","",COUNTA($E$3:E72))</f>
        <v/>
      </c>
      <c r="B72" s="233" t="str">
        <f>IFERROR(VLOOKUP(基本資料填寫!$E$1&amp;"-"&amp;ROW(F70),基本資料填寫!$E:$EU,COLUMN(基本資料填寫!F70),0),"")</f>
        <v/>
      </c>
      <c r="C72" s="233" t="str">
        <f>IFERROR(VLOOKUP(基本資料填寫!$E$1&amp;"-"&amp;ROW(K70),基本資料填寫!$E:$EU,COLUMN(基本資料填寫!K70),0),"")</f>
        <v/>
      </c>
      <c r="D72" s="233" t="str">
        <f>IFERROR(VLOOKUP(基本資料填寫!$E$1&amp;"-"&amp;ROW(H70),基本資料填寫!$E:$EU,COLUMN(基本資料填寫!L70),0),"")</f>
        <v/>
      </c>
      <c r="E72" s="233" t="str">
        <f>IFERROR(VLOOKUP(基本資料填寫!$E$1&amp;"-"&amp;ROW(I70),基本資料填寫!$E:$EU,COLUMN(基本資料填寫!M70),0),"")</f>
        <v/>
      </c>
      <c r="F72" s="233" t="str">
        <f>IFERROR(VLOOKUP(基本資料填寫!$E$1&amp;"-"&amp;ROW(O70),基本資料填寫!$E:$EU,COLUMN(基本資料填寫!S70),0),"")</f>
        <v/>
      </c>
      <c r="G72" s="233" t="str">
        <f>IFERROR(VLOOKUP(基本資料填寫!$E$1&amp;"-"&amp;ROW(P70),基本資料填寫!$E:$EU,COLUMN(基本資料填寫!T70),0),"")</f>
        <v/>
      </c>
      <c r="H72" s="233" t="str">
        <f>IFERROR(VLOOKUP(基本資料填寫!$E$1&amp;"-"&amp;ROW(R70),基本資料填寫!$E:$EU,COLUMN(基本資料填寫!V70),0),"")</f>
        <v/>
      </c>
      <c r="I72" s="233" t="str">
        <f>IFERROR(VLOOKUP(基本資料填寫!$E$1&amp;"-"&amp;ROW(S70),基本資料填寫!$E:$EU,COLUMN(基本資料填寫!W70),0),"")</f>
        <v/>
      </c>
      <c r="J72" s="233" t="str">
        <f>IFERROR(VLOOKUP(基本資料填寫!$E$1&amp;"-"&amp;ROW(T70),基本資料填寫!$E:$EU,COLUMN(基本資料填寫!X70),0),"")</f>
        <v/>
      </c>
      <c r="K72" s="233" t="str">
        <f>IFERROR(VLOOKUP(基本資料填寫!$E$1&amp;"-"&amp;ROW(U70),基本資料填寫!$E:$EU,COLUMN(基本資料填寫!Y70),0),"")</f>
        <v/>
      </c>
      <c r="L72" s="233" t="str">
        <f>IFERROR(VLOOKUP(基本資料填寫!$E$1&amp;"-"&amp;ROW(V70),基本資料填寫!$E:$EU,COLUMN(基本資料填寫!Z70),0),"")</f>
        <v/>
      </c>
      <c r="M72" s="233" t="str">
        <f>IFERROR(VLOOKUP(基本資料填寫!$E$1&amp;"-"&amp;ROW(W70),基本資料填寫!$E:$EU,COLUMN(基本資料填寫!AA70),0),"")</f>
        <v/>
      </c>
      <c r="N72" s="233" t="str">
        <f>IFERROR(VLOOKUP(基本資料填寫!$E$1&amp;"-"&amp;ROW(X70),基本資料填寫!$E:$EU,COLUMN(基本資料填寫!AB70),0),"")</f>
        <v/>
      </c>
    </row>
    <row r="73" spans="1:14" x14ac:dyDescent="0.3">
      <c r="A73" s="232" t="str">
        <f>IF(E73="","",COUNTA($E$3:E73))</f>
        <v/>
      </c>
      <c r="B73" s="233" t="str">
        <f>IFERROR(VLOOKUP(基本資料填寫!$E$1&amp;"-"&amp;ROW(F71),基本資料填寫!$E:$EU,COLUMN(基本資料填寫!F71),0),"")</f>
        <v/>
      </c>
      <c r="C73" s="233" t="str">
        <f>IFERROR(VLOOKUP(基本資料填寫!$E$1&amp;"-"&amp;ROW(K71),基本資料填寫!$E:$EU,COLUMN(基本資料填寫!K71),0),"")</f>
        <v/>
      </c>
      <c r="D73" s="233" t="str">
        <f>IFERROR(VLOOKUP(基本資料填寫!$E$1&amp;"-"&amp;ROW(H71),基本資料填寫!$E:$EU,COLUMN(基本資料填寫!L71),0),"")</f>
        <v/>
      </c>
      <c r="E73" s="233" t="str">
        <f>IFERROR(VLOOKUP(基本資料填寫!$E$1&amp;"-"&amp;ROW(I71),基本資料填寫!$E:$EU,COLUMN(基本資料填寫!M71),0),"")</f>
        <v/>
      </c>
      <c r="F73" s="233" t="str">
        <f>IFERROR(VLOOKUP(基本資料填寫!$E$1&amp;"-"&amp;ROW(O71),基本資料填寫!$E:$EU,COLUMN(基本資料填寫!S71),0),"")</f>
        <v/>
      </c>
      <c r="G73" s="233" t="str">
        <f>IFERROR(VLOOKUP(基本資料填寫!$E$1&amp;"-"&amp;ROW(P71),基本資料填寫!$E:$EU,COLUMN(基本資料填寫!T71),0),"")</f>
        <v/>
      </c>
      <c r="H73" s="233" t="str">
        <f>IFERROR(VLOOKUP(基本資料填寫!$E$1&amp;"-"&amp;ROW(R71),基本資料填寫!$E:$EU,COLUMN(基本資料填寫!V71),0),"")</f>
        <v/>
      </c>
      <c r="I73" s="233" t="str">
        <f>IFERROR(VLOOKUP(基本資料填寫!$E$1&amp;"-"&amp;ROW(S71),基本資料填寫!$E:$EU,COLUMN(基本資料填寫!W71),0),"")</f>
        <v/>
      </c>
      <c r="J73" s="233" t="str">
        <f>IFERROR(VLOOKUP(基本資料填寫!$E$1&amp;"-"&amp;ROW(T71),基本資料填寫!$E:$EU,COLUMN(基本資料填寫!X71),0),"")</f>
        <v/>
      </c>
      <c r="K73" s="233" t="str">
        <f>IFERROR(VLOOKUP(基本資料填寫!$E$1&amp;"-"&amp;ROW(U71),基本資料填寫!$E:$EU,COLUMN(基本資料填寫!Y71),0),"")</f>
        <v/>
      </c>
      <c r="L73" s="233" t="str">
        <f>IFERROR(VLOOKUP(基本資料填寫!$E$1&amp;"-"&amp;ROW(V71),基本資料填寫!$E:$EU,COLUMN(基本資料填寫!Z71),0),"")</f>
        <v/>
      </c>
      <c r="M73" s="233" t="str">
        <f>IFERROR(VLOOKUP(基本資料填寫!$E$1&amp;"-"&amp;ROW(W71),基本資料填寫!$E:$EU,COLUMN(基本資料填寫!AA71),0),"")</f>
        <v/>
      </c>
      <c r="N73" s="233" t="str">
        <f>IFERROR(VLOOKUP(基本資料填寫!$E$1&amp;"-"&amp;ROW(X71),基本資料填寫!$E:$EU,COLUMN(基本資料填寫!AB71),0),"")</f>
        <v/>
      </c>
    </row>
    <row r="74" spans="1:14" x14ac:dyDescent="0.3">
      <c r="A74" s="232" t="str">
        <f>IF(E74="","",COUNTA($E$3:E74))</f>
        <v/>
      </c>
      <c r="B74" s="233" t="str">
        <f>IFERROR(VLOOKUP(基本資料填寫!$E$1&amp;"-"&amp;ROW(F72),基本資料填寫!$E:$EU,COLUMN(基本資料填寫!F72),0),"")</f>
        <v/>
      </c>
      <c r="C74" s="233" t="str">
        <f>IFERROR(VLOOKUP(基本資料填寫!$E$1&amp;"-"&amp;ROW(K72),基本資料填寫!$E:$EU,COLUMN(基本資料填寫!K72),0),"")</f>
        <v/>
      </c>
      <c r="D74" s="233" t="str">
        <f>IFERROR(VLOOKUP(基本資料填寫!$E$1&amp;"-"&amp;ROW(H72),基本資料填寫!$E:$EU,COLUMN(基本資料填寫!L72),0),"")</f>
        <v/>
      </c>
      <c r="E74" s="233" t="str">
        <f>IFERROR(VLOOKUP(基本資料填寫!$E$1&amp;"-"&amp;ROW(I72),基本資料填寫!$E:$EU,COLUMN(基本資料填寫!M72),0),"")</f>
        <v/>
      </c>
      <c r="F74" s="233" t="str">
        <f>IFERROR(VLOOKUP(基本資料填寫!$E$1&amp;"-"&amp;ROW(O72),基本資料填寫!$E:$EU,COLUMN(基本資料填寫!S72),0),"")</f>
        <v/>
      </c>
      <c r="G74" s="233" t="str">
        <f>IFERROR(VLOOKUP(基本資料填寫!$E$1&amp;"-"&amp;ROW(P72),基本資料填寫!$E:$EU,COLUMN(基本資料填寫!T72),0),"")</f>
        <v/>
      </c>
      <c r="H74" s="233" t="str">
        <f>IFERROR(VLOOKUP(基本資料填寫!$E$1&amp;"-"&amp;ROW(R72),基本資料填寫!$E:$EU,COLUMN(基本資料填寫!V72),0),"")</f>
        <v/>
      </c>
      <c r="I74" s="233" t="str">
        <f>IFERROR(VLOOKUP(基本資料填寫!$E$1&amp;"-"&amp;ROW(S72),基本資料填寫!$E:$EU,COLUMN(基本資料填寫!W72),0),"")</f>
        <v/>
      </c>
      <c r="J74" s="233" t="str">
        <f>IFERROR(VLOOKUP(基本資料填寫!$E$1&amp;"-"&amp;ROW(T72),基本資料填寫!$E:$EU,COLUMN(基本資料填寫!X72),0),"")</f>
        <v/>
      </c>
      <c r="K74" s="233" t="str">
        <f>IFERROR(VLOOKUP(基本資料填寫!$E$1&amp;"-"&amp;ROW(U72),基本資料填寫!$E:$EU,COLUMN(基本資料填寫!Y72),0),"")</f>
        <v/>
      </c>
      <c r="L74" s="233" t="str">
        <f>IFERROR(VLOOKUP(基本資料填寫!$E$1&amp;"-"&amp;ROW(V72),基本資料填寫!$E:$EU,COLUMN(基本資料填寫!Z72),0),"")</f>
        <v/>
      </c>
      <c r="M74" s="233" t="str">
        <f>IFERROR(VLOOKUP(基本資料填寫!$E$1&amp;"-"&amp;ROW(W72),基本資料填寫!$E:$EU,COLUMN(基本資料填寫!AA72),0),"")</f>
        <v/>
      </c>
      <c r="N74" s="233" t="str">
        <f>IFERROR(VLOOKUP(基本資料填寫!$E$1&amp;"-"&amp;ROW(X72),基本資料填寫!$E:$EU,COLUMN(基本資料填寫!AB72),0),"")</f>
        <v/>
      </c>
    </row>
    <row r="75" spans="1:14" x14ac:dyDescent="0.3">
      <c r="A75" s="232" t="str">
        <f>IF(E75="","",COUNTA($E$3:E75))</f>
        <v/>
      </c>
      <c r="B75" s="233" t="str">
        <f>IFERROR(VLOOKUP(基本資料填寫!$E$1&amp;"-"&amp;ROW(F73),基本資料填寫!$E:$EU,COLUMN(基本資料填寫!F73),0),"")</f>
        <v/>
      </c>
      <c r="C75" s="233" t="str">
        <f>IFERROR(VLOOKUP(基本資料填寫!$E$1&amp;"-"&amp;ROW(K73),基本資料填寫!$E:$EU,COLUMN(基本資料填寫!K73),0),"")</f>
        <v/>
      </c>
      <c r="D75" s="233" t="str">
        <f>IFERROR(VLOOKUP(基本資料填寫!$E$1&amp;"-"&amp;ROW(H73),基本資料填寫!$E:$EU,COLUMN(基本資料填寫!L73),0),"")</f>
        <v/>
      </c>
      <c r="E75" s="233" t="str">
        <f>IFERROR(VLOOKUP(基本資料填寫!$E$1&amp;"-"&amp;ROW(I73),基本資料填寫!$E:$EU,COLUMN(基本資料填寫!M73),0),"")</f>
        <v/>
      </c>
      <c r="F75" s="233" t="str">
        <f>IFERROR(VLOOKUP(基本資料填寫!$E$1&amp;"-"&amp;ROW(O73),基本資料填寫!$E:$EU,COLUMN(基本資料填寫!S73),0),"")</f>
        <v/>
      </c>
      <c r="G75" s="233" t="str">
        <f>IFERROR(VLOOKUP(基本資料填寫!$E$1&amp;"-"&amp;ROW(P73),基本資料填寫!$E:$EU,COLUMN(基本資料填寫!T73),0),"")</f>
        <v/>
      </c>
      <c r="H75" s="233" t="str">
        <f>IFERROR(VLOOKUP(基本資料填寫!$E$1&amp;"-"&amp;ROW(R73),基本資料填寫!$E:$EU,COLUMN(基本資料填寫!V73),0),"")</f>
        <v/>
      </c>
      <c r="I75" s="233" t="str">
        <f>IFERROR(VLOOKUP(基本資料填寫!$E$1&amp;"-"&amp;ROW(S73),基本資料填寫!$E:$EU,COLUMN(基本資料填寫!W73),0),"")</f>
        <v/>
      </c>
      <c r="J75" s="233" t="str">
        <f>IFERROR(VLOOKUP(基本資料填寫!$E$1&amp;"-"&amp;ROW(T73),基本資料填寫!$E:$EU,COLUMN(基本資料填寫!X73),0),"")</f>
        <v/>
      </c>
      <c r="K75" s="233" t="str">
        <f>IFERROR(VLOOKUP(基本資料填寫!$E$1&amp;"-"&amp;ROW(U73),基本資料填寫!$E:$EU,COLUMN(基本資料填寫!Y73),0),"")</f>
        <v/>
      </c>
      <c r="L75" s="233" t="str">
        <f>IFERROR(VLOOKUP(基本資料填寫!$E$1&amp;"-"&amp;ROW(V73),基本資料填寫!$E:$EU,COLUMN(基本資料填寫!Z73),0),"")</f>
        <v/>
      </c>
      <c r="M75" s="233" t="str">
        <f>IFERROR(VLOOKUP(基本資料填寫!$E$1&amp;"-"&amp;ROW(W73),基本資料填寫!$E:$EU,COLUMN(基本資料填寫!AA73),0),"")</f>
        <v/>
      </c>
      <c r="N75" s="233" t="str">
        <f>IFERROR(VLOOKUP(基本資料填寫!$E$1&amp;"-"&amp;ROW(X73),基本資料填寫!$E:$EU,COLUMN(基本資料填寫!AB73),0),"")</f>
        <v/>
      </c>
    </row>
    <row r="76" spans="1:14" x14ac:dyDescent="0.3">
      <c r="A76" s="232" t="str">
        <f>IF(E76="","",COUNTA($E$3:E76))</f>
        <v/>
      </c>
      <c r="B76" s="233" t="str">
        <f>IFERROR(VLOOKUP(基本資料填寫!$E$1&amp;"-"&amp;ROW(F74),基本資料填寫!$E:$EU,COLUMN(基本資料填寫!F74),0),"")</f>
        <v/>
      </c>
      <c r="C76" s="233" t="str">
        <f>IFERROR(VLOOKUP(基本資料填寫!$E$1&amp;"-"&amp;ROW(K74),基本資料填寫!$E:$EU,COLUMN(基本資料填寫!K74),0),"")</f>
        <v/>
      </c>
      <c r="D76" s="233" t="str">
        <f>IFERROR(VLOOKUP(基本資料填寫!$E$1&amp;"-"&amp;ROW(H74),基本資料填寫!$E:$EU,COLUMN(基本資料填寫!L74),0),"")</f>
        <v/>
      </c>
      <c r="E76" s="233" t="str">
        <f>IFERROR(VLOOKUP(基本資料填寫!$E$1&amp;"-"&amp;ROW(I74),基本資料填寫!$E:$EU,COLUMN(基本資料填寫!M74),0),"")</f>
        <v/>
      </c>
      <c r="F76" s="233" t="str">
        <f>IFERROR(VLOOKUP(基本資料填寫!$E$1&amp;"-"&amp;ROW(O74),基本資料填寫!$E:$EU,COLUMN(基本資料填寫!S74),0),"")</f>
        <v/>
      </c>
      <c r="G76" s="233" t="str">
        <f>IFERROR(VLOOKUP(基本資料填寫!$E$1&amp;"-"&amp;ROW(P74),基本資料填寫!$E:$EU,COLUMN(基本資料填寫!T74),0),"")</f>
        <v/>
      </c>
      <c r="H76" s="233" t="str">
        <f>IFERROR(VLOOKUP(基本資料填寫!$E$1&amp;"-"&amp;ROW(R74),基本資料填寫!$E:$EU,COLUMN(基本資料填寫!V74),0),"")</f>
        <v/>
      </c>
      <c r="I76" s="233" t="str">
        <f>IFERROR(VLOOKUP(基本資料填寫!$E$1&amp;"-"&amp;ROW(S74),基本資料填寫!$E:$EU,COLUMN(基本資料填寫!W74),0),"")</f>
        <v/>
      </c>
      <c r="J76" s="233" t="str">
        <f>IFERROR(VLOOKUP(基本資料填寫!$E$1&amp;"-"&amp;ROW(T74),基本資料填寫!$E:$EU,COLUMN(基本資料填寫!X74),0),"")</f>
        <v/>
      </c>
      <c r="K76" s="233" t="str">
        <f>IFERROR(VLOOKUP(基本資料填寫!$E$1&amp;"-"&amp;ROW(U74),基本資料填寫!$E:$EU,COLUMN(基本資料填寫!Y74),0),"")</f>
        <v/>
      </c>
      <c r="L76" s="233" t="str">
        <f>IFERROR(VLOOKUP(基本資料填寫!$E$1&amp;"-"&amp;ROW(V74),基本資料填寫!$E:$EU,COLUMN(基本資料填寫!Z74),0),"")</f>
        <v/>
      </c>
      <c r="M76" s="233" t="str">
        <f>IFERROR(VLOOKUP(基本資料填寫!$E$1&amp;"-"&amp;ROW(W74),基本資料填寫!$E:$EU,COLUMN(基本資料填寫!AA74),0),"")</f>
        <v/>
      </c>
      <c r="N76" s="233" t="str">
        <f>IFERROR(VLOOKUP(基本資料填寫!$E$1&amp;"-"&amp;ROW(X74),基本資料填寫!$E:$EU,COLUMN(基本資料填寫!AB74),0),"")</f>
        <v/>
      </c>
    </row>
    <row r="77" spans="1:14" x14ac:dyDescent="0.3">
      <c r="A77" s="232" t="str">
        <f>IF(E77="","",COUNTA($E$3:E77))</f>
        <v/>
      </c>
      <c r="B77" s="233" t="str">
        <f>IFERROR(VLOOKUP(基本資料填寫!$E$1&amp;"-"&amp;ROW(F75),基本資料填寫!$E:$EU,COLUMN(基本資料填寫!F75),0),"")</f>
        <v/>
      </c>
      <c r="C77" s="233" t="str">
        <f>IFERROR(VLOOKUP(基本資料填寫!$E$1&amp;"-"&amp;ROW(K75),基本資料填寫!$E:$EU,COLUMN(基本資料填寫!K75),0),"")</f>
        <v/>
      </c>
      <c r="D77" s="233" t="str">
        <f>IFERROR(VLOOKUP(基本資料填寫!$E$1&amp;"-"&amp;ROW(H75),基本資料填寫!$E:$EU,COLUMN(基本資料填寫!L75),0),"")</f>
        <v/>
      </c>
      <c r="E77" s="233" t="str">
        <f>IFERROR(VLOOKUP(基本資料填寫!$E$1&amp;"-"&amp;ROW(I75),基本資料填寫!$E:$EU,COLUMN(基本資料填寫!M75),0),"")</f>
        <v/>
      </c>
      <c r="F77" s="233" t="str">
        <f>IFERROR(VLOOKUP(基本資料填寫!$E$1&amp;"-"&amp;ROW(O75),基本資料填寫!$E:$EU,COLUMN(基本資料填寫!S75),0),"")</f>
        <v/>
      </c>
      <c r="G77" s="233" t="str">
        <f>IFERROR(VLOOKUP(基本資料填寫!$E$1&amp;"-"&amp;ROW(P75),基本資料填寫!$E:$EU,COLUMN(基本資料填寫!T75),0),"")</f>
        <v/>
      </c>
      <c r="H77" s="233" t="str">
        <f>IFERROR(VLOOKUP(基本資料填寫!$E$1&amp;"-"&amp;ROW(R75),基本資料填寫!$E:$EU,COLUMN(基本資料填寫!V75),0),"")</f>
        <v/>
      </c>
      <c r="I77" s="233" t="str">
        <f>IFERROR(VLOOKUP(基本資料填寫!$E$1&amp;"-"&amp;ROW(S75),基本資料填寫!$E:$EU,COLUMN(基本資料填寫!W75),0),"")</f>
        <v/>
      </c>
      <c r="J77" s="233" t="str">
        <f>IFERROR(VLOOKUP(基本資料填寫!$E$1&amp;"-"&amp;ROW(T75),基本資料填寫!$E:$EU,COLUMN(基本資料填寫!X75),0),"")</f>
        <v/>
      </c>
      <c r="K77" s="233" t="str">
        <f>IFERROR(VLOOKUP(基本資料填寫!$E$1&amp;"-"&amp;ROW(U75),基本資料填寫!$E:$EU,COLUMN(基本資料填寫!Y75),0),"")</f>
        <v/>
      </c>
      <c r="L77" s="233" t="str">
        <f>IFERROR(VLOOKUP(基本資料填寫!$E$1&amp;"-"&amp;ROW(V75),基本資料填寫!$E:$EU,COLUMN(基本資料填寫!Z75),0),"")</f>
        <v/>
      </c>
      <c r="M77" s="233" t="str">
        <f>IFERROR(VLOOKUP(基本資料填寫!$E$1&amp;"-"&amp;ROW(W75),基本資料填寫!$E:$EU,COLUMN(基本資料填寫!AA75),0),"")</f>
        <v/>
      </c>
      <c r="N77" s="233" t="str">
        <f>IFERROR(VLOOKUP(基本資料填寫!$E$1&amp;"-"&amp;ROW(X75),基本資料填寫!$E:$EU,COLUMN(基本資料填寫!AB75),0),"")</f>
        <v/>
      </c>
    </row>
    <row r="78" spans="1:14" x14ac:dyDescent="0.3">
      <c r="A78" s="232" t="str">
        <f>IF(E78="","",COUNTA($E$3:E78))</f>
        <v/>
      </c>
      <c r="B78" s="233" t="str">
        <f>IFERROR(VLOOKUP(基本資料填寫!$E$1&amp;"-"&amp;ROW(F76),基本資料填寫!$E:$EU,COLUMN(基本資料填寫!F76),0),"")</f>
        <v/>
      </c>
      <c r="C78" s="233" t="str">
        <f>IFERROR(VLOOKUP(基本資料填寫!$E$1&amp;"-"&amp;ROW(K76),基本資料填寫!$E:$EU,COLUMN(基本資料填寫!K76),0),"")</f>
        <v/>
      </c>
      <c r="D78" s="233" t="str">
        <f>IFERROR(VLOOKUP(基本資料填寫!$E$1&amp;"-"&amp;ROW(H76),基本資料填寫!$E:$EU,COLUMN(基本資料填寫!L76),0),"")</f>
        <v/>
      </c>
      <c r="E78" s="233" t="str">
        <f>IFERROR(VLOOKUP(基本資料填寫!$E$1&amp;"-"&amp;ROW(I76),基本資料填寫!$E:$EU,COLUMN(基本資料填寫!M76),0),"")</f>
        <v/>
      </c>
      <c r="F78" s="233" t="str">
        <f>IFERROR(VLOOKUP(基本資料填寫!$E$1&amp;"-"&amp;ROW(O76),基本資料填寫!$E:$EU,COLUMN(基本資料填寫!S76),0),"")</f>
        <v/>
      </c>
      <c r="G78" s="233" t="str">
        <f>IFERROR(VLOOKUP(基本資料填寫!$E$1&amp;"-"&amp;ROW(P76),基本資料填寫!$E:$EU,COLUMN(基本資料填寫!T76),0),"")</f>
        <v/>
      </c>
      <c r="H78" s="233" t="str">
        <f>IFERROR(VLOOKUP(基本資料填寫!$E$1&amp;"-"&amp;ROW(R76),基本資料填寫!$E:$EU,COLUMN(基本資料填寫!V76),0),"")</f>
        <v/>
      </c>
      <c r="I78" s="233" t="str">
        <f>IFERROR(VLOOKUP(基本資料填寫!$E$1&amp;"-"&amp;ROW(S76),基本資料填寫!$E:$EU,COLUMN(基本資料填寫!W76),0),"")</f>
        <v/>
      </c>
      <c r="J78" s="233" t="str">
        <f>IFERROR(VLOOKUP(基本資料填寫!$E$1&amp;"-"&amp;ROW(T76),基本資料填寫!$E:$EU,COLUMN(基本資料填寫!X76),0),"")</f>
        <v/>
      </c>
      <c r="K78" s="233" t="str">
        <f>IFERROR(VLOOKUP(基本資料填寫!$E$1&amp;"-"&amp;ROW(U76),基本資料填寫!$E:$EU,COLUMN(基本資料填寫!Y76),0),"")</f>
        <v/>
      </c>
      <c r="L78" s="233" t="str">
        <f>IFERROR(VLOOKUP(基本資料填寫!$E$1&amp;"-"&amp;ROW(V76),基本資料填寫!$E:$EU,COLUMN(基本資料填寫!Z76),0),"")</f>
        <v/>
      </c>
      <c r="M78" s="233" t="str">
        <f>IFERROR(VLOOKUP(基本資料填寫!$E$1&amp;"-"&amp;ROW(W76),基本資料填寫!$E:$EU,COLUMN(基本資料填寫!AA76),0),"")</f>
        <v/>
      </c>
      <c r="N78" s="233" t="str">
        <f>IFERROR(VLOOKUP(基本資料填寫!$E$1&amp;"-"&amp;ROW(X76),基本資料填寫!$E:$EU,COLUMN(基本資料填寫!AB76),0),"")</f>
        <v/>
      </c>
    </row>
    <row r="79" spans="1:14" x14ac:dyDescent="0.3">
      <c r="A79" s="232" t="str">
        <f>IF(E79="","",COUNTA($E$3:E79))</f>
        <v/>
      </c>
      <c r="B79" s="233" t="str">
        <f>IFERROR(VLOOKUP(基本資料填寫!$E$1&amp;"-"&amp;ROW(F77),基本資料填寫!$E:$EU,COLUMN(基本資料填寫!F77),0),"")</f>
        <v/>
      </c>
      <c r="C79" s="233" t="str">
        <f>IFERROR(VLOOKUP(基本資料填寫!$E$1&amp;"-"&amp;ROW(K77),基本資料填寫!$E:$EU,COLUMN(基本資料填寫!K77),0),"")</f>
        <v/>
      </c>
      <c r="D79" s="233" t="str">
        <f>IFERROR(VLOOKUP(基本資料填寫!$E$1&amp;"-"&amp;ROW(H77),基本資料填寫!$E:$EU,COLUMN(基本資料填寫!L77),0),"")</f>
        <v/>
      </c>
      <c r="E79" s="233" t="str">
        <f>IFERROR(VLOOKUP(基本資料填寫!$E$1&amp;"-"&amp;ROW(I77),基本資料填寫!$E:$EU,COLUMN(基本資料填寫!M77),0),"")</f>
        <v/>
      </c>
      <c r="F79" s="233" t="str">
        <f>IFERROR(VLOOKUP(基本資料填寫!$E$1&amp;"-"&amp;ROW(O77),基本資料填寫!$E:$EU,COLUMN(基本資料填寫!S77),0),"")</f>
        <v/>
      </c>
      <c r="G79" s="233" t="str">
        <f>IFERROR(VLOOKUP(基本資料填寫!$E$1&amp;"-"&amp;ROW(P77),基本資料填寫!$E:$EU,COLUMN(基本資料填寫!T77),0),"")</f>
        <v/>
      </c>
      <c r="H79" s="233" t="str">
        <f>IFERROR(VLOOKUP(基本資料填寫!$E$1&amp;"-"&amp;ROW(R77),基本資料填寫!$E:$EU,COLUMN(基本資料填寫!V77),0),"")</f>
        <v/>
      </c>
      <c r="I79" s="233" t="str">
        <f>IFERROR(VLOOKUP(基本資料填寫!$E$1&amp;"-"&amp;ROW(S77),基本資料填寫!$E:$EU,COLUMN(基本資料填寫!W77),0),"")</f>
        <v/>
      </c>
      <c r="J79" s="233" t="str">
        <f>IFERROR(VLOOKUP(基本資料填寫!$E$1&amp;"-"&amp;ROW(T77),基本資料填寫!$E:$EU,COLUMN(基本資料填寫!X77),0),"")</f>
        <v/>
      </c>
      <c r="K79" s="233" t="str">
        <f>IFERROR(VLOOKUP(基本資料填寫!$E$1&amp;"-"&amp;ROW(U77),基本資料填寫!$E:$EU,COLUMN(基本資料填寫!Y77),0),"")</f>
        <v/>
      </c>
      <c r="L79" s="233" t="str">
        <f>IFERROR(VLOOKUP(基本資料填寫!$E$1&amp;"-"&amp;ROW(V77),基本資料填寫!$E:$EU,COLUMN(基本資料填寫!Z77),0),"")</f>
        <v/>
      </c>
      <c r="M79" s="233" t="str">
        <f>IFERROR(VLOOKUP(基本資料填寫!$E$1&amp;"-"&amp;ROW(W77),基本資料填寫!$E:$EU,COLUMN(基本資料填寫!AA77),0),"")</f>
        <v/>
      </c>
      <c r="N79" s="233" t="str">
        <f>IFERROR(VLOOKUP(基本資料填寫!$E$1&amp;"-"&amp;ROW(X77),基本資料填寫!$E:$EU,COLUMN(基本資料填寫!AB77),0),"")</f>
        <v/>
      </c>
    </row>
    <row r="80" spans="1:14" x14ac:dyDescent="0.3">
      <c r="A80" s="232" t="str">
        <f>IF(E80="","",COUNTA($E$3:E80))</f>
        <v/>
      </c>
      <c r="B80" s="233" t="str">
        <f>IFERROR(VLOOKUP(基本資料填寫!$E$1&amp;"-"&amp;ROW(F78),基本資料填寫!$E:$EU,COLUMN(基本資料填寫!F78),0),"")</f>
        <v/>
      </c>
      <c r="C80" s="233" t="str">
        <f>IFERROR(VLOOKUP(基本資料填寫!$E$1&amp;"-"&amp;ROW(K78),基本資料填寫!$E:$EU,COLUMN(基本資料填寫!K78),0),"")</f>
        <v/>
      </c>
      <c r="D80" s="233" t="str">
        <f>IFERROR(VLOOKUP(基本資料填寫!$E$1&amp;"-"&amp;ROW(H78),基本資料填寫!$E:$EU,COLUMN(基本資料填寫!L78),0),"")</f>
        <v/>
      </c>
      <c r="E80" s="233" t="str">
        <f>IFERROR(VLOOKUP(基本資料填寫!$E$1&amp;"-"&amp;ROW(I78),基本資料填寫!$E:$EU,COLUMN(基本資料填寫!M78),0),"")</f>
        <v/>
      </c>
      <c r="F80" s="233" t="str">
        <f>IFERROR(VLOOKUP(基本資料填寫!$E$1&amp;"-"&amp;ROW(O78),基本資料填寫!$E:$EU,COLUMN(基本資料填寫!S78),0),"")</f>
        <v/>
      </c>
      <c r="G80" s="233" t="str">
        <f>IFERROR(VLOOKUP(基本資料填寫!$E$1&amp;"-"&amp;ROW(P78),基本資料填寫!$E:$EU,COLUMN(基本資料填寫!T78),0),"")</f>
        <v/>
      </c>
      <c r="H80" s="233" t="str">
        <f>IFERROR(VLOOKUP(基本資料填寫!$E$1&amp;"-"&amp;ROW(R78),基本資料填寫!$E:$EU,COLUMN(基本資料填寫!V78),0),"")</f>
        <v/>
      </c>
      <c r="I80" s="233" t="str">
        <f>IFERROR(VLOOKUP(基本資料填寫!$E$1&amp;"-"&amp;ROW(S78),基本資料填寫!$E:$EU,COLUMN(基本資料填寫!W78),0),"")</f>
        <v/>
      </c>
      <c r="J80" s="233" t="str">
        <f>IFERROR(VLOOKUP(基本資料填寫!$E$1&amp;"-"&amp;ROW(T78),基本資料填寫!$E:$EU,COLUMN(基本資料填寫!X78),0),"")</f>
        <v/>
      </c>
      <c r="K80" s="233" t="str">
        <f>IFERROR(VLOOKUP(基本資料填寫!$E$1&amp;"-"&amp;ROW(U78),基本資料填寫!$E:$EU,COLUMN(基本資料填寫!Y78),0),"")</f>
        <v/>
      </c>
      <c r="L80" s="233" t="str">
        <f>IFERROR(VLOOKUP(基本資料填寫!$E$1&amp;"-"&amp;ROW(V78),基本資料填寫!$E:$EU,COLUMN(基本資料填寫!Z78),0),"")</f>
        <v/>
      </c>
      <c r="M80" s="233" t="str">
        <f>IFERROR(VLOOKUP(基本資料填寫!$E$1&amp;"-"&amp;ROW(W78),基本資料填寫!$E:$EU,COLUMN(基本資料填寫!AA78),0),"")</f>
        <v/>
      </c>
      <c r="N80" s="233" t="str">
        <f>IFERROR(VLOOKUP(基本資料填寫!$E$1&amp;"-"&amp;ROW(X78),基本資料填寫!$E:$EU,COLUMN(基本資料填寫!AB78),0),"")</f>
        <v/>
      </c>
    </row>
    <row r="81" spans="1:14" x14ac:dyDescent="0.3">
      <c r="A81" s="232" t="str">
        <f>IF(E81="","",COUNTA($E$3:E81))</f>
        <v/>
      </c>
      <c r="B81" s="233" t="str">
        <f>IFERROR(VLOOKUP(基本資料填寫!$E$1&amp;"-"&amp;ROW(F79),基本資料填寫!$E:$EU,COLUMN(基本資料填寫!F79),0),"")</f>
        <v/>
      </c>
      <c r="C81" s="233" t="str">
        <f>IFERROR(VLOOKUP(基本資料填寫!$E$1&amp;"-"&amp;ROW(K79),基本資料填寫!$E:$EU,COLUMN(基本資料填寫!K79),0),"")</f>
        <v/>
      </c>
      <c r="D81" s="233" t="str">
        <f>IFERROR(VLOOKUP(基本資料填寫!$E$1&amp;"-"&amp;ROW(H79),基本資料填寫!$E:$EU,COLUMN(基本資料填寫!L79),0),"")</f>
        <v/>
      </c>
      <c r="E81" s="233" t="str">
        <f>IFERROR(VLOOKUP(基本資料填寫!$E$1&amp;"-"&amp;ROW(I79),基本資料填寫!$E:$EU,COLUMN(基本資料填寫!M79),0),"")</f>
        <v/>
      </c>
      <c r="F81" s="233" t="str">
        <f>IFERROR(VLOOKUP(基本資料填寫!$E$1&amp;"-"&amp;ROW(O79),基本資料填寫!$E:$EU,COLUMN(基本資料填寫!S79),0),"")</f>
        <v/>
      </c>
      <c r="G81" s="233" t="str">
        <f>IFERROR(VLOOKUP(基本資料填寫!$E$1&amp;"-"&amp;ROW(P79),基本資料填寫!$E:$EU,COLUMN(基本資料填寫!T79),0),"")</f>
        <v/>
      </c>
      <c r="H81" s="233" t="str">
        <f>IFERROR(VLOOKUP(基本資料填寫!$E$1&amp;"-"&amp;ROW(R79),基本資料填寫!$E:$EU,COLUMN(基本資料填寫!V79),0),"")</f>
        <v/>
      </c>
      <c r="I81" s="233" t="str">
        <f>IFERROR(VLOOKUP(基本資料填寫!$E$1&amp;"-"&amp;ROW(S79),基本資料填寫!$E:$EU,COLUMN(基本資料填寫!W79),0),"")</f>
        <v/>
      </c>
      <c r="J81" s="233" t="str">
        <f>IFERROR(VLOOKUP(基本資料填寫!$E$1&amp;"-"&amp;ROW(T79),基本資料填寫!$E:$EU,COLUMN(基本資料填寫!X79),0),"")</f>
        <v/>
      </c>
      <c r="K81" s="233" t="str">
        <f>IFERROR(VLOOKUP(基本資料填寫!$E$1&amp;"-"&amp;ROW(U79),基本資料填寫!$E:$EU,COLUMN(基本資料填寫!Y79),0),"")</f>
        <v/>
      </c>
      <c r="L81" s="233" t="str">
        <f>IFERROR(VLOOKUP(基本資料填寫!$E$1&amp;"-"&amp;ROW(V79),基本資料填寫!$E:$EU,COLUMN(基本資料填寫!Z79),0),"")</f>
        <v/>
      </c>
      <c r="M81" s="233" t="str">
        <f>IFERROR(VLOOKUP(基本資料填寫!$E$1&amp;"-"&amp;ROW(W79),基本資料填寫!$E:$EU,COLUMN(基本資料填寫!AA79),0),"")</f>
        <v/>
      </c>
      <c r="N81" s="233" t="str">
        <f>IFERROR(VLOOKUP(基本資料填寫!$E$1&amp;"-"&amp;ROW(X79),基本資料填寫!$E:$EU,COLUMN(基本資料填寫!AB79),0),"")</f>
        <v/>
      </c>
    </row>
    <row r="82" spans="1:14" x14ac:dyDescent="0.3">
      <c r="A82" s="232" t="str">
        <f>IF(E82="","",COUNTA($E$3:E82))</f>
        <v/>
      </c>
      <c r="B82" s="233" t="str">
        <f>IFERROR(VLOOKUP(基本資料填寫!$E$1&amp;"-"&amp;ROW(F80),基本資料填寫!$E:$EU,COLUMN(基本資料填寫!F80),0),"")</f>
        <v/>
      </c>
      <c r="C82" s="233" t="str">
        <f>IFERROR(VLOOKUP(基本資料填寫!$E$1&amp;"-"&amp;ROW(K80),基本資料填寫!$E:$EU,COLUMN(基本資料填寫!K80),0),"")</f>
        <v/>
      </c>
      <c r="D82" s="233" t="str">
        <f>IFERROR(VLOOKUP(基本資料填寫!$E$1&amp;"-"&amp;ROW(H80),基本資料填寫!$E:$EU,COLUMN(基本資料填寫!L80),0),"")</f>
        <v/>
      </c>
      <c r="E82" s="233" t="str">
        <f>IFERROR(VLOOKUP(基本資料填寫!$E$1&amp;"-"&amp;ROW(I80),基本資料填寫!$E:$EU,COLUMN(基本資料填寫!M80),0),"")</f>
        <v/>
      </c>
      <c r="F82" s="233" t="str">
        <f>IFERROR(VLOOKUP(基本資料填寫!$E$1&amp;"-"&amp;ROW(O80),基本資料填寫!$E:$EU,COLUMN(基本資料填寫!S80),0),"")</f>
        <v/>
      </c>
      <c r="G82" s="233" t="str">
        <f>IFERROR(VLOOKUP(基本資料填寫!$E$1&amp;"-"&amp;ROW(P80),基本資料填寫!$E:$EU,COLUMN(基本資料填寫!T80),0),"")</f>
        <v/>
      </c>
      <c r="H82" s="233" t="str">
        <f>IFERROR(VLOOKUP(基本資料填寫!$E$1&amp;"-"&amp;ROW(R80),基本資料填寫!$E:$EU,COLUMN(基本資料填寫!V80),0),"")</f>
        <v/>
      </c>
      <c r="I82" s="233" t="str">
        <f>IFERROR(VLOOKUP(基本資料填寫!$E$1&amp;"-"&amp;ROW(S80),基本資料填寫!$E:$EU,COLUMN(基本資料填寫!W80),0),"")</f>
        <v/>
      </c>
      <c r="J82" s="233" t="str">
        <f>IFERROR(VLOOKUP(基本資料填寫!$E$1&amp;"-"&amp;ROW(T80),基本資料填寫!$E:$EU,COLUMN(基本資料填寫!X80),0),"")</f>
        <v/>
      </c>
      <c r="K82" s="233" t="str">
        <f>IFERROR(VLOOKUP(基本資料填寫!$E$1&amp;"-"&amp;ROW(U80),基本資料填寫!$E:$EU,COLUMN(基本資料填寫!Y80),0),"")</f>
        <v/>
      </c>
      <c r="L82" s="233" t="str">
        <f>IFERROR(VLOOKUP(基本資料填寫!$E$1&amp;"-"&amp;ROW(V80),基本資料填寫!$E:$EU,COLUMN(基本資料填寫!Z80),0),"")</f>
        <v/>
      </c>
      <c r="M82" s="233" t="str">
        <f>IFERROR(VLOOKUP(基本資料填寫!$E$1&amp;"-"&amp;ROW(W80),基本資料填寫!$E:$EU,COLUMN(基本資料填寫!AA80),0),"")</f>
        <v/>
      </c>
      <c r="N82" s="233" t="str">
        <f>IFERROR(VLOOKUP(基本資料填寫!$E$1&amp;"-"&amp;ROW(X80),基本資料填寫!$E:$EU,COLUMN(基本資料填寫!AB80),0),"")</f>
        <v/>
      </c>
    </row>
    <row r="83" spans="1:14" x14ac:dyDescent="0.3">
      <c r="A83" s="232" t="str">
        <f>IF(E83="","",COUNTA($E$3:E83))</f>
        <v/>
      </c>
      <c r="B83" s="233" t="str">
        <f>IFERROR(VLOOKUP(基本資料填寫!$E$1&amp;"-"&amp;ROW(F81),基本資料填寫!$E:$EU,COLUMN(基本資料填寫!F81),0),"")</f>
        <v/>
      </c>
      <c r="C83" s="233" t="str">
        <f>IFERROR(VLOOKUP(基本資料填寫!$E$1&amp;"-"&amp;ROW(K81),基本資料填寫!$E:$EU,COLUMN(基本資料填寫!K81),0),"")</f>
        <v/>
      </c>
      <c r="D83" s="233" t="str">
        <f>IFERROR(VLOOKUP(基本資料填寫!$E$1&amp;"-"&amp;ROW(H81),基本資料填寫!$E:$EU,COLUMN(基本資料填寫!L81),0),"")</f>
        <v/>
      </c>
      <c r="E83" s="233" t="str">
        <f>IFERROR(VLOOKUP(基本資料填寫!$E$1&amp;"-"&amp;ROW(I81),基本資料填寫!$E:$EU,COLUMN(基本資料填寫!M81),0),"")</f>
        <v/>
      </c>
      <c r="F83" s="233" t="str">
        <f>IFERROR(VLOOKUP(基本資料填寫!$E$1&amp;"-"&amp;ROW(O81),基本資料填寫!$E:$EU,COLUMN(基本資料填寫!S81),0),"")</f>
        <v/>
      </c>
      <c r="G83" s="233" t="str">
        <f>IFERROR(VLOOKUP(基本資料填寫!$E$1&amp;"-"&amp;ROW(P81),基本資料填寫!$E:$EU,COLUMN(基本資料填寫!T81),0),"")</f>
        <v/>
      </c>
      <c r="H83" s="233" t="str">
        <f>IFERROR(VLOOKUP(基本資料填寫!$E$1&amp;"-"&amp;ROW(R81),基本資料填寫!$E:$EU,COLUMN(基本資料填寫!V81),0),"")</f>
        <v/>
      </c>
      <c r="I83" s="233" t="str">
        <f>IFERROR(VLOOKUP(基本資料填寫!$E$1&amp;"-"&amp;ROW(S81),基本資料填寫!$E:$EU,COLUMN(基本資料填寫!W81),0),"")</f>
        <v/>
      </c>
      <c r="J83" s="233" t="str">
        <f>IFERROR(VLOOKUP(基本資料填寫!$E$1&amp;"-"&amp;ROW(T81),基本資料填寫!$E:$EU,COLUMN(基本資料填寫!X81),0),"")</f>
        <v/>
      </c>
      <c r="K83" s="233" t="str">
        <f>IFERROR(VLOOKUP(基本資料填寫!$E$1&amp;"-"&amp;ROW(U81),基本資料填寫!$E:$EU,COLUMN(基本資料填寫!Y81),0),"")</f>
        <v/>
      </c>
      <c r="L83" s="233" t="str">
        <f>IFERROR(VLOOKUP(基本資料填寫!$E$1&amp;"-"&amp;ROW(V81),基本資料填寫!$E:$EU,COLUMN(基本資料填寫!Z81),0),"")</f>
        <v/>
      </c>
      <c r="M83" s="233" t="str">
        <f>IFERROR(VLOOKUP(基本資料填寫!$E$1&amp;"-"&amp;ROW(W81),基本資料填寫!$E:$EU,COLUMN(基本資料填寫!AA81),0),"")</f>
        <v/>
      </c>
      <c r="N83" s="233" t="str">
        <f>IFERROR(VLOOKUP(基本資料填寫!$E$1&amp;"-"&amp;ROW(X81),基本資料填寫!$E:$EU,COLUMN(基本資料填寫!AB81),0),"")</f>
        <v/>
      </c>
    </row>
    <row r="84" spans="1:14" x14ac:dyDescent="0.3">
      <c r="A84" s="232" t="str">
        <f>IF(E84="","",COUNTA($E$3:E84))</f>
        <v/>
      </c>
      <c r="B84" s="233" t="str">
        <f>IFERROR(VLOOKUP(基本資料填寫!$E$1&amp;"-"&amp;ROW(F82),基本資料填寫!$E:$EU,COLUMN(基本資料填寫!F82),0),"")</f>
        <v/>
      </c>
      <c r="C84" s="233" t="str">
        <f>IFERROR(VLOOKUP(基本資料填寫!$E$1&amp;"-"&amp;ROW(K82),基本資料填寫!$E:$EU,COLUMN(基本資料填寫!K82),0),"")</f>
        <v/>
      </c>
      <c r="D84" s="233" t="str">
        <f>IFERROR(VLOOKUP(基本資料填寫!$E$1&amp;"-"&amp;ROW(H82),基本資料填寫!$E:$EU,COLUMN(基本資料填寫!L82),0),"")</f>
        <v/>
      </c>
      <c r="E84" s="233" t="str">
        <f>IFERROR(VLOOKUP(基本資料填寫!$E$1&amp;"-"&amp;ROW(I82),基本資料填寫!$E:$EU,COLUMN(基本資料填寫!M82),0),"")</f>
        <v/>
      </c>
      <c r="F84" s="233" t="str">
        <f>IFERROR(VLOOKUP(基本資料填寫!$E$1&amp;"-"&amp;ROW(O82),基本資料填寫!$E:$EU,COLUMN(基本資料填寫!S82),0),"")</f>
        <v/>
      </c>
      <c r="G84" s="233" t="str">
        <f>IFERROR(VLOOKUP(基本資料填寫!$E$1&amp;"-"&amp;ROW(P82),基本資料填寫!$E:$EU,COLUMN(基本資料填寫!T82),0),"")</f>
        <v/>
      </c>
      <c r="H84" s="233" t="str">
        <f>IFERROR(VLOOKUP(基本資料填寫!$E$1&amp;"-"&amp;ROW(R82),基本資料填寫!$E:$EU,COLUMN(基本資料填寫!V82),0),"")</f>
        <v/>
      </c>
      <c r="I84" s="233" t="str">
        <f>IFERROR(VLOOKUP(基本資料填寫!$E$1&amp;"-"&amp;ROW(S82),基本資料填寫!$E:$EU,COLUMN(基本資料填寫!W82),0),"")</f>
        <v/>
      </c>
      <c r="J84" s="233" t="str">
        <f>IFERROR(VLOOKUP(基本資料填寫!$E$1&amp;"-"&amp;ROW(T82),基本資料填寫!$E:$EU,COLUMN(基本資料填寫!X82),0),"")</f>
        <v/>
      </c>
      <c r="K84" s="233" t="str">
        <f>IFERROR(VLOOKUP(基本資料填寫!$E$1&amp;"-"&amp;ROW(U82),基本資料填寫!$E:$EU,COLUMN(基本資料填寫!Y82),0),"")</f>
        <v/>
      </c>
      <c r="L84" s="233" t="str">
        <f>IFERROR(VLOOKUP(基本資料填寫!$E$1&amp;"-"&amp;ROW(V82),基本資料填寫!$E:$EU,COLUMN(基本資料填寫!Z82),0),"")</f>
        <v/>
      </c>
      <c r="M84" s="233" t="str">
        <f>IFERROR(VLOOKUP(基本資料填寫!$E$1&amp;"-"&amp;ROW(W82),基本資料填寫!$E:$EU,COLUMN(基本資料填寫!AA82),0),"")</f>
        <v/>
      </c>
      <c r="N84" s="233" t="str">
        <f>IFERROR(VLOOKUP(基本資料填寫!$E$1&amp;"-"&amp;ROW(X82),基本資料填寫!$E:$EU,COLUMN(基本資料填寫!AB82),0),"")</f>
        <v/>
      </c>
    </row>
    <row r="85" spans="1:14" x14ac:dyDescent="0.3">
      <c r="A85" s="232" t="str">
        <f>IF(E85="","",COUNTA($E$3:E85))</f>
        <v/>
      </c>
      <c r="B85" s="233" t="str">
        <f>IFERROR(VLOOKUP(基本資料填寫!$E$1&amp;"-"&amp;ROW(F83),基本資料填寫!$E:$EU,COLUMN(基本資料填寫!F83),0),"")</f>
        <v/>
      </c>
      <c r="C85" s="233" t="str">
        <f>IFERROR(VLOOKUP(基本資料填寫!$E$1&amp;"-"&amp;ROW(K83),基本資料填寫!$E:$EU,COLUMN(基本資料填寫!K83),0),"")</f>
        <v/>
      </c>
      <c r="D85" s="233" t="str">
        <f>IFERROR(VLOOKUP(基本資料填寫!$E$1&amp;"-"&amp;ROW(H83),基本資料填寫!$E:$EU,COLUMN(基本資料填寫!L83),0),"")</f>
        <v/>
      </c>
      <c r="E85" s="233" t="str">
        <f>IFERROR(VLOOKUP(基本資料填寫!$E$1&amp;"-"&amp;ROW(I83),基本資料填寫!$E:$EU,COLUMN(基本資料填寫!M83),0),"")</f>
        <v/>
      </c>
      <c r="F85" s="233" t="str">
        <f>IFERROR(VLOOKUP(基本資料填寫!$E$1&amp;"-"&amp;ROW(O83),基本資料填寫!$E:$EU,COLUMN(基本資料填寫!S83),0),"")</f>
        <v/>
      </c>
      <c r="G85" s="233" t="str">
        <f>IFERROR(VLOOKUP(基本資料填寫!$E$1&amp;"-"&amp;ROW(P83),基本資料填寫!$E:$EU,COLUMN(基本資料填寫!T83),0),"")</f>
        <v/>
      </c>
      <c r="H85" s="233" t="str">
        <f>IFERROR(VLOOKUP(基本資料填寫!$E$1&amp;"-"&amp;ROW(R83),基本資料填寫!$E:$EU,COLUMN(基本資料填寫!V83),0),"")</f>
        <v/>
      </c>
      <c r="I85" s="233" t="str">
        <f>IFERROR(VLOOKUP(基本資料填寫!$E$1&amp;"-"&amp;ROW(S83),基本資料填寫!$E:$EU,COLUMN(基本資料填寫!W83),0),"")</f>
        <v/>
      </c>
      <c r="J85" s="233" t="str">
        <f>IFERROR(VLOOKUP(基本資料填寫!$E$1&amp;"-"&amp;ROW(T83),基本資料填寫!$E:$EU,COLUMN(基本資料填寫!X83),0),"")</f>
        <v/>
      </c>
      <c r="K85" s="233" t="str">
        <f>IFERROR(VLOOKUP(基本資料填寫!$E$1&amp;"-"&amp;ROW(U83),基本資料填寫!$E:$EU,COLUMN(基本資料填寫!Y83),0),"")</f>
        <v/>
      </c>
      <c r="L85" s="233" t="str">
        <f>IFERROR(VLOOKUP(基本資料填寫!$E$1&amp;"-"&amp;ROW(V83),基本資料填寫!$E:$EU,COLUMN(基本資料填寫!Z83),0),"")</f>
        <v/>
      </c>
      <c r="M85" s="233" t="str">
        <f>IFERROR(VLOOKUP(基本資料填寫!$E$1&amp;"-"&amp;ROW(W83),基本資料填寫!$E:$EU,COLUMN(基本資料填寫!AA83),0),"")</f>
        <v/>
      </c>
      <c r="N85" s="233" t="str">
        <f>IFERROR(VLOOKUP(基本資料填寫!$E$1&amp;"-"&amp;ROW(X83),基本資料填寫!$E:$EU,COLUMN(基本資料填寫!AB83),0),"")</f>
        <v/>
      </c>
    </row>
    <row r="86" spans="1:14" x14ac:dyDescent="0.3">
      <c r="A86" s="232" t="str">
        <f>IF(E86="","",COUNTA($E$3:E86))</f>
        <v/>
      </c>
      <c r="B86" s="233" t="str">
        <f>IFERROR(VLOOKUP(基本資料填寫!$E$1&amp;"-"&amp;ROW(F84),基本資料填寫!$E:$EU,COLUMN(基本資料填寫!F84),0),"")</f>
        <v/>
      </c>
      <c r="C86" s="233" t="str">
        <f>IFERROR(VLOOKUP(基本資料填寫!$E$1&amp;"-"&amp;ROW(K84),基本資料填寫!$E:$EU,COLUMN(基本資料填寫!K84),0),"")</f>
        <v/>
      </c>
      <c r="D86" s="233" t="str">
        <f>IFERROR(VLOOKUP(基本資料填寫!$E$1&amp;"-"&amp;ROW(H84),基本資料填寫!$E:$EU,COLUMN(基本資料填寫!L84),0),"")</f>
        <v/>
      </c>
      <c r="E86" s="233" t="str">
        <f>IFERROR(VLOOKUP(基本資料填寫!$E$1&amp;"-"&amp;ROW(I84),基本資料填寫!$E:$EU,COLUMN(基本資料填寫!M84),0),"")</f>
        <v/>
      </c>
      <c r="F86" s="233" t="str">
        <f>IFERROR(VLOOKUP(基本資料填寫!$E$1&amp;"-"&amp;ROW(O84),基本資料填寫!$E:$EU,COLUMN(基本資料填寫!S84),0),"")</f>
        <v/>
      </c>
      <c r="G86" s="233" t="str">
        <f>IFERROR(VLOOKUP(基本資料填寫!$E$1&amp;"-"&amp;ROW(P84),基本資料填寫!$E:$EU,COLUMN(基本資料填寫!T84),0),"")</f>
        <v/>
      </c>
      <c r="H86" s="233" t="str">
        <f>IFERROR(VLOOKUP(基本資料填寫!$E$1&amp;"-"&amp;ROW(R84),基本資料填寫!$E:$EU,COLUMN(基本資料填寫!V84),0),"")</f>
        <v/>
      </c>
      <c r="I86" s="233" t="str">
        <f>IFERROR(VLOOKUP(基本資料填寫!$E$1&amp;"-"&amp;ROW(S84),基本資料填寫!$E:$EU,COLUMN(基本資料填寫!W84),0),"")</f>
        <v/>
      </c>
      <c r="J86" s="233" t="str">
        <f>IFERROR(VLOOKUP(基本資料填寫!$E$1&amp;"-"&amp;ROW(T84),基本資料填寫!$E:$EU,COLUMN(基本資料填寫!X84),0),"")</f>
        <v/>
      </c>
      <c r="K86" s="233" t="str">
        <f>IFERROR(VLOOKUP(基本資料填寫!$E$1&amp;"-"&amp;ROW(U84),基本資料填寫!$E:$EU,COLUMN(基本資料填寫!Y84),0),"")</f>
        <v/>
      </c>
      <c r="L86" s="233" t="str">
        <f>IFERROR(VLOOKUP(基本資料填寫!$E$1&amp;"-"&amp;ROW(V84),基本資料填寫!$E:$EU,COLUMN(基本資料填寫!Z84),0),"")</f>
        <v/>
      </c>
      <c r="M86" s="233" t="str">
        <f>IFERROR(VLOOKUP(基本資料填寫!$E$1&amp;"-"&amp;ROW(W84),基本資料填寫!$E:$EU,COLUMN(基本資料填寫!AA84),0),"")</f>
        <v/>
      </c>
      <c r="N86" s="233" t="str">
        <f>IFERROR(VLOOKUP(基本資料填寫!$E$1&amp;"-"&amp;ROW(X84),基本資料填寫!$E:$EU,COLUMN(基本資料填寫!AB84),0),"")</f>
        <v/>
      </c>
    </row>
    <row r="87" spans="1:14" x14ac:dyDescent="0.3">
      <c r="A87" s="232" t="str">
        <f>IF(E87="","",COUNTA($E$3:E87))</f>
        <v/>
      </c>
      <c r="B87" s="233" t="str">
        <f>IFERROR(VLOOKUP(基本資料填寫!$E$1&amp;"-"&amp;ROW(F85),基本資料填寫!$E:$EU,COLUMN(基本資料填寫!F85),0),"")</f>
        <v/>
      </c>
      <c r="C87" s="233" t="str">
        <f>IFERROR(VLOOKUP(基本資料填寫!$E$1&amp;"-"&amp;ROW(K85),基本資料填寫!$E:$EU,COLUMN(基本資料填寫!K85),0),"")</f>
        <v/>
      </c>
      <c r="D87" s="233" t="str">
        <f>IFERROR(VLOOKUP(基本資料填寫!$E$1&amp;"-"&amp;ROW(H85),基本資料填寫!$E:$EU,COLUMN(基本資料填寫!L85),0),"")</f>
        <v/>
      </c>
      <c r="E87" s="233" t="str">
        <f>IFERROR(VLOOKUP(基本資料填寫!$E$1&amp;"-"&amp;ROW(I85),基本資料填寫!$E:$EU,COLUMN(基本資料填寫!M85),0),"")</f>
        <v/>
      </c>
      <c r="F87" s="233" t="str">
        <f>IFERROR(VLOOKUP(基本資料填寫!$E$1&amp;"-"&amp;ROW(O85),基本資料填寫!$E:$EU,COLUMN(基本資料填寫!S85),0),"")</f>
        <v/>
      </c>
      <c r="G87" s="233" t="str">
        <f>IFERROR(VLOOKUP(基本資料填寫!$E$1&amp;"-"&amp;ROW(P85),基本資料填寫!$E:$EU,COLUMN(基本資料填寫!T85),0),"")</f>
        <v/>
      </c>
      <c r="H87" s="233" t="str">
        <f>IFERROR(VLOOKUP(基本資料填寫!$E$1&amp;"-"&amp;ROW(R85),基本資料填寫!$E:$EU,COLUMN(基本資料填寫!V85),0),"")</f>
        <v/>
      </c>
      <c r="I87" s="233" t="str">
        <f>IFERROR(VLOOKUP(基本資料填寫!$E$1&amp;"-"&amp;ROW(S85),基本資料填寫!$E:$EU,COLUMN(基本資料填寫!W85),0),"")</f>
        <v/>
      </c>
      <c r="J87" s="233" t="str">
        <f>IFERROR(VLOOKUP(基本資料填寫!$E$1&amp;"-"&amp;ROW(T85),基本資料填寫!$E:$EU,COLUMN(基本資料填寫!X85),0),"")</f>
        <v/>
      </c>
      <c r="K87" s="233" t="str">
        <f>IFERROR(VLOOKUP(基本資料填寫!$E$1&amp;"-"&amp;ROW(U85),基本資料填寫!$E:$EU,COLUMN(基本資料填寫!Y85),0),"")</f>
        <v/>
      </c>
      <c r="L87" s="233" t="str">
        <f>IFERROR(VLOOKUP(基本資料填寫!$E$1&amp;"-"&amp;ROW(V85),基本資料填寫!$E:$EU,COLUMN(基本資料填寫!Z85),0),"")</f>
        <v/>
      </c>
      <c r="M87" s="233" t="str">
        <f>IFERROR(VLOOKUP(基本資料填寫!$E$1&amp;"-"&amp;ROW(W85),基本資料填寫!$E:$EU,COLUMN(基本資料填寫!AA85),0),"")</f>
        <v/>
      </c>
      <c r="N87" s="233" t="str">
        <f>IFERROR(VLOOKUP(基本資料填寫!$E$1&amp;"-"&amp;ROW(X85),基本資料填寫!$E:$EU,COLUMN(基本資料填寫!AB85),0),"")</f>
        <v/>
      </c>
    </row>
    <row r="88" spans="1:14" x14ac:dyDescent="0.3">
      <c r="A88" s="232" t="str">
        <f>IF(E88="","",COUNTA($E$3:E88))</f>
        <v/>
      </c>
      <c r="B88" s="233" t="str">
        <f>IFERROR(VLOOKUP(基本資料填寫!$E$1&amp;"-"&amp;ROW(F86),基本資料填寫!$E:$EU,COLUMN(基本資料填寫!F86),0),"")</f>
        <v/>
      </c>
      <c r="C88" s="233" t="str">
        <f>IFERROR(VLOOKUP(基本資料填寫!$E$1&amp;"-"&amp;ROW(K86),基本資料填寫!$E:$EU,COLUMN(基本資料填寫!K86),0),"")</f>
        <v/>
      </c>
      <c r="D88" s="233" t="str">
        <f>IFERROR(VLOOKUP(基本資料填寫!$E$1&amp;"-"&amp;ROW(H86),基本資料填寫!$E:$EU,COLUMN(基本資料填寫!L86),0),"")</f>
        <v/>
      </c>
      <c r="E88" s="233" t="str">
        <f>IFERROR(VLOOKUP(基本資料填寫!$E$1&amp;"-"&amp;ROW(I86),基本資料填寫!$E:$EU,COLUMN(基本資料填寫!M86),0),"")</f>
        <v/>
      </c>
      <c r="F88" s="233" t="str">
        <f>IFERROR(VLOOKUP(基本資料填寫!$E$1&amp;"-"&amp;ROW(O86),基本資料填寫!$E:$EU,COLUMN(基本資料填寫!S86),0),"")</f>
        <v/>
      </c>
      <c r="G88" s="233" t="str">
        <f>IFERROR(VLOOKUP(基本資料填寫!$E$1&amp;"-"&amp;ROW(P86),基本資料填寫!$E:$EU,COLUMN(基本資料填寫!T86),0),"")</f>
        <v/>
      </c>
      <c r="H88" s="233" t="str">
        <f>IFERROR(VLOOKUP(基本資料填寫!$E$1&amp;"-"&amp;ROW(R86),基本資料填寫!$E:$EU,COLUMN(基本資料填寫!V86),0),"")</f>
        <v/>
      </c>
      <c r="I88" s="233" t="str">
        <f>IFERROR(VLOOKUP(基本資料填寫!$E$1&amp;"-"&amp;ROW(S86),基本資料填寫!$E:$EU,COLUMN(基本資料填寫!W86),0),"")</f>
        <v/>
      </c>
      <c r="J88" s="233" t="str">
        <f>IFERROR(VLOOKUP(基本資料填寫!$E$1&amp;"-"&amp;ROW(T86),基本資料填寫!$E:$EU,COLUMN(基本資料填寫!X86),0),"")</f>
        <v/>
      </c>
      <c r="K88" s="233" t="str">
        <f>IFERROR(VLOOKUP(基本資料填寫!$E$1&amp;"-"&amp;ROW(U86),基本資料填寫!$E:$EU,COLUMN(基本資料填寫!Y86),0),"")</f>
        <v/>
      </c>
      <c r="L88" s="233" t="str">
        <f>IFERROR(VLOOKUP(基本資料填寫!$E$1&amp;"-"&amp;ROW(V86),基本資料填寫!$E:$EU,COLUMN(基本資料填寫!Z86),0),"")</f>
        <v/>
      </c>
      <c r="M88" s="233" t="str">
        <f>IFERROR(VLOOKUP(基本資料填寫!$E$1&amp;"-"&amp;ROW(W86),基本資料填寫!$E:$EU,COLUMN(基本資料填寫!AA86),0),"")</f>
        <v/>
      </c>
      <c r="N88" s="233" t="str">
        <f>IFERROR(VLOOKUP(基本資料填寫!$E$1&amp;"-"&amp;ROW(X86),基本資料填寫!$E:$EU,COLUMN(基本資料填寫!AB86),0),"")</f>
        <v/>
      </c>
    </row>
    <row r="89" spans="1:14" x14ac:dyDescent="0.3">
      <c r="A89" s="232" t="str">
        <f>IF(E89="","",COUNTA($E$3:E89))</f>
        <v/>
      </c>
      <c r="B89" s="233" t="str">
        <f>IFERROR(VLOOKUP(基本資料填寫!$E$1&amp;"-"&amp;ROW(F87),基本資料填寫!$E:$EU,COLUMN(基本資料填寫!F87),0),"")</f>
        <v/>
      </c>
      <c r="C89" s="233" t="str">
        <f>IFERROR(VLOOKUP(基本資料填寫!$E$1&amp;"-"&amp;ROW(K87),基本資料填寫!$E:$EU,COLUMN(基本資料填寫!K87),0),"")</f>
        <v/>
      </c>
      <c r="D89" s="233" t="str">
        <f>IFERROR(VLOOKUP(基本資料填寫!$E$1&amp;"-"&amp;ROW(H87),基本資料填寫!$E:$EU,COLUMN(基本資料填寫!L87),0),"")</f>
        <v/>
      </c>
      <c r="E89" s="233" t="str">
        <f>IFERROR(VLOOKUP(基本資料填寫!$E$1&amp;"-"&amp;ROW(I87),基本資料填寫!$E:$EU,COLUMN(基本資料填寫!M87),0),"")</f>
        <v/>
      </c>
      <c r="F89" s="233" t="str">
        <f>IFERROR(VLOOKUP(基本資料填寫!$E$1&amp;"-"&amp;ROW(O87),基本資料填寫!$E:$EU,COLUMN(基本資料填寫!S87),0),"")</f>
        <v/>
      </c>
      <c r="G89" s="233" t="str">
        <f>IFERROR(VLOOKUP(基本資料填寫!$E$1&amp;"-"&amp;ROW(P87),基本資料填寫!$E:$EU,COLUMN(基本資料填寫!T87),0),"")</f>
        <v/>
      </c>
      <c r="H89" s="233" t="str">
        <f>IFERROR(VLOOKUP(基本資料填寫!$E$1&amp;"-"&amp;ROW(R87),基本資料填寫!$E:$EU,COLUMN(基本資料填寫!V87),0),"")</f>
        <v/>
      </c>
      <c r="I89" s="233" t="str">
        <f>IFERROR(VLOOKUP(基本資料填寫!$E$1&amp;"-"&amp;ROW(S87),基本資料填寫!$E:$EU,COLUMN(基本資料填寫!W87),0),"")</f>
        <v/>
      </c>
      <c r="J89" s="233" t="str">
        <f>IFERROR(VLOOKUP(基本資料填寫!$E$1&amp;"-"&amp;ROW(T87),基本資料填寫!$E:$EU,COLUMN(基本資料填寫!X87),0),"")</f>
        <v/>
      </c>
      <c r="K89" s="233" t="str">
        <f>IFERROR(VLOOKUP(基本資料填寫!$E$1&amp;"-"&amp;ROW(U87),基本資料填寫!$E:$EU,COLUMN(基本資料填寫!Y87),0),"")</f>
        <v/>
      </c>
      <c r="L89" s="233" t="str">
        <f>IFERROR(VLOOKUP(基本資料填寫!$E$1&amp;"-"&amp;ROW(V87),基本資料填寫!$E:$EU,COLUMN(基本資料填寫!Z87),0),"")</f>
        <v/>
      </c>
      <c r="M89" s="233" t="str">
        <f>IFERROR(VLOOKUP(基本資料填寫!$E$1&amp;"-"&amp;ROW(W87),基本資料填寫!$E:$EU,COLUMN(基本資料填寫!AA87),0),"")</f>
        <v/>
      </c>
      <c r="N89" s="233" t="str">
        <f>IFERROR(VLOOKUP(基本資料填寫!$E$1&amp;"-"&amp;ROW(X87),基本資料填寫!$E:$EU,COLUMN(基本資料填寫!AB87),0),"")</f>
        <v/>
      </c>
    </row>
    <row r="90" spans="1:14" x14ac:dyDescent="0.3">
      <c r="A90" s="232" t="str">
        <f>IF(E90="","",COUNTA($E$3:E90))</f>
        <v/>
      </c>
      <c r="B90" s="233" t="str">
        <f>IFERROR(VLOOKUP(基本資料填寫!$E$1&amp;"-"&amp;ROW(F88),基本資料填寫!$E:$EU,COLUMN(基本資料填寫!F88),0),"")</f>
        <v/>
      </c>
      <c r="C90" s="233" t="str">
        <f>IFERROR(VLOOKUP(基本資料填寫!$E$1&amp;"-"&amp;ROW(K88),基本資料填寫!$E:$EU,COLUMN(基本資料填寫!K88),0),"")</f>
        <v/>
      </c>
      <c r="D90" s="233" t="str">
        <f>IFERROR(VLOOKUP(基本資料填寫!$E$1&amp;"-"&amp;ROW(H88),基本資料填寫!$E:$EU,COLUMN(基本資料填寫!L88),0),"")</f>
        <v/>
      </c>
      <c r="E90" s="233" t="str">
        <f>IFERROR(VLOOKUP(基本資料填寫!$E$1&amp;"-"&amp;ROW(I88),基本資料填寫!$E:$EU,COLUMN(基本資料填寫!M88),0),"")</f>
        <v/>
      </c>
      <c r="F90" s="233" t="str">
        <f>IFERROR(VLOOKUP(基本資料填寫!$E$1&amp;"-"&amp;ROW(O88),基本資料填寫!$E:$EU,COLUMN(基本資料填寫!S88),0),"")</f>
        <v/>
      </c>
      <c r="G90" s="233" t="str">
        <f>IFERROR(VLOOKUP(基本資料填寫!$E$1&amp;"-"&amp;ROW(P88),基本資料填寫!$E:$EU,COLUMN(基本資料填寫!T88),0),"")</f>
        <v/>
      </c>
      <c r="H90" s="233" t="str">
        <f>IFERROR(VLOOKUP(基本資料填寫!$E$1&amp;"-"&amp;ROW(R88),基本資料填寫!$E:$EU,COLUMN(基本資料填寫!V88),0),"")</f>
        <v/>
      </c>
      <c r="I90" s="233" t="str">
        <f>IFERROR(VLOOKUP(基本資料填寫!$E$1&amp;"-"&amp;ROW(S88),基本資料填寫!$E:$EU,COLUMN(基本資料填寫!W88),0),"")</f>
        <v/>
      </c>
      <c r="J90" s="233" t="str">
        <f>IFERROR(VLOOKUP(基本資料填寫!$E$1&amp;"-"&amp;ROW(T88),基本資料填寫!$E:$EU,COLUMN(基本資料填寫!X88),0),"")</f>
        <v/>
      </c>
      <c r="K90" s="233" t="str">
        <f>IFERROR(VLOOKUP(基本資料填寫!$E$1&amp;"-"&amp;ROW(U88),基本資料填寫!$E:$EU,COLUMN(基本資料填寫!Y88),0),"")</f>
        <v/>
      </c>
      <c r="L90" s="233" t="str">
        <f>IFERROR(VLOOKUP(基本資料填寫!$E$1&amp;"-"&amp;ROW(V88),基本資料填寫!$E:$EU,COLUMN(基本資料填寫!Z88),0),"")</f>
        <v/>
      </c>
      <c r="M90" s="233" t="str">
        <f>IFERROR(VLOOKUP(基本資料填寫!$E$1&amp;"-"&amp;ROW(W88),基本資料填寫!$E:$EU,COLUMN(基本資料填寫!AA88),0),"")</f>
        <v/>
      </c>
      <c r="N90" s="233" t="str">
        <f>IFERROR(VLOOKUP(基本資料填寫!$E$1&amp;"-"&amp;ROW(X88),基本資料填寫!$E:$EU,COLUMN(基本資料填寫!AB88),0),"")</f>
        <v/>
      </c>
    </row>
    <row r="91" spans="1:14" x14ac:dyDescent="0.3">
      <c r="A91" s="232" t="str">
        <f>IF(E91="","",COUNTA($E$3:E91))</f>
        <v/>
      </c>
      <c r="B91" s="233" t="str">
        <f>IFERROR(VLOOKUP(基本資料填寫!$E$1&amp;"-"&amp;ROW(F89),基本資料填寫!$E:$EU,COLUMN(基本資料填寫!F89),0),"")</f>
        <v/>
      </c>
      <c r="C91" s="233" t="str">
        <f>IFERROR(VLOOKUP(基本資料填寫!$E$1&amp;"-"&amp;ROW(K89),基本資料填寫!$E:$EU,COLUMN(基本資料填寫!K89),0),"")</f>
        <v/>
      </c>
      <c r="D91" s="233" t="str">
        <f>IFERROR(VLOOKUP(基本資料填寫!$E$1&amp;"-"&amp;ROW(H89),基本資料填寫!$E:$EU,COLUMN(基本資料填寫!L89),0),"")</f>
        <v/>
      </c>
      <c r="E91" s="233" t="str">
        <f>IFERROR(VLOOKUP(基本資料填寫!$E$1&amp;"-"&amp;ROW(I89),基本資料填寫!$E:$EU,COLUMN(基本資料填寫!M89),0),"")</f>
        <v/>
      </c>
      <c r="F91" s="233" t="str">
        <f>IFERROR(VLOOKUP(基本資料填寫!$E$1&amp;"-"&amp;ROW(O89),基本資料填寫!$E:$EU,COLUMN(基本資料填寫!S89),0),"")</f>
        <v/>
      </c>
      <c r="G91" s="233" t="str">
        <f>IFERROR(VLOOKUP(基本資料填寫!$E$1&amp;"-"&amp;ROW(P89),基本資料填寫!$E:$EU,COLUMN(基本資料填寫!T89),0),"")</f>
        <v/>
      </c>
      <c r="H91" s="233" t="str">
        <f>IFERROR(VLOOKUP(基本資料填寫!$E$1&amp;"-"&amp;ROW(R89),基本資料填寫!$E:$EU,COLUMN(基本資料填寫!V89),0),"")</f>
        <v/>
      </c>
      <c r="I91" s="233" t="str">
        <f>IFERROR(VLOOKUP(基本資料填寫!$E$1&amp;"-"&amp;ROW(S89),基本資料填寫!$E:$EU,COLUMN(基本資料填寫!W89),0),"")</f>
        <v/>
      </c>
      <c r="J91" s="233" t="str">
        <f>IFERROR(VLOOKUP(基本資料填寫!$E$1&amp;"-"&amp;ROW(T89),基本資料填寫!$E:$EU,COLUMN(基本資料填寫!X89),0),"")</f>
        <v/>
      </c>
      <c r="K91" s="233" t="str">
        <f>IFERROR(VLOOKUP(基本資料填寫!$E$1&amp;"-"&amp;ROW(U89),基本資料填寫!$E:$EU,COLUMN(基本資料填寫!Y89),0),"")</f>
        <v/>
      </c>
      <c r="L91" s="233" t="str">
        <f>IFERROR(VLOOKUP(基本資料填寫!$E$1&amp;"-"&amp;ROW(V89),基本資料填寫!$E:$EU,COLUMN(基本資料填寫!Z89),0),"")</f>
        <v/>
      </c>
      <c r="M91" s="233" t="str">
        <f>IFERROR(VLOOKUP(基本資料填寫!$E$1&amp;"-"&amp;ROW(W89),基本資料填寫!$E:$EU,COLUMN(基本資料填寫!AA89),0),"")</f>
        <v/>
      </c>
      <c r="N91" s="233" t="str">
        <f>IFERROR(VLOOKUP(基本資料填寫!$E$1&amp;"-"&amp;ROW(X89),基本資料填寫!$E:$EU,COLUMN(基本資料填寫!AB89),0),"")</f>
        <v/>
      </c>
    </row>
    <row r="92" spans="1:14" x14ac:dyDescent="0.3">
      <c r="A92" s="232" t="str">
        <f>IF(E92="","",COUNTA($E$3:E92))</f>
        <v/>
      </c>
      <c r="B92" s="233" t="str">
        <f>IFERROR(VLOOKUP(基本資料填寫!$E$1&amp;"-"&amp;ROW(F90),基本資料填寫!$E:$EU,COLUMN(基本資料填寫!F90),0),"")</f>
        <v/>
      </c>
      <c r="C92" s="233" t="str">
        <f>IFERROR(VLOOKUP(基本資料填寫!$E$1&amp;"-"&amp;ROW(K90),基本資料填寫!$E:$EU,COLUMN(基本資料填寫!K90),0),"")</f>
        <v/>
      </c>
      <c r="D92" s="233" t="str">
        <f>IFERROR(VLOOKUP(基本資料填寫!$E$1&amp;"-"&amp;ROW(H90),基本資料填寫!$E:$EU,COLUMN(基本資料填寫!L90),0),"")</f>
        <v/>
      </c>
      <c r="E92" s="233" t="str">
        <f>IFERROR(VLOOKUP(基本資料填寫!$E$1&amp;"-"&amp;ROW(I90),基本資料填寫!$E:$EU,COLUMN(基本資料填寫!M90),0),"")</f>
        <v/>
      </c>
      <c r="F92" s="233" t="str">
        <f>IFERROR(VLOOKUP(基本資料填寫!$E$1&amp;"-"&amp;ROW(O90),基本資料填寫!$E:$EU,COLUMN(基本資料填寫!S90),0),"")</f>
        <v/>
      </c>
      <c r="G92" s="233" t="str">
        <f>IFERROR(VLOOKUP(基本資料填寫!$E$1&amp;"-"&amp;ROW(P90),基本資料填寫!$E:$EU,COLUMN(基本資料填寫!T90),0),"")</f>
        <v/>
      </c>
      <c r="H92" s="233" t="str">
        <f>IFERROR(VLOOKUP(基本資料填寫!$E$1&amp;"-"&amp;ROW(R90),基本資料填寫!$E:$EU,COLUMN(基本資料填寫!V90),0),"")</f>
        <v/>
      </c>
      <c r="I92" s="233" t="str">
        <f>IFERROR(VLOOKUP(基本資料填寫!$E$1&amp;"-"&amp;ROW(S90),基本資料填寫!$E:$EU,COLUMN(基本資料填寫!W90),0),"")</f>
        <v/>
      </c>
      <c r="J92" s="233" t="str">
        <f>IFERROR(VLOOKUP(基本資料填寫!$E$1&amp;"-"&amp;ROW(T90),基本資料填寫!$E:$EU,COLUMN(基本資料填寫!X90),0),"")</f>
        <v/>
      </c>
      <c r="K92" s="233" t="str">
        <f>IFERROR(VLOOKUP(基本資料填寫!$E$1&amp;"-"&amp;ROW(U90),基本資料填寫!$E:$EU,COLUMN(基本資料填寫!Y90),0),"")</f>
        <v/>
      </c>
      <c r="L92" s="233" t="str">
        <f>IFERROR(VLOOKUP(基本資料填寫!$E$1&amp;"-"&amp;ROW(V90),基本資料填寫!$E:$EU,COLUMN(基本資料填寫!Z90),0),"")</f>
        <v/>
      </c>
      <c r="M92" s="233" t="str">
        <f>IFERROR(VLOOKUP(基本資料填寫!$E$1&amp;"-"&amp;ROW(W90),基本資料填寫!$E:$EU,COLUMN(基本資料填寫!AA90),0),"")</f>
        <v/>
      </c>
      <c r="N92" s="233" t="str">
        <f>IFERROR(VLOOKUP(基本資料填寫!$E$1&amp;"-"&amp;ROW(X90),基本資料填寫!$E:$EU,COLUMN(基本資料填寫!AB90),0),"")</f>
        <v/>
      </c>
    </row>
    <row r="93" spans="1:14" x14ac:dyDescent="0.3">
      <c r="A93" s="232" t="str">
        <f>IF(E93="","",COUNTA($E$3:E93))</f>
        <v/>
      </c>
      <c r="B93" s="233" t="str">
        <f>IFERROR(VLOOKUP(基本資料填寫!$E$1&amp;"-"&amp;ROW(F91),基本資料填寫!$E:$EU,COLUMN(基本資料填寫!F91),0),"")</f>
        <v/>
      </c>
      <c r="C93" s="233" t="str">
        <f>IFERROR(VLOOKUP(基本資料填寫!$E$1&amp;"-"&amp;ROW(K91),基本資料填寫!$E:$EU,COLUMN(基本資料填寫!K91),0),"")</f>
        <v/>
      </c>
      <c r="D93" s="233" t="str">
        <f>IFERROR(VLOOKUP(基本資料填寫!$E$1&amp;"-"&amp;ROW(H91),基本資料填寫!$E:$EU,COLUMN(基本資料填寫!L91),0),"")</f>
        <v/>
      </c>
      <c r="E93" s="233" t="str">
        <f>IFERROR(VLOOKUP(基本資料填寫!$E$1&amp;"-"&amp;ROW(I91),基本資料填寫!$E:$EU,COLUMN(基本資料填寫!M91),0),"")</f>
        <v/>
      </c>
      <c r="F93" s="233" t="str">
        <f>IFERROR(VLOOKUP(基本資料填寫!$E$1&amp;"-"&amp;ROW(O91),基本資料填寫!$E:$EU,COLUMN(基本資料填寫!S91),0),"")</f>
        <v/>
      </c>
      <c r="G93" s="233" t="str">
        <f>IFERROR(VLOOKUP(基本資料填寫!$E$1&amp;"-"&amp;ROW(P91),基本資料填寫!$E:$EU,COLUMN(基本資料填寫!T91),0),"")</f>
        <v/>
      </c>
      <c r="H93" s="233" t="str">
        <f>IFERROR(VLOOKUP(基本資料填寫!$E$1&amp;"-"&amp;ROW(R91),基本資料填寫!$E:$EU,COLUMN(基本資料填寫!V91),0),"")</f>
        <v/>
      </c>
      <c r="I93" s="233" t="str">
        <f>IFERROR(VLOOKUP(基本資料填寫!$E$1&amp;"-"&amp;ROW(S91),基本資料填寫!$E:$EU,COLUMN(基本資料填寫!W91),0),"")</f>
        <v/>
      </c>
      <c r="J93" s="233" t="str">
        <f>IFERROR(VLOOKUP(基本資料填寫!$E$1&amp;"-"&amp;ROW(T91),基本資料填寫!$E:$EU,COLUMN(基本資料填寫!X91),0),"")</f>
        <v/>
      </c>
      <c r="K93" s="233" t="str">
        <f>IFERROR(VLOOKUP(基本資料填寫!$E$1&amp;"-"&amp;ROW(U91),基本資料填寫!$E:$EU,COLUMN(基本資料填寫!Y91),0),"")</f>
        <v/>
      </c>
      <c r="L93" s="233" t="str">
        <f>IFERROR(VLOOKUP(基本資料填寫!$E$1&amp;"-"&amp;ROW(V91),基本資料填寫!$E:$EU,COLUMN(基本資料填寫!Z91),0),"")</f>
        <v/>
      </c>
      <c r="M93" s="233" t="str">
        <f>IFERROR(VLOOKUP(基本資料填寫!$E$1&amp;"-"&amp;ROW(W91),基本資料填寫!$E:$EU,COLUMN(基本資料填寫!AA91),0),"")</f>
        <v/>
      </c>
      <c r="N93" s="233" t="str">
        <f>IFERROR(VLOOKUP(基本資料填寫!$E$1&amp;"-"&amp;ROW(X91),基本資料填寫!$E:$EU,COLUMN(基本資料填寫!AB91),0),"")</f>
        <v/>
      </c>
    </row>
    <row r="94" spans="1:14" x14ac:dyDescent="0.3">
      <c r="A94" s="232" t="str">
        <f>IF(E94="","",COUNTA($E$3:E94))</f>
        <v/>
      </c>
      <c r="B94" s="233" t="str">
        <f>IFERROR(VLOOKUP(基本資料填寫!$E$1&amp;"-"&amp;ROW(F92),基本資料填寫!$E:$EU,COLUMN(基本資料填寫!F92),0),"")</f>
        <v/>
      </c>
      <c r="C94" s="233" t="str">
        <f>IFERROR(VLOOKUP(基本資料填寫!$E$1&amp;"-"&amp;ROW(K92),基本資料填寫!$E:$EU,COLUMN(基本資料填寫!K92),0),"")</f>
        <v/>
      </c>
      <c r="D94" s="233" t="str">
        <f>IFERROR(VLOOKUP(基本資料填寫!$E$1&amp;"-"&amp;ROW(H92),基本資料填寫!$E:$EU,COLUMN(基本資料填寫!L92),0),"")</f>
        <v/>
      </c>
      <c r="E94" s="233" t="str">
        <f>IFERROR(VLOOKUP(基本資料填寫!$E$1&amp;"-"&amp;ROW(I92),基本資料填寫!$E:$EU,COLUMN(基本資料填寫!M92),0),"")</f>
        <v/>
      </c>
      <c r="F94" s="233" t="str">
        <f>IFERROR(VLOOKUP(基本資料填寫!$E$1&amp;"-"&amp;ROW(O92),基本資料填寫!$E:$EU,COLUMN(基本資料填寫!S92),0),"")</f>
        <v/>
      </c>
      <c r="G94" s="233" t="str">
        <f>IFERROR(VLOOKUP(基本資料填寫!$E$1&amp;"-"&amp;ROW(P92),基本資料填寫!$E:$EU,COLUMN(基本資料填寫!T92),0),"")</f>
        <v/>
      </c>
      <c r="H94" s="233" t="str">
        <f>IFERROR(VLOOKUP(基本資料填寫!$E$1&amp;"-"&amp;ROW(R92),基本資料填寫!$E:$EU,COLUMN(基本資料填寫!V92),0),"")</f>
        <v/>
      </c>
      <c r="I94" s="233" t="str">
        <f>IFERROR(VLOOKUP(基本資料填寫!$E$1&amp;"-"&amp;ROW(S92),基本資料填寫!$E:$EU,COLUMN(基本資料填寫!W92),0),"")</f>
        <v/>
      </c>
      <c r="J94" s="233" t="str">
        <f>IFERROR(VLOOKUP(基本資料填寫!$E$1&amp;"-"&amp;ROW(T92),基本資料填寫!$E:$EU,COLUMN(基本資料填寫!X92),0),"")</f>
        <v/>
      </c>
      <c r="K94" s="233" t="str">
        <f>IFERROR(VLOOKUP(基本資料填寫!$E$1&amp;"-"&amp;ROW(U92),基本資料填寫!$E:$EU,COLUMN(基本資料填寫!Y92),0),"")</f>
        <v/>
      </c>
      <c r="L94" s="233" t="str">
        <f>IFERROR(VLOOKUP(基本資料填寫!$E$1&amp;"-"&amp;ROW(V92),基本資料填寫!$E:$EU,COLUMN(基本資料填寫!Z92),0),"")</f>
        <v/>
      </c>
      <c r="M94" s="233" t="str">
        <f>IFERROR(VLOOKUP(基本資料填寫!$E$1&amp;"-"&amp;ROW(W92),基本資料填寫!$E:$EU,COLUMN(基本資料填寫!AA92),0),"")</f>
        <v/>
      </c>
      <c r="N94" s="233" t="str">
        <f>IFERROR(VLOOKUP(基本資料填寫!$E$1&amp;"-"&amp;ROW(X92),基本資料填寫!$E:$EU,COLUMN(基本資料填寫!AB92),0),"")</f>
        <v/>
      </c>
    </row>
    <row r="95" spans="1:14" x14ac:dyDescent="0.3">
      <c r="A95" s="232" t="str">
        <f>IF(E95="","",COUNTA($E$3:E95))</f>
        <v/>
      </c>
      <c r="B95" s="233" t="str">
        <f>IFERROR(VLOOKUP(基本資料填寫!$E$1&amp;"-"&amp;ROW(F93),基本資料填寫!$E:$EU,COLUMN(基本資料填寫!F93),0),"")</f>
        <v/>
      </c>
      <c r="C95" s="233" t="str">
        <f>IFERROR(VLOOKUP(基本資料填寫!$E$1&amp;"-"&amp;ROW(K93),基本資料填寫!$E:$EU,COLUMN(基本資料填寫!K93),0),"")</f>
        <v/>
      </c>
      <c r="D95" s="233" t="str">
        <f>IFERROR(VLOOKUP(基本資料填寫!$E$1&amp;"-"&amp;ROW(H93),基本資料填寫!$E:$EU,COLUMN(基本資料填寫!L93),0),"")</f>
        <v/>
      </c>
      <c r="E95" s="233" t="str">
        <f>IFERROR(VLOOKUP(基本資料填寫!$E$1&amp;"-"&amp;ROW(I93),基本資料填寫!$E:$EU,COLUMN(基本資料填寫!M93),0),"")</f>
        <v/>
      </c>
      <c r="F95" s="233" t="str">
        <f>IFERROR(VLOOKUP(基本資料填寫!$E$1&amp;"-"&amp;ROW(O93),基本資料填寫!$E:$EU,COLUMN(基本資料填寫!S93),0),"")</f>
        <v/>
      </c>
      <c r="G95" s="233" t="str">
        <f>IFERROR(VLOOKUP(基本資料填寫!$E$1&amp;"-"&amp;ROW(P93),基本資料填寫!$E:$EU,COLUMN(基本資料填寫!T93),0),"")</f>
        <v/>
      </c>
      <c r="H95" s="233" t="str">
        <f>IFERROR(VLOOKUP(基本資料填寫!$E$1&amp;"-"&amp;ROW(R93),基本資料填寫!$E:$EU,COLUMN(基本資料填寫!V93),0),"")</f>
        <v/>
      </c>
      <c r="I95" s="233" t="str">
        <f>IFERROR(VLOOKUP(基本資料填寫!$E$1&amp;"-"&amp;ROW(S93),基本資料填寫!$E:$EU,COLUMN(基本資料填寫!W93),0),"")</f>
        <v/>
      </c>
      <c r="J95" s="233" t="str">
        <f>IFERROR(VLOOKUP(基本資料填寫!$E$1&amp;"-"&amp;ROW(T93),基本資料填寫!$E:$EU,COLUMN(基本資料填寫!X93),0),"")</f>
        <v/>
      </c>
      <c r="K95" s="233" t="str">
        <f>IFERROR(VLOOKUP(基本資料填寫!$E$1&amp;"-"&amp;ROW(U93),基本資料填寫!$E:$EU,COLUMN(基本資料填寫!Y93),0),"")</f>
        <v/>
      </c>
      <c r="L95" s="233" t="str">
        <f>IFERROR(VLOOKUP(基本資料填寫!$E$1&amp;"-"&amp;ROW(V93),基本資料填寫!$E:$EU,COLUMN(基本資料填寫!Z93),0),"")</f>
        <v/>
      </c>
      <c r="M95" s="233" t="str">
        <f>IFERROR(VLOOKUP(基本資料填寫!$E$1&amp;"-"&amp;ROW(W93),基本資料填寫!$E:$EU,COLUMN(基本資料填寫!AA93),0),"")</f>
        <v/>
      </c>
      <c r="N95" s="233" t="str">
        <f>IFERROR(VLOOKUP(基本資料填寫!$E$1&amp;"-"&amp;ROW(X93),基本資料填寫!$E:$EU,COLUMN(基本資料填寫!AB93),0),"")</f>
        <v/>
      </c>
    </row>
    <row r="96" spans="1:14" x14ac:dyDescent="0.3">
      <c r="A96" s="232" t="str">
        <f>IF(E96="","",COUNTA($E$3:E96))</f>
        <v/>
      </c>
      <c r="B96" s="233" t="str">
        <f>IFERROR(VLOOKUP(基本資料填寫!$E$1&amp;"-"&amp;ROW(F94),基本資料填寫!$E:$EU,COLUMN(基本資料填寫!F94),0),"")</f>
        <v/>
      </c>
      <c r="C96" s="233" t="str">
        <f>IFERROR(VLOOKUP(基本資料填寫!$E$1&amp;"-"&amp;ROW(K94),基本資料填寫!$E:$EU,COLUMN(基本資料填寫!K94),0),"")</f>
        <v/>
      </c>
      <c r="D96" s="233" t="str">
        <f>IFERROR(VLOOKUP(基本資料填寫!$E$1&amp;"-"&amp;ROW(H94),基本資料填寫!$E:$EU,COLUMN(基本資料填寫!L94),0),"")</f>
        <v/>
      </c>
      <c r="E96" s="233" t="str">
        <f>IFERROR(VLOOKUP(基本資料填寫!$E$1&amp;"-"&amp;ROW(I94),基本資料填寫!$E:$EU,COLUMN(基本資料填寫!M94),0),"")</f>
        <v/>
      </c>
      <c r="F96" s="233" t="str">
        <f>IFERROR(VLOOKUP(基本資料填寫!$E$1&amp;"-"&amp;ROW(O94),基本資料填寫!$E:$EU,COLUMN(基本資料填寫!S94),0),"")</f>
        <v/>
      </c>
      <c r="G96" s="233" t="str">
        <f>IFERROR(VLOOKUP(基本資料填寫!$E$1&amp;"-"&amp;ROW(P94),基本資料填寫!$E:$EU,COLUMN(基本資料填寫!T94),0),"")</f>
        <v/>
      </c>
      <c r="H96" s="233" t="str">
        <f>IFERROR(VLOOKUP(基本資料填寫!$E$1&amp;"-"&amp;ROW(R94),基本資料填寫!$E:$EU,COLUMN(基本資料填寫!V94),0),"")</f>
        <v/>
      </c>
      <c r="I96" s="233" t="str">
        <f>IFERROR(VLOOKUP(基本資料填寫!$E$1&amp;"-"&amp;ROW(S94),基本資料填寫!$E:$EU,COLUMN(基本資料填寫!W94),0),"")</f>
        <v/>
      </c>
      <c r="J96" s="233" t="str">
        <f>IFERROR(VLOOKUP(基本資料填寫!$E$1&amp;"-"&amp;ROW(T94),基本資料填寫!$E:$EU,COLUMN(基本資料填寫!X94),0),"")</f>
        <v/>
      </c>
      <c r="K96" s="233" t="str">
        <f>IFERROR(VLOOKUP(基本資料填寫!$E$1&amp;"-"&amp;ROW(U94),基本資料填寫!$E:$EU,COLUMN(基本資料填寫!Y94),0),"")</f>
        <v/>
      </c>
      <c r="L96" s="233" t="str">
        <f>IFERROR(VLOOKUP(基本資料填寫!$E$1&amp;"-"&amp;ROW(V94),基本資料填寫!$E:$EU,COLUMN(基本資料填寫!Z94),0),"")</f>
        <v/>
      </c>
      <c r="M96" s="233" t="str">
        <f>IFERROR(VLOOKUP(基本資料填寫!$E$1&amp;"-"&amp;ROW(W94),基本資料填寫!$E:$EU,COLUMN(基本資料填寫!AA94),0),"")</f>
        <v/>
      </c>
      <c r="N96" s="233" t="str">
        <f>IFERROR(VLOOKUP(基本資料填寫!$E$1&amp;"-"&amp;ROW(X94),基本資料填寫!$E:$EU,COLUMN(基本資料填寫!AB94),0),"")</f>
        <v/>
      </c>
    </row>
    <row r="97" spans="1:14" x14ac:dyDescent="0.3">
      <c r="A97" s="232" t="str">
        <f>IF(E97="","",COUNTA($E$3:E97))</f>
        <v/>
      </c>
      <c r="B97" s="233" t="str">
        <f>IFERROR(VLOOKUP(基本資料填寫!$E$1&amp;"-"&amp;ROW(F95),基本資料填寫!$E:$EU,COLUMN(基本資料填寫!F95),0),"")</f>
        <v/>
      </c>
      <c r="C97" s="233" t="str">
        <f>IFERROR(VLOOKUP(基本資料填寫!$E$1&amp;"-"&amp;ROW(K95),基本資料填寫!$E:$EU,COLUMN(基本資料填寫!K95),0),"")</f>
        <v/>
      </c>
      <c r="D97" s="233" t="str">
        <f>IFERROR(VLOOKUP(基本資料填寫!$E$1&amp;"-"&amp;ROW(H95),基本資料填寫!$E:$EU,COLUMN(基本資料填寫!L95),0),"")</f>
        <v/>
      </c>
      <c r="E97" s="233" t="str">
        <f>IFERROR(VLOOKUP(基本資料填寫!$E$1&amp;"-"&amp;ROW(I95),基本資料填寫!$E:$EU,COLUMN(基本資料填寫!M95),0),"")</f>
        <v/>
      </c>
      <c r="F97" s="233" t="str">
        <f>IFERROR(VLOOKUP(基本資料填寫!$E$1&amp;"-"&amp;ROW(O95),基本資料填寫!$E:$EU,COLUMN(基本資料填寫!S95),0),"")</f>
        <v/>
      </c>
      <c r="G97" s="233" t="str">
        <f>IFERROR(VLOOKUP(基本資料填寫!$E$1&amp;"-"&amp;ROW(P95),基本資料填寫!$E:$EU,COLUMN(基本資料填寫!T95),0),"")</f>
        <v/>
      </c>
      <c r="H97" s="233" t="str">
        <f>IFERROR(VLOOKUP(基本資料填寫!$E$1&amp;"-"&amp;ROW(R95),基本資料填寫!$E:$EU,COLUMN(基本資料填寫!V95),0),"")</f>
        <v/>
      </c>
      <c r="I97" s="233" t="str">
        <f>IFERROR(VLOOKUP(基本資料填寫!$E$1&amp;"-"&amp;ROW(S95),基本資料填寫!$E:$EU,COLUMN(基本資料填寫!W95),0),"")</f>
        <v/>
      </c>
      <c r="J97" s="233" t="str">
        <f>IFERROR(VLOOKUP(基本資料填寫!$E$1&amp;"-"&amp;ROW(T95),基本資料填寫!$E:$EU,COLUMN(基本資料填寫!X95),0),"")</f>
        <v/>
      </c>
      <c r="K97" s="233" t="str">
        <f>IFERROR(VLOOKUP(基本資料填寫!$E$1&amp;"-"&amp;ROW(U95),基本資料填寫!$E:$EU,COLUMN(基本資料填寫!Y95),0),"")</f>
        <v/>
      </c>
      <c r="L97" s="233" t="str">
        <f>IFERROR(VLOOKUP(基本資料填寫!$E$1&amp;"-"&amp;ROW(V95),基本資料填寫!$E:$EU,COLUMN(基本資料填寫!Z95),0),"")</f>
        <v/>
      </c>
      <c r="M97" s="233" t="str">
        <f>IFERROR(VLOOKUP(基本資料填寫!$E$1&amp;"-"&amp;ROW(W95),基本資料填寫!$E:$EU,COLUMN(基本資料填寫!AA95),0),"")</f>
        <v/>
      </c>
      <c r="N97" s="233" t="str">
        <f>IFERROR(VLOOKUP(基本資料填寫!$E$1&amp;"-"&amp;ROW(X95),基本資料填寫!$E:$EU,COLUMN(基本資料填寫!AB95),0),"")</f>
        <v/>
      </c>
    </row>
    <row r="98" spans="1:14" x14ac:dyDescent="0.3">
      <c r="A98" s="232" t="str">
        <f>IF(E98="","",COUNTA($E$3:E98))</f>
        <v/>
      </c>
      <c r="B98" s="233" t="str">
        <f>IFERROR(VLOOKUP(基本資料填寫!$E$1&amp;"-"&amp;ROW(F96),基本資料填寫!$E:$EU,COLUMN(基本資料填寫!F96),0),"")</f>
        <v/>
      </c>
      <c r="C98" s="233" t="str">
        <f>IFERROR(VLOOKUP(基本資料填寫!$E$1&amp;"-"&amp;ROW(K96),基本資料填寫!$E:$EU,COLUMN(基本資料填寫!K96),0),"")</f>
        <v/>
      </c>
      <c r="D98" s="233" t="str">
        <f>IFERROR(VLOOKUP(基本資料填寫!$E$1&amp;"-"&amp;ROW(H96),基本資料填寫!$E:$EU,COLUMN(基本資料填寫!L96),0),"")</f>
        <v/>
      </c>
      <c r="E98" s="233" t="str">
        <f>IFERROR(VLOOKUP(基本資料填寫!$E$1&amp;"-"&amp;ROW(I96),基本資料填寫!$E:$EU,COLUMN(基本資料填寫!M96),0),"")</f>
        <v/>
      </c>
      <c r="F98" s="233" t="str">
        <f>IFERROR(VLOOKUP(基本資料填寫!$E$1&amp;"-"&amp;ROW(O96),基本資料填寫!$E:$EU,COLUMN(基本資料填寫!S96),0),"")</f>
        <v/>
      </c>
      <c r="G98" s="233" t="str">
        <f>IFERROR(VLOOKUP(基本資料填寫!$E$1&amp;"-"&amp;ROW(P96),基本資料填寫!$E:$EU,COLUMN(基本資料填寫!T96),0),"")</f>
        <v/>
      </c>
      <c r="H98" s="233" t="str">
        <f>IFERROR(VLOOKUP(基本資料填寫!$E$1&amp;"-"&amp;ROW(R96),基本資料填寫!$E:$EU,COLUMN(基本資料填寫!V96),0),"")</f>
        <v/>
      </c>
      <c r="I98" s="233" t="str">
        <f>IFERROR(VLOOKUP(基本資料填寫!$E$1&amp;"-"&amp;ROW(S96),基本資料填寫!$E:$EU,COLUMN(基本資料填寫!W96),0),"")</f>
        <v/>
      </c>
      <c r="J98" s="233" t="str">
        <f>IFERROR(VLOOKUP(基本資料填寫!$E$1&amp;"-"&amp;ROW(T96),基本資料填寫!$E:$EU,COLUMN(基本資料填寫!X96),0),"")</f>
        <v/>
      </c>
      <c r="K98" s="233" t="str">
        <f>IFERROR(VLOOKUP(基本資料填寫!$E$1&amp;"-"&amp;ROW(U96),基本資料填寫!$E:$EU,COLUMN(基本資料填寫!Y96),0),"")</f>
        <v/>
      </c>
      <c r="L98" s="233" t="str">
        <f>IFERROR(VLOOKUP(基本資料填寫!$E$1&amp;"-"&amp;ROW(V96),基本資料填寫!$E:$EU,COLUMN(基本資料填寫!Z96),0),"")</f>
        <v/>
      </c>
      <c r="M98" s="233" t="str">
        <f>IFERROR(VLOOKUP(基本資料填寫!$E$1&amp;"-"&amp;ROW(W96),基本資料填寫!$E:$EU,COLUMN(基本資料填寫!AA96),0),"")</f>
        <v/>
      </c>
      <c r="N98" s="233" t="str">
        <f>IFERROR(VLOOKUP(基本資料填寫!$E$1&amp;"-"&amp;ROW(X96),基本資料填寫!$E:$EU,COLUMN(基本資料填寫!AB96),0),"")</f>
        <v/>
      </c>
    </row>
    <row r="99" spans="1:14" x14ac:dyDescent="0.3">
      <c r="A99" s="232" t="str">
        <f>IF(E99="","",COUNTA($E$3:E99))</f>
        <v/>
      </c>
      <c r="B99" s="233" t="str">
        <f>IFERROR(VLOOKUP(基本資料填寫!$E$1&amp;"-"&amp;ROW(F97),基本資料填寫!$E:$EU,COLUMN(基本資料填寫!F97),0),"")</f>
        <v/>
      </c>
      <c r="C99" s="233" t="str">
        <f>IFERROR(VLOOKUP(基本資料填寫!$E$1&amp;"-"&amp;ROW(K97),基本資料填寫!$E:$EU,COLUMN(基本資料填寫!K97),0),"")</f>
        <v/>
      </c>
      <c r="D99" s="233" t="str">
        <f>IFERROR(VLOOKUP(基本資料填寫!$E$1&amp;"-"&amp;ROW(H97),基本資料填寫!$E:$EU,COLUMN(基本資料填寫!L97),0),"")</f>
        <v/>
      </c>
      <c r="E99" s="233" t="str">
        <f>IFERROR(VLOOKUP(基本資料填寫!$E$1&amp;"-"&amp;ROW(I97),基本資料填寫!$E:$EU,COLUMN(基本資料填寫!M97),0),"")</f>
        <v/>
      </c>
      <c r="F99" s="233" t="str">
        <f>IFERROR(VLOOKUP(基本資料填寫!$E$1&amp;"-"&amp;ROW(O97),基本資料填寫!$E:$EU,COLUMN(基本資料填寫!S97),0),"")</f>
        <v/>
      </c>
      <c r="G99" s="233" t="str">
        <f>IFERROR(VLOOKUP(基本資料填寫!$E$1&amp;"-"&amp;ROW(P97),基本資料填寫!$E:$EU,COLUMN(基本資料填寫!T97),0),"")</f>
        <v/>
      </c>
      <c r="H99" s="233" t="str">
        <f>IFERROR(VLOOKUP(基本資料填寫!$E$1&amp;"-"&amp;ROW(R97),基本資料填寫!$E:$EU,COLUMN(基本資料填寫!V97),0),"")</f>
        <v/>
      </c>
      <c r="I99" s="233" t="str">
        <f>IFERROR(VLOOKUP(基本資料填寫!$E$1&amp;"-"&amp;ROW(S97),基本資料填寫!$E:$EU,COLUMN(基本資料填寫!W97),0),"")</f>
        <v/>
      </c>
      <c r="J99" s="233" t="str">
        <f>IFERROR(VLOOKUP(基本資料填寫!$E$1&amp;"-"&amp;ROW(T97),基本資料填寫!$E:$EU,COLUMN(基本資料填寫!X97),0),"")</f>
        <v/>
      </c>
      <c r="K99" s="233" t="str">
        <f>IFERROR(VLOOKUP(基本資料填寫!$E$1&amp;"-"&amp;ROW(U97),基本資料填寫!$E:$EU,COLUMN(基本資料填寫!Y97),0),"")</f>
        <v/>
      </c>
      <c r="L99" s="233" t="str">
        <f>IFERROR(VLOOKUP(基本資料填寫!$E$1&amp;"-"&amp;ROW(V97),基本資料填寫!$E:$EU,COLUMN(基本資料填寫!Z97),0),"")</f>
        <v/>
      </c>
      <c r="M99" s="233" t="str">
        <f>IFERROR(VLOOKUP(基本資料填寫!$E$1&amp;"-"&amp;ROW(W97),基本資料填寫!$E:$EU,COLUMN(基本資料填寫!AA97),0),"")</f>
        <v/>
      </c>
      <c r="N99" s="233" t="str">
        <f>IFERROR(VLOOKUP(基本資料填寫!$E$1&amp;"-"&amp;ROW(X97),基本資料填寫!$E:$EU,COLUMN(基本資料填寫!AB97),0),"")</f>
        <v/>
      </c>
    </row>
    <row r="100" spans="1:14" x14ac:dyDescent="0.3">
      <c r="A100" s="232" t="str">
        <f>IF(E100="","",COUNTA($E$3:E100))</f>
        <v/>
      </c>
      <c r="B100" s="233" t="str">
        <f>IFERROR(VLOOKUP(基本資料填寫!$E$1&amp;"-"&amp;ROW(F98),基本資料填寫!$E:$EU,COLUMN(基本資料填寫!F98),0),"")</f>
        <v/>
      </c>
      <c r="C100" s="233" t="str">
        <f>IFERROR(VLOOKUP(基本資料填寫!$E$1&amp;"-"&amp;ROW(K98),基本資料填寫!$E:$EU,COLUMN(基本資料填寫!K98),0),"")</f>
        <v/>
      </c>
      <c r="D100" s="233" t="str">
        <f>IFERROR(VLOOKUP(基本資料填寫!$E$1&amp;"-"&amp;ROW(H98),基本資料填寫!$E:$EU,COLUMN(基本資料填寫!L98),0),"")</f>
        <v/>
      </c>
      <c r="E100" s="233" t="str">
        <f>IFERROR(VLOOKUP(基本資料填寫!$E$1&amp;"-"&amp;ROW(I98),基本資料填寫!$E:$EU,COLUMN(基本資料填寫!M98),0),"")</f>
        <v/>
      </c>
      <c r="F100" s="233" t="str">
        <f>IFERROR(VLOOKUP(基本資料填寫!$E$1&amp;"-"&amp;ROW(O98),基本資料填寫!$E:$EU,COLUMN(基本資料填寫!S98),0),"")</f>
        <v/>
      </c>
      <c r="G100" s="233" t="str">
        <f>IFERROR(VLOOKUP(基本資料填寫!$E$1&amp;"-"&amp;ROW(P98),基本資料填寫!$E:$EU,COLUMN(基本資料填寫!T98),0),"")</f>
        <v/>
      </c>
      <c r="H100" s="233" t="str">
        <f>IFERROR(VLOOKUP(基本資料填寫!$E$1&amp;"-"&amp;ROW(R98),基本資料填寫!$E:$EU,COLUMN(基本資料填寫!V98),0),"")</f>
        <v/>
      </c>
      <c r="I100" s="233" t="str">
        <f>IFERROR(VLOOKUP(基本資料填寫!$E$1&amp;"-"&amp;ROW(S98),基本資料填寫!$E:$EU,COLUMN(基本資料填寫!W98),0),"")</f>
        <v/>
      </c>
      <c r="J100" s="233" t="str">
        <f>IFERROR(VLOOKUP(基本資料填寫!$E$1&amp;"-"&amp;ROW(T98),基本資料填寫!$E:$EU,COLUMN(基本資料填寫!X98),0),"")</f>
        <v/>
      </c>
      <c r="K100" s="233" t="str">
        <f>IFERROR(VLOOKUP(基本資料填寫!$E$1&amp;"-"&amp;ROW(U98),基本資料填寫!$E:$EU,COLUMN(基本資料填寫!Y98),0),"")</f>
        <v/>
      </c>
      <c r="L100" s="233" t="str">
        <f>IFERROR(VLOOKUP(基本資料填寫!$E$1&amp;"-"&amp;ROW(V98),基本資料填寫!$E:$EU,COLUMN(基本資料填寫!Z98),0),"")</f>
        <v/>
      </c>
      <c r="M100" s="233" t="str">
        <f>IFERROR(VLOOKUP(基本資料填寫!$E$1&amp;"-"&amp;ROW(W98),基本資料填寫!$E:$EU,COLUMN(基本資料填寫!AA98),0),"")</f>
        <v/>
      </c>
      <c r="N100" s="233" t="str">
        <f>IFERROR(VLOOKUP(基本資料填寫!$E$1&amp;"-"&amp;ROW(X98),基本資料填寫!$E:$EU,COLUMN(基本資料填寫!AB98),0),"")</f>
        <v/>
      </c>
    </row>
    <row r="101" spans="1:14" x14ac:dyDescent="0.3">
      <c r="A101" s="232" t="str">
        <f>IF(E101="","",COUNTA($E$3:E101))</f>
        <v/>
      </c>
      <c r="B101" s="233" t="str">
        <f>IFERROR(VLOOKUP(基本資料填寫!$E$1&amp;"-"&amp;ROW(F99),基本資料填寫!$E:$EU,COLUMN(基本資料填寫!F99),0),"")</f>
        <v/>
      </c>
      <c r="C101" s="233" t="str">
        <f>IFERROR(VLOOKUP(基本資料填寫!$E$1&amp;"-"&amp;ROW(K99),基本資料填寫!$E:$EU,COLUMN(基本資料填寫!K99),0),"")</f>
        <v/>
      </c>
      <c r="D101" s="233" t="str">
        <f>IFERROR(VLOOKUP(基本資料填寫!$E$1&amp;"-"&amp;ROW(H99),基本資料填寫!$E:$EU,COLUMN(基本資料填寫!L99),0),"")</f>
        <v/>
      </c>
      <c r="E101" s="233" t="str">
        <f>IFERROR(VLOOKUP(基本資料填寫!$E$1&amp;"-"&amp;ROW(I99),基本資料填寫!$E:$EU,COLUMN(基本資料填寫!M99),0),"")</f>
        <v/>
      </c>
      <c r="F101" s="233" t="str">
        <f>IFERROR(VLOOKUP(基本資料填寫!$E$1&amp;"-"&amp;ROW(O99),基本資料填寫!$E:$EU,COLUMN(基本資料填寫!S99),0),"")</f>
        <v/>
      </c>
      <c r="G101" s="233" t="str">
        <f>IFERROR(VLOOKUP(基本資料填寫!$E$1&amp;"-"&amp;ROW(P99),基本資料填寫!$E:$EU,COLUMN(基本資料填寫!T99),0),"")</f>
        <v/>
      </c>
      <c r="H101" s="233" t="str">
        <f>IFERROR(VLOOKUP(基本資料填寫!$E$1&amp;"-"&amp;ROW(R99),基本資料填寫!$E:$EU,COLUMN(基本資料填寫!V99),0),"")</f>
        <v/>
      </c>
      <c r="I101" s="233" t="str">
        <f>IFERROR(VLOOKUP(基本資料填寫!$E$1&amp;"-"&amp;ROW(S99),基本資料填寫!$E:$EU,COLUMN(基本資料填寫!W99),0),"")</f>
        <v/>
      </c>
      <c r="J101" s="233" t="str">
        <f>IFERROR(VLOOKUP(基本資料填寫!$E$1&amp;"-"&amp;ROW(T99),基本資料填寫!$E:$EU,COLUMN(基本資料填寫!X99),0),"")</f>
        <v/>
      </c>
      <c r="K101" s="233" t="str">
        <f>IFERROR(VLOOKUP(基本資料填寫!$E$1&amp;"-"&amp;ROW(U99),基本資料填寫!$E:$EU,COLUMN(基本資料填寫!Y99),0),"")</f>
        <v/>
      </c>
      <c r="L101" s="233" t="str">
        <f>IFERROR(VLOOKUP(基本資料填寫!$E$1&amp;"-"&amp;ROW(V99),基本資料填寫!$E:$EU,COLUMN(基本資料填寫!Z99),0),"")</f>
        <v/>
      </c>
      <c r="M101" s="233" t="str">
        <f>IFERROR(VLOOKUP(基本資料填寫!$E$1&amp;"-"&amp;ROW(W99),基本資料填寫!$E:$EU,COLUMN(基本資料填寫!AA99),0),"")</f>
        <v/>
      </c>
      <c r="N101" s="233" t="str">
        <f>IFERROR(VLOOKUP(基本資料填寫!$E$1&amp;"-"&amp;ROW(X99),基本資料填寫!$E:$EU,COLUMN(基本資料填寫!AB99),0),"")</f>
        <v/>
      </c>
    </row>
    <row r="102" spans="1:14" s="31" customFormat="1" x14ac:dyDescent="0.3">
      <c r="A102" s="234"/>
      <c r="B102" s="234"/>
      <c r="C102" s="234"/>
      <c r="D102" s="235"/>
      <c r="E102" s="235"/>
      <c r="F102" s="236"/>
      <c r="G102" s="236"/>
      <c r="H102" s="237"/>
      <c r="I102" s="234"/>
      <c r="J102" s="237"/>
      <c r="K102" s="234"/>
      <c r="L102" s="234"/>
      <c r="M102" s="234"/>
      <c r="N102" s="237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N1"/>
  </mergeCells>
  <phoneticPr fontId="1" type="noConversion"/>
  <pageMargins left="0.25" right="0.25" top="0.75" bottom="0.75" header="0.3" footer="0.3"/>
  <pageSetup paperSize="9" scale="63" fitToHeight="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0CEF-3FD3-4E1D-B793-E72C8AF63B7E}">
  <sheetPr codeName="工作表5"/>
  <dimension ref="A1:BX108"/>
  <sheetViews>
    <sheetView zoomScale="70" zoomScaleNormal="70" workbookViewId="0">
      <pane xSplit="3" ySplit="3" topLeftCell="D91" activePane="bottomRight" state="frozen"/>
      <selection pane="topRight" activeCell="B1" sqref="B1"/>
      <selection pane="bottomLeft" activeCell="A2" sqref="A2"/>
      <selection pane="bottomRight" activeCell="C107" sqref="C107"/>
    </sheetView>
  </sheetViews>
  <sheetFormatPr defaultColWidth="8.88671875" defaultRowHeight="15" x14ac:dyDescent="0.3"/>
  <cols>
    <col min="1" max="1" width="28.21875" style="63" bestFit="1" customWidth="1"/>
    <col min="2" max="2" width="8.88671875" style="104"/>
    <col min="3" max="3" width="12.44140625" style="99" bestFit="1" customWidth="1"/>
    <col min="4" max="4" width="19.109375" style="99" bestFit="1" customWidth="1"/>
    <col min="5" max="5" width="17.77734375" style="99" bestFit="1" customWidth="1"/>
    <col min="6" max="6" width="8.88671875" style="104" bestFit="1" customWidth="1"/>
    <col min="7" max="7" width="13.88671875" style="99" bestFit="1" customWidth="1"/>
    <col min="8" max="8" width="38.77734375" style="100" bestFit="1" customWidth="1"/>
    <col min="9" max="9" width="29.44140625" style="100" bestFit="1" customWidth="1"/>
    <col min="10" max="10" width="19.109375" style="99" bestFit="1" customWidth="1"/>
    <col min="11" max="11" width="16.44140625" style="242" bestFit="1" customWidth="1"/>
    <col min="12" max="12" width="33.44140625" style="99" bestFit="1" customWidth="1"/>
    <col min="13" max="14" width="33.44140625" style="104" bestFit="1" customWidth="1"/>
    <col min="15" max="15" width="37.33203125" style="99" bestFit="1" customWidth="1"/>
    <col min="16" max="16" width="15.109375" style="99" bestFit="1" customWidth="1"/>
    <col min="17" max="17" width="16.44140625" style="99" bestFit="1" customWidth="1"/>
    <col min="18" max="18" width="19.44140625" style="313" customWidth="1"/>
    <col min="19" max="19" width="16.44140625" style="242" bestFit="1" customWidth="1"/>
    <col min="20" max="20" width="16.44140625" style="63" bestFit="1" customWidth="1"/>
    <col min="21" max="21" width="32.109375" style="63" bestFit="1" customWidth="1"/>
    <col min="22" max="22" width="16.44140625" style="63" bestFit="1" customWidth="1"/>
    <col min="23" max="23" width="19.109375" style="63" bestFit="1" customWidth="1"/>
    <col min="24" max="24" width="29.44140625" style="63" bestFit="1" customWidth="1"/>
    <col min="25" max="25" width="20.33203125" style="63" bestFit="1" customWidth="1"/>
    <col min="26" max="26" width="24.33203125" style="63" bestFit="1" customWidth="1"/>
    <col min="27" max="27" width="30.77734375" style="63" bestFit="1" customWidth="1"/>
    <col min="28" max="28" width="26.88671875" style="99" bestFit="1" customWidth="1"/>
    <col min="29" max="30" width="30.77734375" style="63" bestFit="1" customWidth="1"/>
    <col min="31" max="31" width="32.109375" style="63" bestFit="1" customWidth="1"/>
    <col min="32" max="32" width="26.88671875" style="63" bestFit="1" customWidth="1"/>
    <col min="33" max="33" width="38.6640625" style="63" bestFit="1" customWidth="1"/>
    <col min="34" max="34" width="25.44140625" style="63" bestFit="1" customWidth="1"/>
    <col min="35" max="35" width="32.109375" style="63" bestFit="1" customWidth="1"/>
    <col min="36" max="36" width="23" style="63" bestFit="1" customWidth="1"/>
    <col min="37" max="37" width="25.44140625" style="63" bestFit="1" customWidth="1"/>
    <col min="38" max="38" width="20.33203125" style="63" bestFit="1" customWidth="1"/>
    <col min="39" max="39" width="32.109375" style="63" bestFit="1" customWidth="1"/>
    <col min="40" max="40" width="25.44140625" style="63" bestFit="1" customWidth="1"/>
    <col min="41" max="41" width="16.44140625" style="63" bestFit="1" customWidth="1"/>
    <col min="42" max="42" width="37.33203125" style="63" bestFit="1" customWidth="1"/>
    <col min="43" max="43" width="30.77734375" style="63" bestFit="1" customWidth="1"/>
    <col min="44" max="44" width="34.77734375" style="63" bestFit="1" customWidth="1"/>
    <col min="45" max="45" width="26.88671875" style="63" bestFit="1" customWidth="1"/>
    <col min="46" max="46" width="24.33203125" style="63" bestFit="1" customWidth="1"/>
    <col min="47" max="47" width="20.33203125" style="63" bestFit="1" customWidth="1"/>
    <col min="48" max="48" width="29.44140625" style="63" bestFit="1" customWidth="1"/>
    <col min="49" max="49" width="21.6640625" style="63" bestFit="1" customWidth="1"/>
    <col min="50" max="50" width="17.77734375" style="63" bestFit="1" customWidth="1"/>
    <col min="51" max="51" width="29.44140625" style="63" bestFit="1" customWidth="1"/>
    <col min="52" max="52" width="36.109375" style="63" bestFit="1" customWidth="1"/>
    <col min="53" max="53" width="33.44140625" style="63" bestFit="1" customWidth="1"/>
    <col min="54" max="54" width="11.21875" style="63" bestFit="1" customWidth="1"/>
    <col min="55" max="55" width="20.33203125" style="63" bestFit="1" customWidth="1"/>
    <col min="56" max="56" width="16.44140625" style="63" bestFit="1" customWidth="1"/>
    <col min="57" max="57" width="24.33203125" style="63" bestFit="1" customWidth="1"/>
    <col min="58" max="58" width="15.109375" style="63" bestFit="1" customWidth="1"/>
    <col min="59" max="59" width="21.6640625" style="99" bestFit="1" customWidth="1"/>
    <col min="60" max="60" width="26.88671875" style="63" bestFit="1" customWidth="1"/>
    <col min="61" max="61" width="28.21875" style="63" bestFit="1" customWidth="1"/>
    <col min="62" max="62" width="30.77734375" style="63" bestFit="1" customWidth="1"/>
    <col min="63" max="63" width="26.88671875" style="63" bestFit="1" customWidth="1"/>
    <col min="64" max="64" width="20.33203125" style="63" bestFit="1" customWidth="1"/>
    <col min="65" max="65" width="24.33203125" style="63" bestFit="1" customWidth="1"/>
    <col min="66" max="68" width="26.88671875" style="63" bestFit="1" customWidth="1"/>
    <col min="69" max="70" width="17.77734375" style="63" bestFit="1" customWidth="1"/>
    <col min="71" max="71" width="26.88671875" style="63" bestFit="1" customWidth="1"/>
    <col min="72" max="72" width="17.77734375" style="63" bestFit="1" customWidth="1"/>
    <col min="73" max="73" width="28.21875" style="104" bestFit="1" customWidth="1"/>
    <col min="74" max="74" width="20.33203125" style="242" bestFit="1" customWidth="1"/>
    <col min="75" max="75" width="8.88671875" style="63" bestFit="1" customWidth="1"/>
    <col min="76" max="76" width="26.88671875" style="63" bestFit="1" customWidth="1"/>
    <col min="77" max="16384" width="8.88671875" style="63"/>
  </cols>
  <sheetData>
    <row r="1" spans="1:76" ht="32.4" x14ac:dyDescent="0.3">
      <c r="A1" s="67" t="s">
        <v>732</v>
      </c>
      <c r="B1" s="155" t="s">
        <v>550</v>
      </c>
      <c r="C1" s="95" t="s">
        <v>408</v>
      </c>
      <c r="D1" s="95" t="s">
        <v>733</v>
      </c>
      <c r="E1" s="95" t="s">
        <v>734</v>
      </c>
      <c r="F1" s="96" t="s">
        <v>187</v>
      </c>
      <c r="G1" s="96" t="s">
        <v>188</v>
      </c>
      <c r="H1" s="96" t="s">
        <v>86</v>
      </c>
      <c r="I1" s="96" t="s">
        <v>87</v>
      </c>
      <c r="J1" s="96" t="s">
        <v>199</v>
      </c>
      <c r="K1" s="96" t="s">
        <v>200</v>
      </c>
      <c r="L1" s="96" t="s">
        <v>735</v>
      </c>
      <c r="M1" s="96" t="s">
        <v>205</v>
      </c>
      <c r="N1" s="96" t="s">
        <v>210</v>
      </c>
      <c r="O1" s="96" t="s">
        <v>213</v>
      </c>
      <c r="P1" s="96" t="s">
        <v>216</v>
      </c>
      <c r="Q1" s="96" t="s">
        <v>116</v>
      </c>
      <c r="R1" s="96" t="s">
        <v>736</v>
      </c>
      <c r="S1" s="96" t="s">
        <v>223</v>
      </c>
      <c r="T1" s="69" t="s">
        <v>224</v>
      </c>
      <c r="U1" s="69" t="s">
        <v>737</v>
      </c>
      <c r="V1" s="69" t="s">
        <v>231</v>
      </c>
      <c r="W1" s="69" t="s">
        <v>234</v>
      </c>
      <c r="X1" s="69" t="s">
        <v>235</v>
      </c>
      <c r="Y1" s="69" t="s">
        <v>240</v>
      </c>
      <c r="Z1" s="69" t="s">
        <v>241</v>
      </c>
      <c r="AA1" s="69" t="s">
        <v>242</v>
      </c>
      <c r="AB1" s="107" t="s">
        <v>738</v>
      </c>
      <c r="AC1" s="69" t="s">
        <v>249</v>
      </c>
      <c r="AD1" s="69" t="s">
        <v>254</v>
      </c>
      <c r="AE1" s="69" t="s">
        <v>255</v>
      </c>
      <c r="AF1" s="69" t="s">
        <v>260</v>
      </c>
      <c r="AG1" s="69" t="s">
        <v>261</v>
      </c>
      <c r="AH1" s="69" t="s">
        <v>262</v>
      </c>
      <c r="AI1" s="69" t="s">
        <v>263</v>
      </c>
      <c r="AJ1" s="69" t="s">
        <v>264</v>
      </c>
      <c r="AK1" s="69" t="s">
        <v>275</v>
      </c>
      <c r="AL1" s="69" t="s">
        <v>276</v>
      </c>
      <c r="AM1" s="69" t="s">
        <v>277</v>
      </c>
      <c r="AN1" s="69" t="s">
        <v>278</v>
      </c>
      <c r="AO1" s="69" t="s">
        <v>279</v>
      </c>
      <c r="AP1" s="69" t="s">
        <v>290</v>
      </c>
      <c r="AQ1" s="69" t="s">
        <v>291</v>
      </c>
      <c r="AR1" s="69" t="s">
        <v>292</v>
      </c>
      <c r="AS1" s="69" t="s">
        <v>293</v>
      </c>
      <c r="AT1" s="69" t="s">
        <v>294</v>
      </c>
      <c r="AU1" s="69" t="s">
        <v>305</v>
      </c>
      <c r="AV1" s="69" t="s">
        <v>306</v>
      </c>
      <c r="AW1" s="69" t="s">
        <v>307</v>
      </c>
      <c r="AX1" s="69" t="s">
        <v>308</v>
      </c>
      <c r="AY1" s="69" t="s">
        <v>317</v>
      </c>
      <c r="AZ1" s="69" t="s">
        <v>320</v>
      </c>
      <c r="BA1" s="69" t="s">
        <v>321</v>
      </c>
      <c r="BB1" s="69" t="s">
        <v>322</v>
      </c>
      <c r="BC1" s="69" t="s">
        <v>739</v>
      </c>
      <c r="BD1" s="69" t="s">
        <v>323</v>
      </c>
      <c r="BE1" s="69" t="s">
        <v>334</v>
      </c>
      <c r="BF1" s="69" t="s">
        <v>337</v>
      </c>
      <c r="BG1" s="107" t="s">
        <v>338</v>
      </c>
      <c r="BH1" s="69" t="s">
        <v>740</v>
      </c>
      <c r="BI1" s="69" t="s">
        <v>339</v>
      </c>
      <c r="BJ1" s="69" t="s">
        <v>340</v>
      </c>
      <c r="BK1" s="69" t="s">
        <v>351</v>
      </c>
      <c r="BL1" s="69" t="s">
        <v>352</v>
      </c>
      <c r="BM1" s="69" t="s">
        <v>353</v>
      </c>
      <c r="BN1" s="69" t="s">
        <v>354</v>
      </c>
      <c r="BO1" s="69" t="s">
        <v>355</v>
      </c>
      <c r="BP1" s="69" t="s">
        <v>366</v>
      </c>
      <c r="BQ1" s="69" t="s">
        <v>367</v>
      </c>
      <c r="BR1" s="69" t="s">
        <v>368</v>
      </c>
      <c r="BS1" s="69" t="s">
        <v>369</v>
      </c>
      <c r="BT1" s="69" t="s">
        <v>370</v>
      </c>
      <c r="BU1" s="96" t="s">
        <v>381</v>
      </c>
      <c r="BV1" s="96" t="s">
        <v>382</v>
      </c>
      <c r="BW1" s="69" t="s">
        <v>386</v>
      </c>
      <c r="BX1" s="187" t="s">
        <v>784</v>
      </c>
    </row>
    <row r="2" spans="1:76" ht="16.2" x14ac:dyDescent="0.3">
      <c r="A2" s="68" t="s">
        <v>388</v>
      </c>
      <c r="B2" s="156" t="s">
        <v>551</v>
      </c>
      <c r="C2" s="97" t="s">
        <v>183</v>
      </c>
      <c r="D2" s="97" t="s">
        <v>185</v>
      </c>
      <c r="E2" s="97" t="s">
        <v>189</v>
      </c>
      <c r="F2" s="97" t="s">
        <v>190</v>
      </c>
      <c r="G2" s="97" t="s">
        <v>191</v>
      </c>
      <c r="H2" s="97" t="s">
        <v>195</v>
      </c>
      <c r="I2" s="97" t="s">
        <v>196</v>
      </c>
      <c r="J2" s="97" t="s">
        <v>201</v>
      </c>
      <c r="K2" s="97" t="s">
        <v>202</v>
      </c>
      <c r="L2" s="97" t="s">
        <v>206</v>
      </c>
      <c r="M2" s="97" t="s">
        <v>207</v>
      </c>
      <c r="N2" s="97" t="s">
        <v>211</v>
      </c>
      <c r="O2" s="97" t="s">
        <v>214</v>
      </c>
      <c r="P2" s="105" t="s">
        <v>217</v>
      </c>
      <c r="Q2" s="105" t="s">
        <v>219</v>
      </c>
      <c r="R2" s="97" t="s">
        <v>221</v>
      </c>
      <c r="S2" s="97" t="s">
        <v>225</v>
      </c>
      <c r="T2" s="69" t="s">
        <v>226</v>
      </c>
      <c r="U2" s="69" t="s">
        <v>227</v>
      </c>
      <c r="V2" s="69" t="s">
        <v>232</v>
      </c>
      <c r="W2" s="69" t="s">
        <v>236</v>
      </c>
      <c r="X2" s="69" t="s">
        <v>237</v>
      </c>
      <c r="Y2" s="69" t="s">
        <v>243</v>
      </c>
      <c r="Z2" s="69" t="s">
        <v>244</v>
      </c>
      <c r="AA2" s="69" t="s">
        <v>245</v>
      </c>
      <c r="AB2" s="108" t="s">
        <v>250</v>
      </c>
      <c r="AC2" s="69" t="s">
        <v>251</v>
      </c>
      <c r="AD2" s="69" t="s">
        <v>256</v>
      </c>
      <c r="AE2" s="69" t="s">
        <v>257</v>
      </c>
      <c r="AF2" s="69" t="s">
        <v>265</v>
      </c>
      <c r="AG2" s="69" t="s">
        <v>266</v>
      </c>
      <c r="AH2" s="69" t="s">
        <v>267</v>
      </c>
      <c r="AI2" s="69" t="s">
        <v>268</v>
      </c>
      <c r="AJ2" s="69" t="s">
        <v>269</v>
      </c>
      <c r="AK2" s="69" t="s">
        <v>280</v>
      </c>
      <c r="AL2" s="69" t="s">
        <v>281</v>
      </c>
      <c r="AM2" s="69" t="s">
        <v>282</v>
      </c>
      <c r="AN2" s="69" t="s">
        <v>283</v>
      </c>
      <c r="AO2" s="69" t="s">
        <v>284</v>
      </c>
      <c r="AP2" s="69" t="s">
        <v>295</v>
      </c>
      <c r="AQ2" s="69" t="s">
        <v>296</v>
      </c>
      <c r="AR2" s="69" t="s">
        <v>297</v>
      </c>
      <c r="AS2" s="69" t="s">
        <v>298</v>
      </c>
      <c r="AT2" s="69" t="s">
        <v>299</v>
      </c>
      <c r="AU2" s="69" t="s">
        <v>309</v>
      </c>
      <c r="AV2" s="69" t="s">
        <v>310</v>
      </c>
      <c r="AW2" s="69" t="s">
        <v>311</v>
      </c>
      <c r="AX2" s="69" t="s">
        <v>312</v>
      </c>
      <c r="AY2" s="69" t="s">
        <v>318</v>
      </c>
      <c r="AZ2" s="69" t="s">
        <v>324</v>
      </c>
      <c r="BA2" s="69" t="s">
        <v>325</v>
      </c>
      <c r="BB2" s="69" t="s">
        <v>326</v>
      </c>
      <c r="BC2" s="69" t="s">
        <v>327</v>
      </c>
      <c r="BD2" s="69" t="s">
        <v>328</v>
      </c>
      <c r="BE2" s="69" t="s">
        <v>335</v>
      </c>
      <c r="BF2" s="69" t="s">
        <v>341</v>
      </c>
      <c r="BG2" s="108" t="s">
        <v>342</v>
      </c>
      <c r="BH2" s="69" t="s">
        <v>343</v>
      </c>
      <c r="BI2" s="69" t="s">
        <v>344</v>
      </c>
      <c r="BJ2" s="69" t="s">
        <v>345</v>
      </c>
      <c r="BK2" s="69" t="s">
        <v>356</v>
      </c>
      <c r="BL2" s="69" t="s">
        <v>357</v>
      </c>
      <c r="BM2" s="69" t="s">
        <v>358</v>
      </c>
      <c r="BN2" s="69" t="s">
        <v>359</v>
      </c>
      <c r="BO2" s="69" t="s">
        <v>360</v>
      </c>
      <c r="BP2" s="69" t="s">
        <v>371</v>
      </c>
      <c r="BQ2" s="69" t="s">
        <v>372</v>
      </c>
      <c r="BR2" s="69" t="s">
        <v>373</v>
      </c>
      <c r="BS2" s="69" t="s">
        <v>374</v>
      </c>
      <c r="BT2" s="69" t="s">
        <v>375</v>
      </c>
      <c r="BU2" s="97" t="s">
        <v>383</v>
      </c>
      <c r="BV2" s="97" t="s">
        <v>741</v>
      </c>
      <c r="BW2" s="69" t="s">
        <v>406</v>
      </c>
      <c r="BX2" s="187" t="s">
        <v>783</v>
      </c>
    </row>
    <row r="3" spans="1:76" ht="48.6" x14ac:dyDescent="0.3">
      <c r="A3" s="68" t="s">
        <v>411</v>
      </c>
      <c r="B3" s="156" t="s">
        <v>552</v>
      </c>
      <c r="C3" s="98" t="s">
        <v>184</v>
      </c>
      <c r="D3" s="98" t="s">
        <v>186</v>
      </c>
      <c r="E3" s="98" t="s">
        <v>192</v>
      </c>
      <c r="F3" s="98" t="s">
        <v>193</v>
      </c>
      <c r="G3" s="98" t="s">
        <v>194</v>
      </c>
      <c r="H3" s="98" t="s">
        <v>197</v>
      </c>
      <c r="I3" s="98" t="s">
        <v>198</v>
      </c>
      <c r="J3" s="98" t="s">
        <v>203</v>
      </c>
      <c r="K3" s="98" t="s">
        <v>204</v>
      </c>
      <c r="L3" s="98" t="s">
        <v>208</v>
      </c>
      <c r="M3" s="98" t="s">
        <v>209</v>
      </c>
      <c r="N3" s="98" t="s">
        <v>212</v>
      </c>
      <c r="O3" s="98" t="s">
        <v>215</v>
      </c>
      <c r="P3" s="106" t="s">
        <v>218</v>
      </c>
      <c r="Q3" s="106" t="s">
        <v>220</v>
      </c>
      <c r="R3" s="98" t="s">
        <v>222</v>
      </c>
      <c r="S3" s="98" t="s">
        <v>228</v>
      </c>
      <c r="T3" s="70" t="s">
        <v>229</v>
      </c>
      <c r="U3" s="70" t="s">
        <v>230</v>
      </c>
      <c r="V3" s="70" t="s">
        <v>233</v>
      </c>
      <c r="W3" s="70" t="s">
        <v>238</v>
      </c>
      <c r="X3" s="70" t="s">
        <v>239</v>
      </c>
      <c r="Y3" s="70" t="s">
        <v>246</v>
      </c>
      <c r="Z3" s="70" t="s">
        <v>247</v>
      </c>
      <c r="AA3" s="70" t="s">
        <v>248</v>
      </c>
      <c r="AB3" s="109" t="s">
        <v>252</v>
      </c>
      <c r="AC3" s="70" t="s">
        <v>253</v>
      </c>
      <c r="AD3" s="70" t="s">
        <v>258</v>
      </c>
      <c r="AE3" s="70" t="s">
        <v>259</v>
      </c>
      <c r="AF3" s="70" t="s">
        <v>270</v>
      </c>
      <c r="AG3" s="70" t="s">
        <v>271</v>
      </c>
      <c r="AH3" s="70" t="s">
        <v>272</v>
      </c>
      <c r="AI3" s="70" t="s">
        <v>273</v>
      </c>
      <c r="AJ3" s="70" t="s">
        <v>274</v>
      </c>
      <c r="AK3" s="70" t="s">
        <v>285</v>
      </c>
      <c r="AL3" s="70" t="s">
        <v>286</v>
      </c>
      <c r="AM3" s="70" t="s">
        <v>287</v>
      </c>
      <c r="AN3" s="70" t="s">
        <v>288</v>
      </c>
      <c r="AO3" s="70" t="s">
        <v>289</v>
      </c>
      <c r="AP3" s="70" t="s">
        <v>300</v>
      </c>
      <c r="AQ3" s="70" t="s">
        <v>301</v>
      </c>
      <c r="AR3" s="70" t="s">
        <v>302</v>
      </c>
      <c r="AS3" s="70" t="s">
        <v>303</v>
      </c>
      <c r="AT3" s="70" t="s">
        <v>304</v>
      </c>
      <c r="AU3" s="70" t="s">
        <v>313</v>
      </c>
      <c r="AV3" s="70" t="s">
        <v>314</v>
      </c>
      <c r="AW3" s="71" t="s">
        <v>315</v>
      </c>
      <c r="AX3" s="70" t="s">
        <v>316</v>
      </c>
      <c r="AY3" s="70" t="s">
        <v>319</v>
      </c>
      <c r="AZ3" s="70" t="s">
        <v>329</v>
      </c>
      <c r="BA3" s="70" t="s">
        <v>330</v>
      </c>
      <c r="BB3" s="70" t="s">
        <v>331</v>
      </c>
      <c r="BC3" s="70" t="s">
        <v>332</v>
      </c>
      <c r="BD3" s="70" t="s">
        <v>333</v>
      </c>
      <c r="BE3" s="70" t="s">
        <v>336</v>
      </c>
      <c r="BF3" s="70" t="s">
        <v>346</v>
      </c>
      <c r="BG3" s="109" t="s">
        <v>347</v>
      </c>
      <c r="BH3" s="70" t="s">
        <v>348</v>
      </c>
      <c r="BI3" s="70" t="s">
        <v>349</v>
      </c>
      <c r="BJ3" s="70" t="s">
        <v>350</v>
      </c>
      <c r="BK3" s="70" t="s">
        <v>361</v>
      </c>
      <c r="BL3" s="70" t="s">
        <v>362</v>
      </c>
      <c r="BM3" s="70" t="s">
        <v>363</v>
      </c>
      <c r="BN3" s="70" t="s">
        <v>364</v>
      </c>
      <c r="BO3" s="70" t="s">
        <v>365</v>
      </c>
      <c r="BP3" s="70" t="s">
        <v>376</v>
      </c>
      <c r="BQ3" s="70" t="s">
        <v>377</v>
      </c>
      <c r="BR3" s="70" t="s">
        <v>378</v>
      </c>
      <c r="BS3" s="70" t="s">
        <v>379</v>
      </c>
      <c r="BT3" s="70" t="s">
        <v>380</v>
      </c>
      <c r="BU3" s="98" t="s">
        <v>384</v>
      </c>
      <c r="BV3" s="98" t="s">
        <v>385</v>
      </c>
      <c r="BW3" s="70" t="s">
        <v>386</v>
      </c>
      <c r="BX3" s="187"/>
    </row>
    <row r="4" spans="1:76" ht="16.2" x14ac:dyDescent="0.3">
      <c r="A4" s="207" t="s">
        <v>624</v>
      </c>
      <c r="B4" s="114">
        <f>IF(I4="","",COUNTA($I$4:I4))</f>
        <v>1</v>
      </c>
      <c r="C4" s="114" t="str">
        <f>IFERROR(VLOOKUP(基本資料填寫!$C$1&amp;"-"&amp;ROW(X1),基本資料填寫!$C:$DU,COLUMN(基本資料填寫!BV2),0),"")</f>
        <v>B21317</v>
      </c>
      <c r="D4" s="99">
        <f>IFERROR(VLOOKUP(基本資料填寫!$C$1&amp;"-"&amp;ROW(D1),基本資料填寫!$C:$DU,COLUMN(基本資料填寫!L2),0),"")</f>
        <v>43212</v>
      </c>
      <c r="E4" s="115" t="str">
        <f>IFERROR(VLOOKUP(基本資料填寫!$C$1&amp;"-"&amp;ROW(AP1),基本資料填寫!$C:$DU,COLUMN(基本資料填寫!CN2),0),"")</f>
        <v>27NYE0823</v>
      </c>
      <c r="F4" s="114" t="str">
        <f>IFERROR(VLOOKUP(基本資料填寫!$C$1&amp;"-"&amp;ROW(I1),基本資料填寫!$C:$DU,COLUMN(基本資料填寫!Q2),0),"")</f>
        <v>5805</v>
      </c>
      <c r="G4" s="114" t="str">
        <f>IFERROR(VLOOKUP(基本資料填寫!$C$1&amp;"-"&amp;ROW(L1),基本資料填寫!$C:$DU,COLUMN(基本資料填寫!T2),0),"")</f>
        <v>YETL22090</v>
      </c>
      <c r="H4" s="114" t="str">
        <f>IFERROR(VLOOKUP(基本資料填寫!$C$1&amp;"-"&amp;ROW(F1),基本資料填寫!$C:$DU,COLUMN(基本資料填寫!N2),0),"")</f>
        <v>Acoustic Telephone System</v>
      </c>
      <c r="I4" s="114" t="str">
        <f>IFERROR(VLOOKUP(基本資料填寫!$C$1&amp;"-"&amp;ROW(G1),基本資料填寫!$C:$DU,COLUMN(基本資料填寫!O2),0),"")</f>
        <v>聲力電話系統</v>
      </c>
      <c r="J4" s="114" t="str">
        <f>IFERROR(VLOOKUP(基本資料填寫!$C$1&amp;"-"&amp;ROW(E1),基本資料填寫!$C:$DU,COLUMN(基本資料填寫!M2),0),"")</f>
        <v>TA-4CI</v>
      </c>
      <c r="K4" s="99">
        <f>IFERROR(VLOOKUP(基本資料填寫!$C$1&amp;"-"&amp;ROW(X1),基本資料填寫!$C:$DU,COLUMN(基本資料填寫!AF2),0),"")</f>
        <v>3</v>
      </c>
      <c r="L4" s="115">
        <f>IFERROR(VLOOKUP(基本資料填寫!$C$1&amp;"-"&amp;ROW(AW1),基本資料填寫!$C:$DU,COLUMN(基本資料填寫!CU2),0),"")</f>
        <v>0</v>
      </c>
      <c r="M4" s="115">
        <f>IFERROR(VLOOKUP(基本資料填寫!$C$1&amp;"-"&amp;ROW(AU1),基本資料填寫!$C:$DU,COLUMN(基本資料填寫!CS2),0),"")</f>
        <v>0</v>
      </c>
      <c r="N4" s="115">
        <f>IFERROR(VLOOKUP(基本資料填寫!$C$1&amp;"-"&amp;ROW(AV1),基本資料填寫!$C:$DU,COLUMN(基本資料填寫!CT2),0),"")</f>
        <v>0</v>
      </c>
      <c r="O4" s="115" t="str">
        <f>IFERROR(VLOOKUP(基本資料填寫!$C$1&amp;"-"&amp;ROW(N1),基本資料填寫!$C:$DU,COLUMN(基本資料填寫!V2),0),"")</f>
        <v>1</v>
      </c>
      <c r="P4" s="115" t="str">
        <f>IFERROR(VLOOKUP(基本資料填寫!$C$1&amp;"-"&amp;ROW(AT1),基本資料填寫!$C:$DU,COLUMN(基本資料填寫!CR2),0),"")</f>
        <v>前/後機艙</v>
      </c>
      <c r="Q4" s="115" t="str">
        <f>IFERROR(VLOOKUP(基本資料填寫!$C$1&amp;"-"&amp;ROW(AQ1),基本資料填寫!$C:$DU,COLUMN(基本資料填寫!CO2),0),"")</f>
        <v>FFG</v>
      </c>
      <c r="R4" s="99" t="str">
        <f>IFERROR(VLOOKUP(基本資料填寫!$C$1&amp;"-"&amp;ROW(Y1),基本資料填寫!$C:$DU,COLUMN(基本資料填寫!AG2),0),"")</f>
        <v>0823</v>
      </c>
      <c r="S4" s="99" t="str">
        <f>IFERROR(VLOOKUP(基本資料填寫!$C$1&amp;"-"&amp;ROW(Z1),基本資料填寫!$C:$DU,COLUMN(基本資料填寫!AH2),0),"")</f>
        <v>JSSC</v>
      </c>
      <c r="AB4" s="115" t="str">
        <f>IFERROR(VLOOKUP(基本資料填寫!$C$1&amp;"-"&amp;ROW(BL1),基本資料填寫!$C:$DU,COLUMN(基本資料填寫!DK2),0),"")</f>
        <v>EK432121</v>
      </c>
      <c r="BG4" s="115" t="str">
        <f>IFERROR(VLOOKUP(基本資料填寫!$C$1&amp;"-"&amp;ROW(E1),基本資料填寫!$C:$DU,COLUMN(基本資料填寫!M2),0),"")</f>
        <v>TA-4CI</v>
      </c>
      <c r="BU4" s="115">
        <f>IFERROR(VLOOKUP(基本資料填寫!$C$1&amp;"-"&amp;ROW(O1),基本資料填寫!$C:$DU,COLUMN(基本資料填寫!W2),0),"")</f>
        <v>1</v>
      </c>
      <c r="BV4" s="99" t="str">
        <f>IFERROR(VLOOKUP(基本資料填寫!$C$1&amp;"-"&amp;ROW(AA1),基本資料填寫!$C:$DU,COLUMN(基本資料填寫!AI2),0),"")</f>
        <v>ARS</v>
      </c>
    </row>
    <row r="5" spans="1:76" ht="16.2" x14ac:dyDescent="0.3">
      <c r="A5" s="207"/>
      <c r="B5" s="114" t="str">
        <f>IF(I5="","",COUNTA($I$4:I5))</f>
        <v/>
      </c>
      <c r="C5" s="114" t="str">
        <f>IFERROR(VLOOKUP(基本資料填寫!$C$1&amp;"-"&amp;ROW(X2),基本資料填寫!$C:$DU,COLUMN(基本資料填寫!BV3),0),"")</f>
        <v/>
      </c>
      <c r="D5" s="99" t="str">
        <f>IFERROR(VLOOKUP(基本資料填寫!$C$1&amp;"-"&amp;ROW(D2),基本資料填寫!$C:$DU,COLUMN(基本資料填寫!L3),0),"")</f>
        <v/>
      </c>
      <c r="E5" s="115" t="str">
        <f>IFERROR(VLOOKUP(基本資料填寫!$C$1&amp;"-"&amp;ROW(AP2),基本資料填寫!$C:$DU,COLUMN(基本資料填寫!CN3),0),"")</f>
        <v/>
      </c>
      <c r="F5" s="114" t="str">
        <f>IFERROR(VLOOKUP(基本資料填寫!$C$1&amp;"-"&amp;ROW(I2),基本資料填寫!$C:$DU,COLUMN(基本資料填寫!Q3),0),"")</f>
        <v/>
      </c>
      <c r="G5" s="114" t="str">
        <f>IFERROR(VLOOKUP(基本資料填寫!$C$1&amp;"-"&amp;ROW(L2),基本資料填寫!$C:$DU,COLUMN(基本資料填寫!T3),0),"")</f>
        <v/>
      </c>
      <c r="H5" s="114" t="str">
        <f>IFERROR(VLOOKUP(基本資料填寫!$C$1&amp;"-"&amp;ROW(F2),基本資料填寫!$C:$DU,COLUMN(基本資料填寫!N3),0),"")</f>
        <v/>
      </c>
      <c r="I5" s="114" t="str">
        <f>IFERROR(VLOOKUP(基本資料填寫!$C$1&amp;"-"&amp;ROW(G2),基本資料填寫!$C:$DU,COLUMN(基本資料填寫!O3),0),"")</f>
        <v/>
      </c>
      <c r="J5" s="114" t="str">
        <f>IFERROR(VLOOKUP(基本資料填寫!$C$1&amp;"-"&amp;ROW(E2),基本資料填寫!$C:$DU,COLUMN(基本資料填寫!M3),0),"")</f>
        <v/>
      </c>
      <c r="K5" s="99" t="str">
        <f>IFERROR(VLOOKUP(基本資料填寫!$C$1&amp;"-"&amp;ROW(X2),基本資料填寫!$C:$DU,COLUMN(基本資料填寫!AF3),0),"")</f>
        <v/>
      </c>
      <c r="L5" s="115" t="str">
        <f>IFERROR(VLOOKUP(基本資料填寫!$C$1&amp;"-"&amp;ROW(AW2),基本資料填寫!$C:$DU,COLUMN(基本資料填寫!CU3),0),"")</f>
        <v/>
      </c>
      <c r="M5" s="115" t="str">
        <f>IFERROR(VLOOKUP(基本資料填寫!$C$1&amp;"-"&amp;ROW(AU2),基本資料填寫!$C:$DU,COLUMN(基本資料填寫!CS3),0),"")</f>
        <v/>
      </c>
      <c r="N5" s="115" t="str">
        <f>IFERROR(VLOOKUP(基本資料填寫!$C$1&amp;"-"&amp;ROW(AV2),基本資料填寫!$C:$DU,COLUMN(基本資料填寫!CT3),0),"")</f>
        <v/>
      </c>
      <c r="O5" s="115" t="str">
        <f>IFERROR(VLOOKUP(基本資料填寫!$C$1&amp;"-"&amp;ROW(N2),基本資料填寫!$C:$DU,COLUMN(基本資料填寫!V3),0),"")</f>
        <v/>
      </c>
      <c r="P5" s="115" t="str">
        <f>IFERROR(VLOOKUP(基本資料填寫!$C$1&amp;"-"&amp;ROW(AT2),基本資料填寫!$C:$DU,COLUMN(基本資料填寫!CR3),0),"")</f>
        <v/>
      </c>
      <c r="Q5" s="115" t="str">
        <f>IFERROR(VLOOKUP(基本資料填寫!$C$1&amp;"-"&amp;ROW(AQ2),基本資料填寫!$C:$DU,COLUMN(基本資料填寫!CO3),0),"")</f>
        <v/>
      </c>
      <c r="R5" s="99" t="str">
        <f>IFERROR(VLOOKUP(基本資料填寫!$C$1&amp;"-"&amp;ROW(Y2),基本資料填寫!$C:$DU,COLUMN(基本資料填寫!AG3),0),"")</f>
        <v/>
      </c>
      <c r="S5" s="99" t="str">
        <f>IFERROR(VLOOKUP(基本資料填寫!$C$1&amp;"-"&amp;ROW(Z2),基本資料填寫!$C:$DU,COLUMN(基本資料填寫!AH3),0),"")</f>
        <v/>
      </c>
      <c r="AB5" s="115" t="str">
        <f>IFERROR(VLOOKUP(基本資料填寫!$C$1&amp;"-"&amp;ROW(BL2),基本資料填寫!$C:$DU,COLUMN(基本資料填寫!DK3),0),"")</f>
        <v/>
      </c>
      <c r="BG5" s="115" t="str">
        <f>IFERROR(VLOOKUP(基本資料填寫!$C$1&amp;"-"&amp;ROW(E2),基本資料填寫!$C:$DU,COLUMN(基本資料填寫!M3),0),"")</f>
        <v/>
      </c>
      <c r="BU5" s="115" t="str">
        <f>IFERROR(VLOOKUP(基本資料填寫!$C$1&amp;"-"&amp;ROW(O2),基本資料填寫!$C:$DU,COLUMN(基本資料填寫!W3),0),"")</f>
        <v/>
      </c>
      <c r="BV5" s="99" t="str">
        <f>IFERROR(VLOOKUP(基本資料填寫!$C$1&amp;"-"&amp;ROW(AA2),基本資料填寫!$C:$DU,COLUMN(基本資料填寫!AI3),0),"")</f>
        <v/>
      </c>
    </row>
    <row r="6" spans="1:76" ht="16.2" x14ac:dyDescent="0.3">
      <c r="A6" s="207"/>
      <c r="B6" s="114" t="str">
        <f>IF(I6="","",COUNTA($I$4:I6))</f>
        <v/>
      </c>
      <c r="C6" s="114" t="str">
        <f>IFERROR(VLOOKUP(基本資料填寫!$C$1&amp;"-"&amp;ROW(X3),基本資料填寫!$C:$DU,COLUMN(基本資料填寫!BV4),0),"")</f>
        <v/>
      </c>
      <c r="D6" s="99" t="str">
        <f>IFERROR(VLOOKUP(基本資料填寫!$C$1&amp;"-"&amp;ROW(D3),基本資料填寫!$C:$DU,COLUMN(基本資料填寫!L4),0),"")</f>
        <v/>
      </c>
      <c r="E6" s="115" t="str">
        <f>IFERROR(VLOOKUP(基本資料填寫!$C$1&amp;"-"&amp;ROW(AP3),基本資料填寫!$C:$DU,COLUMN(基本資料填寫!CN4),0),"")</f>
        <v/>
      </c>
      <c r="F6" s="114" t="str">
        <f>IFERROR(VLOOKUP(基本資料填寫!$C$1&amp;"-"&amp;ROW(I3),基本資料填寫!$C:$DU,COLUMN(基本資料填寫!Q4),0),"")</f>
        <v/>
      </c>
      <c r="G6" s="114" t="str">
        <f>IFERROR(VLOOKUP(基本資料填寫!$C$1&amp;"-"&amp;ROW(L3),基本資料填寫!$C:$DU,COLUMN(基本資料填寫!T4),0),"")</f>
        <v/>
      </c>
      <c r="H6" s="114" t="str">
        <f>IFERROR(VLOOKUP(基本資料填寫!$C$1&amp;"-"&amp;ROW(F3),基本資料填寫!$C:$DU,COLUMN(基本資料填寫!N4),0),"")</f>
        <v/>
      </c>
      <c r="I6" s="114" t="str">
        <f>IFERROR(VLOOKUP(基本資料填寫!$C$1&amp;"-"&amp;ROW(G3),基本資料填寫!$C:$DU,COLUMN(基本資料填寫!O4),0),"")</f>
        <v/>
      </c>
      <c r="J6" s="114" t="str">
        <f>IFERROR(VLOOKUP(基本資料填寫!$C$1&amp;"-"&amp;ROW(E3),基本資料填寫!$C:$DU,COLUMN(基本資料填寫!M4),0),"")</f>
        <v/>
      </c>
      <c r="K6" s="99" t="str">
        <f>IFERROR(VLOOKUP(基本資料填寫!$C$1&amp;"-"&amp;ROW(X3),基本資料填寫!$C:$DU,COLUMN(基本資料填寫!AF4),0),"")</f>
        <v/>
      </c>
      <c r="L6" s="115" t="str">
        <f>IFERROR(VLOOKUP(基本資料填寫!$C$1&amp;"-"&amp;ROW(AW3),基本資料填寫!$C:$DU,COLUMN(基本資料填寫!CU4),0),"")</f>
        <v/>
      </c>
      <c r="M6" s="115" t="str">
        <f>IFERROR(VLOOKUP(基本資料填寫!$C$1&amp;"-"&amp;ROW(AU3),基本資料填寫!$C:$DU,COLUMN(基本資料填寫!CS4),0),"")</f>
        <v/>
      </c>
      <c r="N6" s="115" t="str">
        <f>IFERROR(VLOOKUP(基本資料填寫!$C$1&amp;"-"&amp;ROW(AV3),基本資料填寫!$C:$DU,COLUMN(基本資料填寫!CT4),0),"")</f>
        <v/>
      </c>
      <c r="O6" s="115" t="str">
        <f>IFERROR(VLOOKUP(基本資料填寫!$C$1&amp;"-"&amp;ROW(N3),基本資料填寫!$C:$DU,COLUMN(基本資料填寫!V4),0),"")</f>
        <v/>
      </c>
      <c r="P6" s="115" t="str">
        <f>IFERROR(VLOOKUP(基本資料填寫!$C$1&amp;"-"&amp;ROW(AT3),基本資料填寫!$C:$DU,COLUMN(基本資料填寫!CR4),0),"")</f>
        <v/>
      </c>
      <c r="Q6" s="115" t="str">
        <f>IFERROR(VLOOKUP(基本資料填寫!$C$1&amp;"-"&amp;ROW(AQ3),基本資料填寫!$C:$DU,COLUMN(基本資料填寫!CO4),0),"")</f>
        <v/>
      </c>
      <c r="R6" s="99" t="str">
        <f>IFERROR(VLOOKUP(基本資料填寫!$C$1&amp;"-"&amp;ROW(Y3),基本資料填寫!$C:$DU,COLUMN(基本資料填寫!AG4),0),"")</f>
        <v/>
      </c>
      <c r="S6" s="99" t="str">
        <f>IFERROR(VLOOKUP(基本資料填寫!$C$1&amp;"-"&amp;ROW(Z3),基本資料填寫!$C:$DU,COLUMN(基本資料填寫!AH4),0),"")</f>
        <v/>
      </c>
      <c r="AB6" s="115" t="str">
        <f>IFERROR(VLOOKUP(基本資料填寫!$C$1&amp;"-"&amp;ROW(BL3),基本資料填寫!$C:$DU,COLUMN(基本資料填寫!DK4),0),"")</f>
        <v/>
      </c>
      <c r="BG6" s="115" t="str">
        <f>IFERROR(VLOOKUP(基本資料填寫!$C$1&amp;"-"&amp;ROW(E3),基本資料填寫!$C:$DU,COLUMN(基本資料填寫!M4),0),"")</f>
        <v/>
      </c>
      <c r="BU6" s="115" t="str">
        <f>IFERROR(VLOOKUP(基本資料填寫!$C$1&amp;"-"&amp;ROW(O3),基本資料填寫!$C:$DU,COLUMN(基本資料填寫!W4),0),"")</f>
        <v/>
      </c>
      <c r="BV6" s="99" t="str">
        <f>IFERROR(VLOOKUP(基本資料填寫!$C$1&amp;"-"&amp;ROW(AA3),基本資料填寫!$C:$DU,COLUMN(基本資料填寫!AI4),0),"")</f>
        <v/>
      </c>
    </row>
    <row r="7" spans="1:76" ht="16.2" x14ac:dyDescent="0.3">
      <c r="A7" s="207"/>
      <c r="B7" s="114" t="str">
        <f>IF(I7="","",COUNTA($I$4:I7))</f>
        <v/>
      </c>
      <c r="C7" s="114" t="str">
        <f>IFERROR(VLOOKUP(基本資料填寫!$C$1&amp;"-"&amp;ROW(X4),基本資料填寫!$C:$DU,COLUMN(基本資料填寫!BV5),0),"")</f>
        <v/>
      </c>
      <c r="D7" s="99" t="str">
        <f>IFERROR(VLOOKUP(基本資料填寫!$C$1&amp;"-"&amp;ROW(D4),基本資料填寫!$C:$DU,COLUMN(基本資料填寫!L5),0),"")</f>
        <v/>
      </c>
      <c r="E7" s="115" t="str">
        <f>IFERROR(VLOOKUP(基本資料填寫!$C$1&amp;"-"&amp;ROW(AP4),基本資料填寫!$C:$DU,COLUMN(基本資料填寫!CN5),0),"")</f>
        <v/>
      </c>
      <c r="F7" s="114" t="str">
        <f>IFERROR(VLOOKUP(基本資料填寫!$C$1&amp;"-"&amp;ROW(I4),基本資料填寫!$C:$DU,COLUMN(基本資料填寫!Q5),0),"")</f>
        <v/>
      </c>
      <c r="G7" s="114" t="str">
        <f>IFERROR(VLOOKUP(基本資料填寫!$C$1&amp;"-"&amp;ROW(L4),基本資料填寫!$C:$DU,COLUMN(基本資料填寫!T5),0),"")</f>
        <v/>
      </c>
      <c r="H7" s="114" t="str">
        <f>IFERROR(VLOOKUP(基本資料填寫!$C$1&amp;"-"&amp;ROW(F4),基本資料填寫!$C:$DU,COLUMN(基本資料填寫!N5),0),"")</f>
        <v/>
      </c>
      <c r="I7" s="114" t="str">
        <f>IFERROR(VLOOKUP(基本資料填寫!$C$1&amp;"-"&amp;ROW(G4),基本資料填寫!$C:$DU,COLUMN(基本資料填寫!O5),0),"")</f>
        <v/>
      </c>
      <c r="J7" s="114" t="str">
        <f>IFERROR(VLOOKUP(基本資料填寫!$C$1&amp;"-"&amp;ROW(E4),基本資料填寫!$C:$DU,COLUMN(基本資料填寫!M5),0),"")</f>
        <v/>
      </c>
      <c r="K7" s="99" t="str">
        <f>IFERROR(VLOOKUP(基本資料填寫!$C$1&amp;"-"&amp;ROW(X4),基本資料填寫!$C:$DU,COLUMN(基本資料填寫!AF5),0),"")</f>
        <v/>
      </c>
      <c r="L7" s="115" t="str">
        <f>IFERROR(VLOOKUP(基本資料填寫!$C$1&amp;"-"&amp;ROW(AW4),基本資料填寫!$C:$DU,COLUMN(基本資料填寫!CU5),0),"")</f>
        <v/>
      </c>
      <c r="M7" s="115" t="str">
        <f>IFERROR(VLOOKUP(基本資料填寫!$C$1&amp;"-"&amp;ROW(AU4),基本資料填寫!$C:$DU,COLUMN(基本資料填寫!CS5),0),"")</f>
        <v/>
      </c>
      <c r="N7" s="115" t="str">
        <f>IFERROR(VLOOKUP(基本資料填寫!$C$1&amp;"-"&amp;ROW(AV4),基本資料填寫!$C:$DU,COLUMN(基本資料填寫!CT5),0),"")</f>
        <v/>
      </c>
      <c r="O7" s="115" t="str">
        <f>IFERROR(VLOOKUP(基本資料填寫!$C$1&amp;"-"&amp;ROW(N4),基本資料填寫!$C:$DU,COLUMN(基本資料填寫!V5),0),"")</f>
        <v/>
      </c>
      <c r="P7" s="115" t="str">
        <f>IFERROR(VLOOKUP(基本資料填寫!$C$1&amp;"-"&amp;ROW(AT4),基本資料填寫!$C:$DU,COLUMN(基本資料填寫!CR5),0),"")</f>
        <v/>
      </c>
      <c r="Q7" s="115" t="str">
        <f>IFERROR(VLOOKUP(基本資料填寫!$C$1&amp;"-"&amp;ROW(AQ4),基本資料填寫!$C:$DU,COLUMN(基本資料填寫!CO5),0),"")</f>
        <v/>
      </c>
      <c r="R7" s="99" t="str">
        <f>IFERROR(VLOOKUP(基本資料填寫!$C$1&amp;"-"&amp;ROW(Y4),基本資料填寫!$C:$DU,COLUMN(基本資料填寫!AG5),0),"")</f>
        <v/>
      </c>
      <c r="S7" s="99" t="str">
        <f>IFERROR(VLOOKUP(基本資料填寫!$C$1&amp;"-"&amp;ROW(Z4),基本資料填寫!$C:$DU,COLUMN(基本資料填寫!AH5),0),"")</f>
        <v/>
      </c>
      <c r="AB7" s="115" t="str">
        <f>IFERROR(VLOOKUP(基本資料填寫!$C$1&amp;"-"&amp;ROW(BL4),基本資料填寫!$C:$DU,COLUMN(基本資料填寫!DK5),0),"")</f>
        <v/>
      </c>
      <c r="BG7" s="115" t="str">
        <f>IFERROR(VLOOKUP(基本資料填寫!$C$1&amp;"-"&amp;ROW(E4),基本資料填寫!$C:$DU,COLUMN(基本資料填寫!M5),0),"")</f>
        <v/>
      </c>
      <c r="BU7" s="115" t="str">
        <f>IFERROR(VLOOKUP(基本資料填寫!$C$1&amp;"-"&amp;ROW(O4),基本資料填寫!$C:$DU,COLUMN(基本資料填寫!W5),0),"")</f>
        <v/>
      </c>
      <c r="BV7" s="99" t="str">
        <f>IFERROR(VLOOKUP(基本資料填寫!$C$1&amp;"-"&amp;ROW(AA4),基本資料填寫!$C:$DU,COLUMN(基本資料填寫!AI5),0),"")</f>
        <v/>
      </c>
    </row>
    <row r="8" spans="1:76" ht="16.2" x14ac:dyDescent="0.3">
      <c r="A8" s="207"/>
      <c r="B8" s="114" t="str">
        <f>IF(I8="","",COUNTA($I$4:I8))</f>
        <v/>
      </c>
      <c r="C8" s="114" t="str">
        <f>IFERROR(VLOOKUP(基本資料填寫!$C$1&amp;"-"&amp;ROW(X5),基本資料填寫!$C:$DU,COLUMN(基本資料填寫!BV6),0),"")</f>
        <v/>
      </c>
      <c r="D8" s="99" t="str">
        <f>IFERROR(VLOOKUP(基本資料填寫!$C$1&amp;"-"&amp;ROW(D5),基本資料填寫!$C:$DU,COLUMN(基本資料填寫!L6),0),"")</f>
        <v/>
      </c>
      <c r="E8" s="115" t="str">
        <f>IFERROR(VLOOKUP(基本資料填寫!$C$1&amp;"-"&amp;ROW(AP5),基本資料填寫!$C:$DU,COLUMN(基本資料填寫!CN6),0),"")</f>
        <v/>
      </c>
      <c r="F8" s="114" t="str">
        <f>IFERROR(VLOOKUP(基本資料填寫!$C$1&amp;"-"&amp;ROW(I5),基本資料填寫!$C:$DU,COLUMN(基本資料填寫!Q6),0),"")</f>
        <v/>
      </c>
      <c r="G8" s="114" t="str">
        <f>IFERROR(VLOOKUP(基本資料填寫!$C$1&amp;"-"&amp;ROW(L5),基本資料填寫!$C:$DU,COLUMN(基本資料填寫!T6),0),"")</f>
        <v/>
      </c>
      <c r="H8" s="114" t="str">
        <f>IFERROR(VLOOKUP(基本資料填寫!$C$1&amp;"-"&amp;ROW(F5),基本資料填寫!$C:$DU,COLUMN(基本資料填寫!N6),0),"")</f>
        <v/>
      </c>
      <c r="I8" s="114" t="str">
        <f>IFERROR(VLOOKUP(基本資料填寫!$C$1&amp;"-"&amp;ROW(G5),基本資料填寫!$C:$DU,COLUMN(基本資料填寫!O6),0),"")</f>
        <v/>
      </c>
      <c r="J8" s="114" t="str">
        <f>IFERROR(VLOOKUP(基本資料填寫!$C$1&amp;"-"&amp;ROW(E5),基本資料填寫!$C:$DU,COLUMN(基本資料填寫!M6),0),"")</f>
        <v/>
      </c>
      <c r="K8" s="99" t="str">
        <f>IFERROR(VLOOKUP(基本資料填寫!$C$1&amp;"-"&amp;ROW(X5),基本資料填寫!$C:$DU,COLUMN(基本資料填寫!AF6),0),"")</f>
        <v/>
      </c>
      <c r="L8" s="115" t="str">
        <f>IFERROR(VLOOKUP(基本資料填寫!$C$1&amp;"-"&amp;ROW(AW5),基本資料填寫!$C:$DU,COLUMN(基本資料填寫!CU6),0),"")</f>
        <v/>
      </c>
      <c r="M8" s="115" t="str">
        <f>IFERROR(VLOOKUP(基本資料填寫!$C$1&amp;"-"&amp;ROW(AU5),基本資料填寫!$C:$DU,COLUMN(基本資料填寫!CS6),0),"")</f>
        <v/>
      </c>
      <c r="N8" s="115" t="str">
        <f>IFERROR(VLOOKUP(基本資料填寫!$C$1&amp;"-"&amp;ROW(AV5),基本資料填寫!$C:$DU,COLUMN(基本資料填寫!CT6),0),"")</f>
        <v/>
      </c>
      <c r="O8" s="115" t="str">
        <f>IFERROR(VLOOKUP(基本資料填寫!$C$1&amp;"-"&amp;ROW(N5),基本資料填寫!$C:$DU,COLUMN(基本資料填寫!V6),0),"")</f>
        <v/>
      </c>
      <c r="P8" s="115" t="str">
        <f>IFERROR(VLOOKUP(基本資料填寫!$C$1&amp;"-"&amp;ROW(AT5),基本資料填寫!$C:$DU,COLUMN(基本資料填寫!CR6),0),"")</f>
        <v/>
      </c>
      <c r="Q8" s="115" t="str">
        <f>IFERROR(VLOOKUP(基本資料填寫!$C$1&amp;"-"&amp;ROW(AQ5),基本資料填寫!$C:$DU,COLUMN(基本資料填寫!CO6),0),"")</f>
        <v/>
      </c>
      <c r="R8" s="99" t="str">
        <f>IFERROR(VLOOKUP(基本資料填寫!$C$1&amp;"-"&amp;ROW(Y5),基本資料填寫!$C:$DU,COLUMN(基本資料填寫!AG6),0),"")</f>
        <v/>
      </c>
      <c r="S8" s="99" t="str">
        <f>IFERROR(VLOOKUP(基本資料填寫!$C$1&amp;"-"&amp;ROW(Z5),基本資料填寫!$C:$DU,COLUMN(基本資料填寫!AH6),0),"")</f>
        <v/>
      </c>
      <c r="AB8" s="115" t="str">
        <f>IFERROR(VLOOKUP(基本資料填寫!$C$1&amp;"-"&amp;ROW(BL5),基本資料填寫!$C:$DU,COLUMN(基本資料填寫!DK6),0),"")</f>
        <v/>
      </c>
      <c r="BG8" s="115" t="str">
        <f>IFERROR(VLOOKUP(基本資料填寫!$C$1&amp;"-"&amp;ROW(E5),基本資料填寫!$C:$DU,COLUMN(基本資料填寫!M6),0),"")</f>
        <v/>
      </c>
      <c r="BU8" s="115" t="str">
        <f>IFERROR(VLOOKUP(基本資料填寫!$C$1&amp;"-"&amp;ROW(O5),基本資料填寫!$C:$DU,COLUMN(基本資料填寫!W6),0),"")</f>
        <v/>
      </c>
      <c r="BV8" s="99" t="str">
        <f>IFERROR(VLOOKUP(基本資料填寫!$C$1&amp;"-"&amp;ROW(AA5),基本資料填寫!$C:$DU,COLUMN(基本資料填寫!AI6),0),"")</f>
        <v/>
      </c>
    </row>
    <row r="9" spans="1:76" ht="16.2" x14ac:dyDescent="0.3">
      <c r="A9" s="207"/>
      <c r="B9" s="114" t="str">
        <f>IF(I9="","",COUNTA($I$4:I9))</f>
        <v/>
      </c>
      <c r="C9" s="114" t="str">
        <f>IFERROR(VLOOKUP(基本資料填寫!$C$1&amp;"-"&amp;ROW(X6),基本資料填寫!$C:$DU,COLUMN(基本資料填寫!BV7),0),"")</f>
        <v/>
      </c>
      <c r="D9" s="99" t="str">
        <f>IFERROR(VLOOKUP(基本資料填寫!$C$1&amp;"-"&amp;ROW(D6),基本資料填寫!$C:$DU,COLUMN(基本資料填寫!L7),0),"")</f>
        <v/>
      </c>
      <c r="E9" s="115" t="str">
        <f>IFERROR(VLOOKUP(基本資料填寫!$C$1&amp;"-"&amp;ROW(AP6),基本資料填寫!$C:$DU,COLUMN(基本資料填寫!CN7),0),"")</f>
        <v/>
      </c>
      <c r="F9" s="114" t="str">
        <f>IFERROR(VLOOKUP(基本資料填寫!$C$1&amp;"-"&amp;ROW(I6),基本資料填寫!$C:$DU,COLUMN(基本資料填寫!Q7),0),"")</f>
        <v/>
      </c>
      <c r="G9" s="114" t="str">
        <f>IFERROR(VLOOKUP(基本資料填寫!$C$1&amp;"-"&amp;ROW(L6),基本資料填寫!$C:$DU,COLUMN(基本資料填寫!T7),0),"")</f>
        <v/>
      </c>
      <c r="H9" s="114" t="str">
        <f>IFERROR(VLOOKUP(基本資料填寫!$C$1&amp;"-"&amp;ROW(F6),基本資料填寫!$C:$DU,COLUMN(基本資料填寫!N7),0),"")</f>
        <v/>
      </c>
      <c r="I9" s="114" t="str">
        <f>IFERROR(VLOOKUP(基本資料填寫!$C$1&amp;"-"&amp;ROW(G6),基本資料填寫!$C:$DU,COLUMN(基本資料填寫!O7),0),"")</f>
        <v/>
      </c>
      <c r="J9" s="114" t="str">
        <f>IFERROR(VLOOKUP(基本資料填寫!$C$1&amp;"-"&amp;ROW(E6),基本資料填寫!$C:$DU,COLUMN(基本資料填寫!M7),0),"")</f>
        <v/>
      </c>
      <c r="K9" s="99" t="str">
        <f>IFERROR(VLOOKUP(基本資料填寫!$C$1&amp;"-"&amp;ROW(X6),基本資料填寫!$C:$DU,COLUMN(基本資料填寫!AF7),0),"")</f>
        <v/>
      </c>
      <c r="L9" s="115" t="str">
        <f>IFERROR(VLOOKUP(基本資料填寫!$C$1&amp;"-"&amp;ROW(AW6),基本資料填寫!$C:$DU,COLUMN(基本資料填寫!CU7),0),"")</f>
        <v/>
      </c>
      <c r="M9" s="115" t="str">
        <f>IFERROR(VLOOKUP(基本資料填寫!$C$1&amp;"-"&amp;ROW(AU6),基本資料填寫!$C:$DU,COLUMN(基本資料填寫!CS7),0),"")</f>
        <v/>
      </c>
      <c r="N9" s="115" t="str">
        <f>IFERROR(VLOOKUP(基本資料填寫!$C$1&amp;"-"&amp;ROW(AV6),基本資料填寫!$C:$DU,COLUMN(基本資料填寫!CT7),0),"")</f>
        <v/>
      </c>
      <c r="O9" s="115" t="str">
        <f>IFERROR(VLOOKUP(基本資料填寫!$C$1&amp;"-"&amp;ROW(N6),基本資料填寫!$C:$DU,COLUMN(基本資料填寫!V7),0),"")</f>
        <v/>
      </c>
      <c r="P9" s="115" t="str">
        <f>IFERROR(VLOOKUP(基本資料填寫!$C$1&amp;"-"&amp;ROW(AT6),基本資料填寫!$C:$DU,COLUMN(基本資料填寫!CR7),0),"")</f>
        <v/>
      </c>
      <c r="Q9" s="115" t="str">
        <f>IFERROR(VLOOKUP(基本資料填寫!$C$1&amp;"-"&amp;ROW(AQ6),基本資料填寫!$C:$DU,COLUMN(基本資料填寫!CO7),0),"")</f>
        <v/>
      </c>
      <c r="R9" s="99" t="str">
        <f>IFERROR(VLOOKUP(基本資料填寫!$C$1&amp;"-"&amp;ROW(Y6),基本資料填寫!$C:$DU,COLUMN(基本資料填寫!AG7),0),"")</f>
        <v/>
      </c>
      <c r="S9" s="99" t="str">
        <f>IFERROR(VLOOKUP(基本資料填寫!$C$1&amp;"-"&amp;ROW(Z6),基本資料填寫!$C:$DU,COLUMN(基本資料填寫!AH7),0),"")</f>
        <v/>
      </c>
      <c r="AB9" s="115" t="str">
        <f>IFERROR(VLOOKUP(基本資料填寫!$C$1&amp;"-"&amp;ROW(BL6),基本資料填寫!$C:$DU,COLUMN(基本資料填寫!DK7),0),"")</f>
        <v/>
      </c>
      <c r="BG9" s="115" t="str">
        <f>IFERROR(VLOOKUP(基本資料填寫!$C$1&amp;"-"&amp;ROW(E6),基本資料填寫!$C:$DU,COLUMN(基本資料填寫!M7),0),"")</f>
        <v/>
      </c>
      <c r="BU9" s="115" t="str">
        <f>IFERROR(VLOOKUP(基本資料填寫!$C$1&amp;"-"&amp;ROW(O6),基本資料填寫!$C:$DU,COLUMN(基本資料填寫!W7),0),"")</f>
        <v/>
      </c>
      <c r="BV9" s="99" t="str">
        <f>IFERROR(VLOOKUP(基本資料填寫!$C$1&amp;"-"&amp;ROW(AA6),基本資料填寫!$C:$DU,COLUMN(基本資料填寫!AI7),0),"")</f>
        <v/>
      </c>
    </row>
    <row r="10" spans="1:76" ht="16.2" x14ac:dyDescent="0.3">
      <c r="A10" s="207"/>
      <c r="B10" s="114" t="str">
        <f>IF(I10="","",COUNTA($I$4:I10))</f>
        <v/>
      </c>
      <c r="C10" s="114" t="str">
        <f>IFERROR(VLOOKUP(基本資料填寫!$C$1&amp;"-"&amp;ROW(X7),基本資料填寫!$C:$DU,COLUMN(基本資料填寫!BV8),0),"")</f>
        <v/>
      </c>
      <c r="D10" s="99" t="str">
        <f>IFERROR(VLOOKUP(基本資料填寫!$C$1&amp;"-"&amp;ROW(D7),基本資料填寫!$C:$DU,COLUMN(基本資料填寫!L8),0),"")</f>
        <v/>
      </c>
      <c r="E10" s="115" t="str">
        <f>IFERROR(VLOOKUP(基本資料填寫!$C$1&amp;"-"&amp;ROW(AP7),基本資料填寫!$C:$DU,COLUMN(基本資料填寫!CN8),0),"")</f>
        <v/>
      </c>
      <c r="F10" s="114" t="str">
        <f>IFERROR(VLOOKUP(基本資料填寫!$C$1&amp;"-"&amp;ROW(I7),基本資料填寫!$C:$DU,COLUMN(基本資料填寫!Q8),0),"")</f>
        <v/>
      </c>
      <c r="G10" s="114" t="str">
        <f>IFERROR(VLOOKUP(基本資料填寫!$C$1&amp;"-"&amp;ROW(L7),基本資料填寫!$C:$DU,COLUMN(基本資料填寫!T8),0),"")</f>
        <v/>
      </c>
      <c r="H10" s="114" t="str">
        <f>IFERROR(VLOOKUP(基本資料填寫!$C$1&amp;"-"&amp;ROW(F7),基本資料填寫!$C:$DU,COLUMN(基本資料填寫!N8),0),"")</f>
        <v/>
      </c>
      <c r="I10" s="114" t="str">
        <f>IFERROR(VLOOKUP(基本資料填寫!$C$1&amp;"-"&amp;ROW(G7),基本資料填寫!$C:$DU,COLUMN(基本資料填寫!O8),0),"")</f>
        <v/>
      </c>
      <c r="J10" s="114" t="str">
        <f>IFERROR(VLOOKUP(基本資料填寫!$C$1&amp;"-"&amp;ROW(E7),基本資料填寫!$C:$DU,COLUMN(基本資料填寫!M8),0),"")</f>
        <v/>
      </c>
      <c r="K10" s="99" t="str">
        <f>IFERROR(VLOOKUP(基本資料填寫!$C$1&amp;"-"&amp;ROW(X7),基本資料填寫!$C:$DU,COLUMN(基本資料填寫!AF8),0),"")</f>
        <v/>
      </c>
      <c r="L10" s="115" t="str">
        <f>IFERROR(VLOOKUP(基本資料填寫!$C$1&amp;"-"&amp;ROW(AW7),基本資料填寫!$C:$DU,COLUMN(基本資料填寫!CU8),0),"")</f>
        <v/>
      </c>
      <c r="M10" s="115" t="str">
        <f>IFERROR(VLOOKUP(基本資料填寫!$C$1&amp;"-"&amp;ROW(AU7),基本資料填寫!$C:$DU,COLUMN(基本資料填寫!CS8),0),"")</f>
        <v/>
      </c>
      <c r="N10" s="115" t="str">
        <f>IFERROR(VLOOKUP(基本資料填寫!$C$1&amp;"-"&amp;ROW(AV7),基本資料填寫!$C:$DU,COLUMN(基本資料填寫!CT8),0),"")</f>
        <v/>
      </c>
      <c r="O10" s="115" t="str">
        <f>IFERROR(VLOOKUP(基本資料填寫!$C$1&amp;"-"&amp;ROW(N7),基本資料填寫!$C:$DU,COLUMN(基本資料填寫!V8),0),"")</f>
        <v/>
      </c>
      <c r="P10" s="115" t="str">
        <f>IFERROR(VLOOKUP(基本資料填寫!$C$1&amp;"-"&amp;ROW(AT7),基本資料填寫!$C:$DU,COLUMN(基本資料填寫!CR8),0),"")</f>
        <v/>
      </c>
      <c r="Q10" s="115" t="str">
        <f>IFERROR(VLOOKUP(基本資料填寫!$C$1&amp;"-"&amp;ROW(AQ7),基本資料填寫!$C:$DU,COLUMN(基本資料填寫!CO8),0),"")</f>
        <v/>
      </c>
      <c r="R10" s="99" t="str">
        <f>IFERROR(VLOOKUP(基本資料填寫!$C$1&amp;"-"&amp;ROW(Y7),基本資料填寫!$C:$DU,COLUMN(基本資料填寫!AG8),0),"")</f>
        <v/>
      </c>
      <c r="S10" s="99" t="str">
        <f>IFERROR(VLOOKUP(基本資料填寫!$C$1&amp;"-"&amp;ROW(Z7),基本資料填寫!$C:$DU,COLUMN(基本資料填寫!AH8),0),"")</f>
        <v/>
      </c>
      <c r="AB10" s="115" t="str">
        <f>IFERROR(VLOOKUP(基本資料填寫!$C$1&amp;"-"&amp;ROW(BL7),基本資料填寫!$C:$DU,COLUMN(基本資料填寫!DK8),0),"")</f>
        <v/>
      </c>
      <c r="BG10" s="115" t="str">
        <f>IFERROR(VLOOKUP(基本資料填寫!$C$1&amp;"-"&amp;ROW(E7),基本資料填寫!$C:$DU,COLUMN(基本資料填寫!M8),0),"")</f>
        <v/>
      </c>
      <c r="BU10" s="115" t="str">
        <f>IFERROR(VLOOKUP(基本資料填寫!$C$1&amp;"-"&amp;ROW(O7),基本資料填寫!$C:$DU,COLUMN(基本資料填寫!W8),0),"")</f>
        <v/>
      </c>
      <c r="BV10" s="99" t="str">
        <f>IFERROR(VLOOKUP(基本資料填寫!$C$1&amp;"-"&amp;ROW(AA7),基本資料填寫!$C:$DU,COLUMN(基本資料填寫!AI8),0),"")</f>
        <v/>
      </c>
    </row>
    <row r="11" spans="1:76" ht="16.2" x14ac:dyDescent="0.3">
      <c r="A11" s="207"/>
      <c r="B11" s="114" t="str">
        <f>IF(I11="","",COUNTA($I$4:I11))</f>
        <v/>
      </c>
      <c r="C11" s="114" t="str">
        <f>IFERROR(VLOOKUP(基本資料填寫!$C$1&amp;"-"&amp;ROW(X8),基本資料填寫!$C:$DU,COLUMN(基本資料填寫!BV9),0),"")</f>
        <v/>
      </c>
      <c r="D11" s="99" t="str">
        <f>IFERROR(VLOOKUP(基本資料填寫!$C$1&amp;"-"&amp;ROW(D8),基本資料填寫!$C:$DU,COLUMN(基本資料填寫!L9),0),"")</f>
        <v/>
      </c>
      <c r="E11" s="115" t="str">
        <f>IFERROR(VLOOKUP(基本資料填寫!$C$1&amp;"-"&amp;ROW(AP8),基本資料填寫!$C:$DU,COLUMN(基本資料填寫!CN9),0),"")</f>
        <v/>
      </c>
      <c r="F11" s="114" t="str">
        <f>IFERROR(VLOOKUP(基本資料填寫!$C$1&amp;"-"&amp;ROW(I8),基本資料填寫!$C:$DU,COLUMN(基本資料填寫!Q9),0),"")</f>
        <v/>
      </c>
      <c r="G11" s="114" t="str">
        <f>IFERROR(VLOOKUP(基本資料填寫!$C$1&amp;"-"&amp;ROW(L8),基本資料填寫!$C:$DU,COLUMN(基本資料填寫!T9),0),"")</f>
        <v/>
      </c>
      <c r="H11" s="114" t="str">
        <f>IFERROR(VLOOKUP(基本資料填寫!$C$1&amp;"-"&amp;ROW(F8),基本資料填寫!$C:$DU,COLUMN(基本資料填寫!N9),0),"")</f>
        <v/>
      </c>
      <c r="I11" s="114" t="str">
        <f>IFERROR(VLOOKUP(基本資料填寫!$C$1&amp;"-"&amp;ROW(G8),基本資料填寫!$C:$DU,COLUMN(基本資料填寫!O9),0),"")</f>
        <v/>
      </c>
      <c r="J11" s="114" t="str">
        <f>IFERROR(VLOOKUP(基本資料填寫!$C$1&amp;"-"&amp;ROW(E8),基本資料填寫!$C:$DU,COLUMN(基本資料填寫!M9),0),"")</f>
        <v/>
      </c>
      <c r="K11" s="99" t="str">
        <f>IFERROR(VLOOKUP(基本資料填寫!$C$1&amp;"-"&amp;ROW(X8),基本資料填寫!$C:$DU,COLUMN(基本資料填寫!AF9),0),"")</f>
        <v/>
      </c>
      <c r="L11" s="115" t="str">
        <f>IFERROR(VLOOKUP(基本資料填寫!$C$1&amp;"-"&amp;ROW(AW8),基本資料填寫!$C:$DU,COLUMN(基本資料填寫!CU9),0),"")</f>
        <v/>
      </c>
      <c r="M11" s="115" t="str">
        <f>IFERROR(VLOOKUP(基本資料填寫!$C$1&amp;"-"&amp;ROW(AU8),基本資料填寫!$C:$DU,COLUMN(基本資料填寫!CS9),0),"")</f>
        <v/>
      </c>
      <c r="N11" s="115" t="str">
        <f>IFERROR(VLOOKUP(基本資料填寫!$C$1&amp;"-"&amp;ROW(AV8),基本資料填寫!$C:$DU,COLUMN(基本資料填寫!CT9),0),"")</f>
        <v/>
      </c>
      <c r="O11" s="115" t="str">
        <f>IFERROR(VLOOKUP(基本資料填寫!$C$1&amp;"-"&amp;ROW(N8),基本資料填寫!$C:$DU,COLUMN(基本資料填寫!V9),0),"")</f>
        <v/>
      </c>
      <c r="P11" s="115" t="str">
        <f>IFERROR(VLOOKUP(基本資料填寫!$C$1&amp;"-"&amp;ROW(AT8),基本資料填寫!$C:$DU,COLUMN(基本資料填寫!CR9),0),"")</f>
        <v/>
      </c>
      <c r="Q11" s="115" t="str">
        <f>IFERROR(VLOOKUP(基本資料填寫!$C$1&amp;"-"&amp;ROW(AQ8),基本資料填寫!$C:$DU,COLUMN(基本資料填寫!CO9),0),"")</f>
        <v/>
      </c>
      <c r="R11" s="99" t="str">
        <f>IFERROR(VLOOKUP(基本資料填寫!$C$1&amp;"-"&amp;ROW(Y8),基本資料填寫!$C:$DU,COLUMN(基本資料填寫!AG9),0),"")</f>
        <v/>
      </c>
      <c r="S11" s="99" t="str">
        <f>IFERROR(VLOOKUP(基本資料填寫!$C$1&amp;"-"&amp;ROW(Z8),基本資料填寫!$C:$DU,COLUMN(基本資料填寫!AH9),0),"")</f>
        <v/>
      </c>
      <c r="AB11" s="115" t="str">
        <f>IFERROR(VLOOKUP(基本資料填寫!$C$1&amp;"-"&amp;ROW(BL8),基本資料填寫!$C:$DU,COLUMN(基本資料填寫!DK9),0),"")</f>
        <v/>
      </c>
      <c r="BG11" s="115" t="str">
        <f>IFERROR(VLOOKUP(基本資料填寫!$C$1&amp;"-"&amp;ROW(E8),基本資料填寫!$C:$DU,COLUMN(基本資料填寫!M9),0),"")</f>
        <v/>
      </c>
      <c r="BU11" s="115" t="str">
        <f>IFERROR(VLOOKUP(基本資料填寫!$C$1&amp;"-"&amp;ROW(O8),基本資料填寫!$C:$DU,COLUMN(基本資料填寫!W9),0),"")</f>
        <v/>
      </c>
      <c r="BV11" s="99" t="str">
        <f>IFERROR(VLOOKUP(基本資料填寫!$C$1&amp;"-"&amp;ROW(AA8),基本資料填寫!$C:$DU,COLUMN(基本資料填寫!AI9),0),"")</f>
        <v/>
      </c>
    </row>
    <row r="12" spans="1:76" ht="16.2" x14ac:dyDescent="0.3">
      <c r="A12" s="207"/>
      <c r="B12" s="114" t="str">
        <f>IF(I12="","",COUNTA($I$4:I12))</f>
        <v/>
      </c>
      <c r="C12" s="114" t="str">
        <f>IFERROR(VLOOKUP(基本資料填寫!$C$1&amp;"-"&amp;ROW(X9),基本資料填寫!$C:$DU,COLUMN(基本資料填寫!BV10),0),"")</f>
        <v/>
      </c>
      <c r="D12" s="99" t="str">
        <f>IFERROR(VLOOKUP(基本資料填寫!$C$1&amp;"-"&amp;ROW(D9),基本資料填寫!$C:$DU,COLUMN(基本資料填寫!L10),0),"")</f>
        <v/>
      </c>
      <c r="E12" s="115" t="str">
        <f>IFERROR(VLOOKUP(基本資料填寫!$C$1&amp;"-"&amp;ROW(AP9),基本資料填寫!$C:$DU,COLUMN(基本資料填寫!CN10),0),"")</f>
        <v/>
      </c>
      <c r="F12" s="114" t="str">
        <f>IFERROR(VLOOKUP(基本資料填寫!$C$1&amp;"-"&amp;ROW(I9),基本資料填寫!$C:$DU,COLUMN(基本資料填寫!Q10),0),"")</f>
        <v/>
      </c>
      <c r="G12" s="114" t="str">
        <f>IFERROR(VLOOKUP(基本資料填寫!$C$1&amp;"-"&amp;ROW(L9),基本資料填寫!$C:$DU,COLUMN(基本資料填寫!T10),0),"")</f>
        <v/>
      </c>
      <c r="H12" s="114" t="str">
        <f>IFERROR(VLOOKUP(基本資料填寫!$C$1&amp;"-"&amp;ROW(F9),基本資料填寫!$C:$DU,COLUMN(基本資料填寫!N10),0),"")</f>
        <v/>
      </c>
      <c r="I12" s="114" t="str">
        <f>IFERROR(VLOOKUP(基本資料填寫!$C$1&amp;"-"&amp;ROW(G9),基本資料填寫!$C:$DU,COLUMN(基本資料填寫!O10),0),"")</f>
        <v/>
      </c>
      <c r="J12" s="114" t="str">
        <f>IFERROR(VLOOKUP(基本資料填寫!$C$1&amp;"-"&amp;ROW(E9),基本資料填寫!$C:$DU,COLUMN(基本資料填寫!M10),0),"")</f>
        <v/>
      </c>
      <c r="K12" s="99" t="str">
        <f>IFERROR(VLOOKUP(基本資料填寫!$C$1&amp;"-"&amp;ROW(X9),基本資料填寫!$C:$DU,COLUMN(基本資料填寫!AF10),0),"")</f>
        <v/>
      </c>
      <c r="L12" s="115" t="str">
        <f>IFERROR(VLOOKUP(基本資料填寫!$C$1&amp;"-"&amp;ROW(AW9),基本資料填寫!$C:$DU,COLUMN(基本資料填寫!CU10),0),"")</f>
        <v/>
      </c>
      <c r="M12" s="115" t="str">
        <f>IFERROR(VLOOKUP(基本資料填寫!$C$1&amp;"-"&amp;ROW(AU9),基本資料填寫!$C:$DU,COLUMN(基本資料填寫!CS10),0),"")</f>
        <v/>
      </c>
      <c r="N12" s="115" t="str">
        <f>IFERROR(VLOOKUP(基本資料填寫!$C$1&amp;"-"&amp;ROW(AV9),基本資料填寫!$C:$DU,COLUMN(基本資料填寫!CT10),0),"")</f>
        <v/>
      </c>
      <c r="O12" s="115" t="str">
        <f>IFERROR(VLOOKUP(基本資料填寫!$C$1&amp;"-"&amp;ROW(N9),基本資料填寫!$C:$DU,COLUMN(基本資料填寫!V10),0),"")</f>
        <v/>
      </c>
      <c r="P12" s="115" t="str">
        <f>IFERROR(VLOOKUP(基本資料填寫!$C$1&amp;"-"&amp;ROW(AT9),基本資料填寫!$C:$DU,COLUMN(基本資料填寫!CR10),0),"")</f>
        <v/>
      </c>
      <c r="Q12" s="115" t="str">
        <f>IFERROR(VLOOKUP(基本資料填寫!$C$1&amp;"-"&amp;ROW(AQ9),基本資料填寫!$C:$DU,COLUMN(基本資料填寫!CO10),0),"")</f>
        <v/>
      </c>
      <c r="R12" s="99" t="str">
        <f>IFERROR(VLOOKUP(基本資料填寫!$C$1&amp;"-"&amp;ROW(Y9),基本資料填寫!$C:$DU,COLUMN(基本資料填寫!AG10),0),"")</f>
        <v/>
      </c>
      <c r="S12" s="99" t="str">
        <f>IFERROR(VLOOKUP(基本資料填寫!$C$1&amp;"-"&amp;ROW(Z9),基本資料填寫!$C:$DU,COLUMN(基本資料填寫!AH10),0),"")</f>
        <v/>
      </c>
      <c r="AB12" s="115" t="str">
        <f>IFERROR(VLOOKUP(基本資料填寫!$C$1&amp;"-"&amp;ROW(BL9),基本資料填寫!$C:$DU,COLUMN(基本資料填寫!DK10),0),"")</f>
        <v/>
      </c>
      <c r="BG12" s="115" t="str">
        <f>IFERROR(VLOOKUP(基本資料填寫!$C$1&amp;"-"&amp;ROW(E9),基本資料填寫!$C:$DU,COLUMN(基本資料填寫!M10),0),"")</f>
        <v/>
      </c>
      <c r="BU12" s="115" t="str">
        <f>IFERROR(VLOOKUP(基本資料填寫!$C$1&amp;"-"&amp;ROW(O9),基本資料填寫!$C:$DU,COLUMN(基本資料填寫!W10),0),"")</f>
        <v/>
      </c>
      <c r="BV12" s="99" t="str">
        <f>IFERROR(VLOOKUP(基本資料填寫!$C$1&amp;"-"&amp;ROW(AA9),基本資料填寫!$C:$DU,COLUMN(基本資料填寫!AI10),0),"")</f>
        <v/>
      </c>
    </row>
    <row r="13" spans="1:76" ht="16.2" x14ac:dyDescent="0.3">
      <c r="A13" s="207"/>
      <c r="B13" s="114" t="str">
        <f>IF(I13="","",COUNTA($I$4:I13))</f>
        <v/>
      </c>
      <c r="C13" s="114" t="str">
        <f>IFERROR(VLOOKUP(基本資料填寫!$C$1&amp;"-"&amp;ROW(X10),基本資料填寫!$C:$DU,COLUMN(基本資料填寫!BV11),0),"")</f>
        <v/>
      </c>
      <c r="D13" s="99" t="str">
        <f>IFERROR(VLOOKUP(基本資料填寫!$C$1&amp;"-"&amp;ROW(D10),基本資料填寫!$C:$DU,COLUMN(基本資料填寫!L11),0),"")</f>
        <v/>
      </c>
      <c r="E13" s="115" t="str">
        <f>IFERROR(VLOOKUP(基本資料填寫!$C$1&amp;"-"&amp;ROW(AP10),基本資料填寫!$C:$DU,COLUMN(基本資料填寫!CN11),0),"")</f>
        <v/>
      </c>
      <c r="F13" s="114" t="str">
        <f>IFERROR(VLOOKUP(基本資料填寫!$C$1&amp;"-"&amp;ROW(I10),基本資料填寫!$C:$DU,COLUMN(基本資料填寫!Q11),0),"")</f>
        <v/>
      </c>
      <c r="G13" s="114" t="str">
        <f>IFERROR(VLOOKUP(基本資料填寫!$C$1&amp;"-"&amp;ROW(L10),基本資料填寫!$C:$DU,COLUMN(基本資料填寫!T11),0),"")</f>
        <v/>
      </c>
      <c r="H13" s="114" t="str">
        <f>IFERROR(VLOOKUP(基本資料填寫!$C$1&amp;"-"&amp;ROW(F10),基本資料填寫!$C:$DU,COLUMN(基本資料填寫!N11),0),"")</f>
        <v/>
      </c>
      <c r="I13" s="114" t="str">
        <f>IFERROR(VLOOKUP(基本資料填寫!$C$1&amp;"-"&amp;ROW(G10),基本資料填寫!$C:$DU,COLUMN(基本資料填寫!O11),0),"")</f>
        <v/>
      </c>
      <c r="J13" s="114" t="str">
        <f>IFERROR(VLOOKUP(基本資料填寫!$C$1&amp;"-"&amp;ROW(E10),基本資料填寫!$C:$DU,COLUMN(基本資料填寫!M11),0),"")</f>
        <v/>
      </c>
      <c r="K13" s="99" t="str">
        <f>IFERROR(VLOOKUP(基本資料填寫!$C$1&amp;"-"&amp;ROW(X10),基本資料填寫!$C:$DU,COLUMN(基本資料填寫!AF11),0),"")</f>
        <v/>
      </c>
      <c r="L13" s="115" t="str">
        <f>IFERROR(VLOOKUP(基本資料填寫!$C$1&amp;"-"&amp;ROW(AW10),基本資料填寫!$C:$DU,COLUMN(基本資料填寫!CU11),0),"")</f>
        <v/>
      </c>
      <c r="M13" s="115" t="str">
        <f>IFERROR(VLOOKUP(基本資料填寫!$C$1&amp;"-"&amp;ROW(AU10),基本資料填寫!$C:$DU,COLUMN(基本資料填寫!CS11),0),"")</f>
        <v/>
      </c>
      <c r="N13" s="115" t="str">
        <f>IFERROR(VLOOKUP(基本資料填寫!$C$1&amp;"-"&amp;ROW(AV10),基本資料填寫!$C:$DU,COLUMN(基本資料填寫!CT11),0),"")</f>
        <v/>
      </c>
      <c r="O13" s="115" t="str">
        <f>IFERROR(VLOOKUP(基本資料填寫!$C$1&amp;"-"&amp;ROW(N10),基本資料填寫!$C:$DU,COLUMN(基本資料填寫!V11),0),"")</f>
        <v/>
      </c>
      <c r="P13" s="115" t="str">
        <f>IFERROR(VLOOKUP(基本資料填寫!$C$1&amp;"-"&amp;ROW(AT10),基本資料填寫!$C:$DU,COLUMN(基本資料填寫!CR11),0),"")</f>
        <v/>
      </c>
      <c r="Q13" s="115" t="str">
        <f>IFERROR(VLOOKUP(基本資料填寫!$C$1&amp;"-"&amp;ROW(AQ10),基本資料填寫!$C:$DU,COLUMN(基本資料填寫!CO11),0),"")</f>
        <v/>
      </c>
      <c r="R13" s="99" t="str">
        <f>IFERROR(VLOOKUP(基本資料填寫!$C$1&amp;"-"&amp;ROW(Y10),基本資料填寫!$C:$DU,COLUMN(基本資料填寫!AG11),0),"")</f>
        <v/>
      </c>
      <c r="S13" s="99" t="str">
        <f>IFERROR(VLOOKUP(基本資料填寫!$C$1&amp;"-"&amp;ROW(Z10),基本資料填寫!$C:$DU,COLUMN(基本資料填寫!AH11),0),"")</f>
        <v/>
      </c>
      <c r="AB13" s="115" t="str">
        <f>IFERROR(VLOOKUP(基本資料填寫!$C$1&amp;"-"&amp;ROW(BL10),基本資料填寫!$C:$DU,COLUMN(基本資料填寫!DK11),0),"")</f>
        <v/>
      </c>
      <c r="BG13" s="115" t="str">
        <f>IFERROR(VLOOKUP(基本資料填寫!$C$1&amp;"-"&amp;ROW(E10),基本資料填寫!$C:$DU,COLUMN(基本資料填寫!M11),0),"")</f>
        <v/>
      </c>
      <c r="BU13" s="115" t="str">
        <f>IFERROR(VLOOKUP(基本資料填寫!$C$1&amp;"-"&amp;ROW(O10),基本資料填寫!$C:$DU,COLUMN(基本資料填寫!W11),0),"")</f>
        <v/>
      </c>
      <c r="BV13" s="99" t="str">
        <f>IFERROR(VLOOKUP(基本資料填寫!$C$1&amp;"-"&amp;ROW(AA10),基本資料填寫!$C:$DU,COLUMN(基本資料填寫!AI11),0),"")</f>
        <v/>
      </c>
    </row>
    <row r="14" spans="1:76" ht="16.2" x14ac:dyDescent="0.3">
      <c r="A14" s="207"/>
      <c r="B14" s="114" t="str">
        <f>IF(I14="","",COUNTA($I$4:I14))</f>
        <v/>
      </c>
      <c r="C14" s="114" t="str">
        <f>IFERROR(VLOOKUP(基本資料填寫!$C$1&amp;"-"&amp;ROW(X11),基本資料填寫!$C:$DU,COLUMN(基本資料填寫!BV12),0),"")</f>
        <v/>
      </c>
      <c r="D14" s="99" t="str">
        <f>IFERROR(VLOOKUP(基本資料填寫!$C$1&amp;"-"&amp;ROW(D11),基本資料填寫!$C:$DU,COLUMN(基本資料填寫!L12),0),"")</f>
        <v/>
      </c>
      <c r="E14" s="115" t="str">
        <f>IFERROR(VLOOKUP(基本資料填寫!$C$1&amp;"-"&amp;ROW(AP11),基本資料填寫!$C:$DU,COLUMN(基本資料填寫!CN12),0),"")</f>
        <v/>
      </c>
      <c r="F14" s="114" t="str">
        <f>IFERROR(VLOOKUP(基本資料填寫!$C$1&amp;"-"&amp;ROW(I11),基本資料填寫!$C:$DU,COLUMN(基本資料填寫!Q12),0),"")</f>
        <v/>
      </c>
      <c r="G14" s="114" t="str">
        <f>IFERROR(VLOOKUP(基本資料填寫!$C$1&amp;"-"&amp;ROW(L11),基本資料填寫!$C:$DU,COLUMN(基本資料填寫!T12),0),"")</f>
        <v/>
      </c>
      <c r="H14" s="114" t="str">
        <f>IFERROR(VLOOKUP(基本資料填寫!$C$1&amp;"-"&amp;ROW(F11),基本資料填寫!$C:$DU,COLUMN(基本資料填寫!N12),0),"")</f>
        <v/>
      </c>
      <c r="I14" s="114" t="str">
        <f>IFERROR(VLOOKUP(基本資料填寫!$C$1&amp;"-"&amp;ROW(G11),基本資料填寫!$C:$DU,COLUMN(基本資料填寫!O12),0),"")</f>
        <v/>
      </c>
      <c r="J14" s="114" t="str">
        <f>IFERROR(VLOOKUP(基本資料填寫!$C$1&amp;"-"&amp;ROW(E11),基本資料填寫!$C:$DU,COLUMN(基本資料填寫!M12),0),"")</f>
        <v/>
      </c>
      <c r="K14" s="99" t="str">
        <f>IFERROR(VLOOKUP(基本資料填寫!$C$1&amp;"-"&amp;ROW(X11),基本資料填寫!$C:$DU,COLUMN(基本資料填寫!AF12),0),"")</f>
        <v/>
      </c>
      <c r="L14" s="115" t="str">
        <f>IFERROR(VLOOKUP(基本資料填寫!$C$1&amp;"-"&amp;ROW(AW11),基本資料填寫!$C:$DU,COLUMN(基本資料填寫!CU12),0),"")</f>
        <v/>
      </c>
      <c r="M14" s="115" t="str">
        <f>IFERROR(VLOOKUP(基本資料填寫!$C$1&amp;"-"&amp;ROW(AU11),基本資料填寫!$C:$DU,COLUMN(基本資料填寫!CS12),0),"")</f>
        <v/>
      </c>
      <c r="N14" s="115" t="str">
        <f>IFERROR(VLOOKUP(基本資料填寫!$C$1&amp;"-"&amp;ROW(AV11),基本資料填寫!$C:$DU,COLUMN(基本資料填寫!CT12),0),"")</f>
        <v/>
      </c>
      <c r="O14" s="115" t="str">
        <f>IFERROR(VLOOKUP(基本資料填寫!$C$1&amp;"-"&amp;ROW(N11),基本資料填寫!$C:$DU,COLUMN(基本資料填寫!V12),0),"")</f>
        <v/>
      </c>
      <c r="P14" s="115" t="str">
        <f>IFERROR(VLOOKUP(基本資料填寫!$C$1&amp;"-"&amp;ROW(AT11),基本資料填寫!$C:$DU,COLUMN(基本資料填寫!CR12),0),"")</f>
        <v/>
      </c>
      <c r="Q14" s="115" t="str">
        <f>IFERROR(VLOOKUP(基本資料填寫!$C$1&amp;"-"&amp;ROW(AQ11),基本資料填寫!$C:$DU,COLUMN(基本資料填寫!CO12),0),"")</f>
        <v/>
      </c>
      <c r="R14" s="99" t="str">
        <f>IFERROR(VLOOKUP(基本資料填寫!$C$1&amp;"-"&amp;ROW(Y11),基本資料填寫!$C:$DU,COLUMN(基本資料填寫!AG12),0),"")</f>
        <v/>
      </c>
      <c r="S14" s="99" t="str">
        <f>IFERROR(VLOOKUP(基本資料填寫!$C$1&amp;"-"&amp;ROW(Z11),基本資料填寫!$C:$DU,COLUMN(基本資料填寫!AH12),0),"")</f>
        <v/>
      </c>
      <c r="AB14" s="115" t="str">
        <f>IFERROR(VLOOKUP(基本資料填寫!$C$1&amp;"-"&amp;ROW(BL11),基本資料填寫!$C:$DU,COLUMN(基本資料填寫!DK12),0),"")</f>
        <v/>
      </c>
      <c r="BG14" s="115" t="str">
        <f>IFERROR(VLOOKUP(基本資料填寫!$C$1&amp;"-"&amp;ROW(E11),基本資料填寫!$C:$DU,COLUMN(基本資料填寫!M12),0),"")</f>
        <v/>
      </c>
      <c r="BU14" s="115" t="str">
        <f>IFERROR(VLOOKUP(基本資料填寫!$C$1&amp;"-"&amp;ROW(O11),基本資料填寫!$C:$DU,COLUMN(基本資料填寫!W12),0),"")</f>
        <v/>
      </c>
      <c r="BV14" s="99" t="str">
        <f>IFERROR(VLOOKUP(基本資料填寫!$C$1&amp;"-"&amp;ROW(AA11),基本資料填寫!$C:$DU,COLUMN(基本資料填寫!AI12),0),"")</f>
        <v/>
      </c>
    </row>
    <row r="15" spans="1:76" ht="16.2" x14ac:dyDescent="0.3">
      <c r="A15" s="207"/>
      <c r="B15" s="114" t="str">
        <f>IF(I15="","",COUNTA($I$4:I15))</f>
        <v/>
      </c>
      <c r="C15" s="114" t="str">
        <f>IFERROR(VLOOKUP(基本資料填寫!$C$1&amp;"-"&amp;ROW(X12),基本資料填寫!$C:$DU,COLUMN(基本資料填寫!BV13),0),"")</f>
        <v/>
      </c>
      <c r="D15" s="99" t="str">
        <f>IFERROR(VLOOKUP(基本資料填寫!$C$1&amp;"-"&amp;ROW(D12),基本資料填寫!$C:$DU,COLUMN(基本資料填寫!L13),0),"")</f>
        <v/>
      </c>
      <c r="E15" s="115" t="str">
        <f>IFERROR(VLOOKUP(基本資料填寫!$C$1&amp;"-"&amp;ROW(AP12),基本資料填寫!$C:$DU,COLUMN(基本資料填寫!CN13),0),"")</f>
        <v/>
      </c>
      <c r="F15" s="114" t="str">
        <f>IFERROR(VLOOKUP(基本資料填寫!$C$1&amp;"-"&amp;ROW(I12),基本資料填寫!$C:$DU,COLUMN(基本資料填寫!Q13),0),"")</f>
        <v/>
      </c>
      <c r="G15" s="114" t="str">
        <f>IFERROR(VLOOKUP(基本資料填寫!$C$1&amp;"-"&amp;ROW(L12),基本資料填寫!$C:$DU,COLUMN(基本資料填寫!T13),0),"")</f>
        <v/>
      </c>
      <c r="H15" s="114" t="str">
        <f>IFERROR(VLOOKUP(基本資料填寫!$C$1&amp;"-"&amp;ROW(F12),基本資料填寫!$C:$DU,COLUMN(基本資料填寫!N13),0),"")</f>
        <v/>
      </c>
      <c r="I15" s="114" t="str">
        <f>IFERROR(VLOOKUP(基本資料填寫!$C$1&amp;"-"&amp;ROW(G12),基本資料填寫!$C:$DU,COLUMN(基本資料填寫!O13),0),"")</f>
        <v/>
      </c>
      <c r="J15" s="114" t="str">
        <f>IFERROR(VLOOKUP(基本資料填寫!$C$1&amp;"-"&amp;ROW(E12),基本資料填寫!$C:$DU,COLUMN(基本資料填寫!M13),0),"")</f>
        <v/>
      </c>
      <c r="K15" s="99" t="str">
        <f>IFERROR(VLOOKUP(基本資料填寫!$C$1&amp;"-"&amp;ROW(X12),基本資料填寫!$C:$DU,COLUMN(基本資料填寫!AF13),0),"")</f>
        <v/>
      </c>
      <c r="L15" s="115" t="str">
        <f>IFERROR(VLOOKUP(基本資料填寫!$C$1&amp;"-"&amp;ROW(AW12),基本資料填寫!$C:$DU,COLUMN(基本資料填寫!CU13),0),"")</f>
        <v/>
      </c>
      <c r="M15" s="115" t="str">
        <f>IFERROR(VLOOKUP(基本資料填寫!$C$1&amp;"-"&amp;ROW(AU12),基本資料填寫!$C:$DU,COLUMN(基本資料填寫!CS13),0),"")</f>
        <v/>
      </c>
      <c r="N15" s="115" t="str">
        <f>IFERROR(VLOOKUP(基本資料填寫!$C$1&amp;"-"&amp;ROW(AV12),基本資料填寫!$C:$DU,COLUMN(基本資料填寫!CT13),0),"")</f>
        <v/>
      </c>
      <c r="O15" s="115" t="str">
        <f>IFERROR(VLOOKUP(基本資料填寫!$C$1&amp;"-"&amp;ROW(N12),基本資料填寫!$C:$DU,COLUMN(基本資料填寫!V13),0),"")</f>
        <v/>
      </c>
      <c r="P15" s="115" t="str">
        <f>IFERROR(VLOOKUP(基本資料填寫!$C$1&amp;"-"&amp;ROW(AT12),基本資料填寫!$C:$DU,COLUMN(基本資料填寫!CR13),0),"")</f>
        <v/>
      </c>
      <c r="Q15" s="115" t="str">
        <f>IFERROR(VLOOKUP(基本資料填寫!$C$1&amp;"-"&amp;ROW(AQ12),基本資料填寫!$C:$DU,COLUMN(基本資料填寫!CO13),0),"")</f>
        <v/>
      </c>
      <c r="R15" s="99" t="str">
        <f>IFERROR(VLOOKUP(基本資料填寫!$C$1&amp;"-"&amp;ROW(Y12),基本資料填寫!$C:$DU,COLUMN(基本資料填寫!AG13),0),"")</f>
        <v/>
      </c>
      <c r="S15" s="99" t="str">
        <f>IFERROR(VLOOKUP(基本資料填寫!$C$1&amp;"-"&amp;ROW(Z12),基本資料填寫!$C:$DU,COLUMN(基本資料填寫!AH13),0),"")</f>
        <v/>
      </c>
      <c r="AB15" s="115" t="str">
        <f>IFERROR(VLOOKUP(基本資料填寫!$C$1&amp;"-"&amp;ROW(BL12),基本資料填寫!$C:$DU,COLUMN(基本資料填寫!DK13),0),"")</f>
        <v/>
      </c>
      <c r="BG15" s="115" t="str">
        <f>IFERROR(VLOOKUP(基本資料填寫!$C$1&amp;"-"&amp;ROW(E12),基本資料填寫!$C:$DU,COLUMN(基本資料填寫!M13),0),"")</f>
        <v/>
      </c>
      <c r="BU15" s="115" t="str">
        <f>IFERROR(VLOOKUP(基本資料填寫!$C$1&amp;"-"&amp;ROW(O12),基本資料填寫!$C:$DU,COLUMN(基本資料填寫!W13),0),"")</f>
        <v/>
      </c>
      <c r="BV15" s="99" t="str">
        <f>IFERROR(VLOOKUP(基本資料填寫!$C$1&amp;"-"&amp;ROW(AA12),基本資料填寫!$C:$DU,COLUMN(基本資料填寫!AI13),0),"")</f>
        <v/>
      </c>
    </row>
    <row r="16" spans="1:76" ht="16.2" x14ac:dyDescent="0.3">
      <c r="A16" s="207"/>
      <c r="B16" s="114" t="str">
        <f>IF(I16="","",COUNTA($I$4:I16))</f>
        <v/>
      </c>
      <c r="C16" s="114" t="str">
        <f>IFERROR(VLOOKUP(基本資料填寫!$C$1&amp;"-"&amp;ROW(X13),基本資料填寫!$C:$DU,COLUMN(基本資料填寫!BV14),0),"")</f>
        <v/>
      </c>
      <c r="D16" s="99" t="str">
        <f>IFERROR(VLOOKUP(基本資料填寫!$C$1&amp;"-"&amp;ROW(D13),基本資料填寫!$C:$DU,COLUMN(基本資料填寫!L14),0),"")</f>
        <v/>
      </c>
      <c r="E16" s="115" t="str">
        <f>IFERROR(VLOOKUP(基本資料填寫!$C$1&amp;"-"&amp;ROW(AP13),基本資料填寫!$C:$DU,COLUMN(基本資料填寫!CN14),0),"")</f>
        <v/>
      </c>
      <c r="F16" s="114" t="str">
        <f>IFERROR(VLOOKUP(基本資料填寫!$C$1&amp;"-"&amp;ROW(I13),基本資料填寫!$C:$DU,COLUMN(基本資料填寫!Q14),0),"")</f>
        <v/>
      </c>
      <c r="G16" s="114" t="str">
        <f>IFERROR(VLOOKUP(基本資料填寫!$C$1&amp;"-"&amp;ROW(L13),基本資料填寫!$C:$DU,COLUMN(基本資料填寫!T14),0),"")</f>
        <v/>
      </c>
      <c r="H16" s="114" t="str">
        <f>IFERROR(VLOOKUP(基本資料填寫!$C$1&amp;"-"&amp;ROW(F13),基本資料填寫!$C:$DU,COLUMN(基本資料填寫!N14),0),"")</f>
        <v/>
      </c>
      <c r="I16" s="114" t="str">
        <f>IFERROR(VLOOKUP(基本資料填寫!$C$1&amp;"-"&amp;ROW(G13),基本資料填寫!$C:$DU,COLUMN(基本資料填寫!O14),0),"")</f>
        <v/>
      </c>
      <c r="J16" s="114" t="str">
        <f>IFERROR(VLOOKUP(基本資料填寫!$C$1&amp;"-"&amp;ROW(E13),基本資料填寫!$C:$DU,COLUMN(基本資料填寫!M14),0),"")</f>
        <v/>
      </c>
      <c r="K16" s="99" t="str">
        <f>IFERROR(VLOOKUP(基本資料填寫!$C$1&amp;"-"&amp;ROW(X13),基本資料填寫!$C:$DU,COLUMN(基本資料填寫!AF14),0),"")</f>
        <v/>
      </c>
      <c r="L16" s="115" t="str">
        <f>IFERROR(VLOOKUP(基本資料填寫!$C$1&amp;"-"&amp;ROW(AW13),基本資料填寫!$C:$DU,COLUMN(基本資料填寫!CU14),0),"")</f>
        <v/>
      </c>
      <c r="M16" s="115" t="str">
        <f>IFERROR(VLOOKUP(基本資料填寫!$C$1&amp;"-"&amp;ROW(AU13),基本資料填寫!$C:$DU,COLUMN(基本資料填寫!CS14),0),"")</f>
        <v/>
      </c>
      <c r="N16" s="115" t="str">
        <f>IFERROR(VLOOKUP(基本資料填寫!$C$1&amp;"-"&amp;ROW(AV13),基本資料填寫!$C:$DU,COLUMN(基本資料填寫!CT14),0),"")</f>
        <v/>
      </c>
      <c r="O16" s="115" t="str">
        <f>IFERROR(VLOOKUP(基本資料填寫!$C$1&amp;"-"&amp;ROW(N13),基本資料填寫!$C:$DU,COLUMN(基本資料填寫!V14),0),"")</f>
        <v/>
      </c>
      <c r="P16" s="115" t="str">
        <f>IFERROR(VLOOKUP(基本資料填寫!$C$1&amp;"-"&amp;ROW(AT13),基本資料填寫!$C:$DU,COLUMN(基本資料填寫!CR14),0),"")</f>
        <v/>
      </c>
      <c r="Q16" s="115" t="str">
        <f>IFERROR(VLOOKUP(基本資料填寫!$C$1&amp;"-"&amp;ROW(AQ13),基本資料填寫!$C:$DU,COLUMN(基本資料填寫!CO14),0),"")</f>
        <v/>
      </c>
      <c r="R16" s="99" t="str">
        <f>IFERROR(VLOOKUP(基本資料填寫!$C$1&amp;"-"&amp;ROW(Y13),基本資料填寫!$C:$DU,COLUMN(基本資料填寫!AG14),0),"")</f>
        <v/>
      </c>
      <c r="S16" s="99" t="str">
        <f>IFERROR(VLOOKUP(基本資料填寫!$C$1&amp;"-"&amp;ROW(Z13),基本資料填寫!$C:$DU,COLUMN(基本資料填寫!AH14),0),"")</f>
        <v/>
      </c>
      <c r="AB16" s="115" t="str">
        <f>IFERROR(VLOOKUP(基本資料填寫!$C$1&amp;"-"&amp;ROW(BL13),基本資料填寫!$C:$DU,COLUMN(基本資料填寫!DK14),0),"")</f>
        <v/>
      </c>
      <c r="BG16" s="115" t="str">
        <f>IFERROR(VLOOKUP(基本資料填寫!$C$1&amp;"-"&amp;ROW(E13),基本資料填寫!$C:$DU,COLUMN(基本資料填寫!M14),0),"")</f>
        <v/>
      </c>
      <c r="BU16" s="115" t="str">
        <f>IFERROR(VLOOKUP(基本資料填寫!$C$1&amp;"-"&amp;ROW(O13),基本資料填寫!$C:$DU,COLUMN(基本資料填寫!W14),0),"")</f>
        <v/>
      </c>
      <c r="BV16" s="99" t="str">
        <f>IFERROR(VLOOKUP(基本資料填寫!$C$1&amp;"-"&amp;ROW(AA13),基本資料填寫!$C:$DU,COLUMN(基本資料填寫!AI14),0),"")</f>
        <v/>
      </c>
    </row>
    <row r="17" spans="1:74" ht="16.2" x14ac:dyDescent="0.3">
      <c r="A17" s="207"/>
      <c r="B17" s="114" t="str">
        <f>IF(I17="","",COUNTA($I$4:I17))</f>
        <v/>
      </c>
      <c r="C17" s="114" t="str">
        <f>IFERROR(VLOOKUP(基本資料填寫!$C$1&amp;"-"&amp;ROW(X14),基本資料填寫!$C:$DU,COLUMN(基本資料填寫!BV15),0),"")</f>
        <v/>
      </c>
      <c r="D17" s="99" t="str">
        <f>IFERROR(VLOOKUP(基本資料填寫!$C$1&amp;"-"&amp;ROW(D14),基本資料填寫!$C:$DU,COLUMN(基本資料填寫!L15),0),"")</f>
        <v/>
      </c>
      <c r="E17" s="115" t="str">
        <f>IFERROR(VLOOKUP(基本資料填寫!$C$1&amp;"-"&amp;ROW(AP14),基本資料填寫!$C:$DU,COLUMN(基本資料填寫!CN15),0),"")</f>
        <v/>
      </c>
      <c r="F17" s="114" t="str">
        <f>IFERROR(VLOOKUP(基本資料填寫!$C$1&amp;"-"&amp;ROW(I14),基本資料填寫!$C:$DU,COLUMN(基本資料填寫!Q15),0),"")</f>
        <v/>
      </c>
      <c r="G17" s="114" t="str">
        <f>IFERROR(VLOOKUP(基本資料填寫!$C$1&amp;"-"&amp;ROW(L14),基本資料填寫!$C:$DU,COLUMN(基本資料填寫!T15),0),"")</f>
        <v/>
      </c>
      <c r="H17" s="114" t="str">
        <f>IFERROR(VLOOKUP(基本資料填寫!$C$1&amp;"-"&amp;ROW(F14),基本資料填寫!$C:$DU,COLUMN(基本資料填寫!N15),0),"")</f>
        <v/>
      </c>
      <c r="I17" s="114" t="str">
        <f>IFERROR(VLOOKUP(基本資料填寫!$C$1&amp;"-"&amp;ROW(G14),基本資料填寫!$C:$DU,COLUMN(基本資料填寫!O15),0),"")</f>
        <v/>
      </c>
      <c r="J17" s="114" t="str">
        <f>IFERROR(VLOOKUP(基本資料填寫!$C$1&amp;"-"&amp;ROW(E14),基本資料填寫!$C:$DU,COLUMN(基本資料填寫!M15),0),"")</f>
        <v/>
      </c>
      <c r="K17" s="99" t="str">
        <f>IFERROR(VLOOKUP(基本資料填寫!$C$1&amp;"-"&amp;ROW(X14),基本資料填寫!$C:$DU,COLUMN(基本資料填寫!AF15),0),"")</f>
        <v/>
      </c>
      <c r="L17" s="115" t="str">
        <f>IFERROR(VLOOKUP(基本資料填寫!$C$1&amp;"-"&amp;ROW(AW14),基本資料填寫!$C:$DU,COLUMN(基本資料填寫!CU15),0),"")</f>
        <v/>
      </c>
      <c r="M17" s="115" t="str">
        <f>IFERROR(VLOOKUP(基本資料填寫!$C$1&amp;"-"&amp;ROW(AU14),基本資料填寫!$C:$DU,COLUMN(基本資料填寫!CS15),0),"")</f>
        <v/>
      </c>
      <c r="N17" s="115" t="str">
        <f>IFERROR(VLOOKUP(基本資料填寫!$C$1&amp;"-"&amp;ROW(AV14),基本資料填寫!$C:$DU,COLUMN(基本資料填寫!CT15),0),"")</f>
        <v/>
      </c>
      <c r="O17" s="115" t="str">
        <f>IFERROR(VLOOKUP(基本資料填寫!$C$1&amp;"-"&amp;ROW(N14),基本資料填寫!$C:$DU,COLUMN(基本資料填寫!V15),0),"")</f>
        <v/>
      </c>
      <c r="P17" s="115" t="str">
        <f>IFERROR(VLOOKUP(基本資料填寫!$C$1&amp;"-"&amp;ROW(AT14),基本資料填寫!$C:$DU,COLUMN(基本資料填寫!CR15),0),"")</f>
        <v/>
      </c>
      <c r="Q17" s="115" t="str">
        <f>IFERROR(VLOOKUP(基本資料填寫!$C$1&amp;"-"&amp;ROW(AQ14),基本資料填寫!$C:$DU,COLUMN(基本資料填寫!CO15),0),"")</f>
        <v/>
      </c>
      <c r="R17" s="99" t="str">
        <f>IFERROR(VLOOKUP(基本資料填寫!$C$1&amp;"-"&amp;ROW(Y14),基本資料填寫!$C:$DU,COLUMN(基本資料填寫!AG15),0),"")</f>
        <v/>
      </c>
      <c r="S17" s="99" t="str">
        <f>IFERROR(VLOOKUP(基本資料填寫!$C$1&amp;"-"&amp;ROW(Z14),基本資料填寫!$C:$DU,COLUMN(基本資料填寫!AH15),0),"")</f>
        <v/>
      </c>
      <c r="AB17" s="115" t="str">
        <f>IFERROR(VLOOKUP(基本資料填寫!$C$1&amp;"-"&amp;ROW(BL14),基本資料填寫!$C:$DU,COLUMN(基本資料填寫!DK15),0),"")</f>
        <v/>
      </c>
      <c r="BG17" s="115" t="str">
        <f>IFERROR(VLOOKUP(基本資料填寫!$C$1&amp;"-"&amp;ROW(E14),基本資料填寫!$C:$DU,COLUMN(基本資料填寫!M15),0),"")</f>
        <v/>
      </c>
      <c r="BU17" s="115" t="str">
        <f>IFERROR(VLOOKUP(基本資料填寫!$C$1&amp;"-"&amp;ROW(O14),基本資料填寫!$C:$DU,COLUMN(基本資料填寫!W15),0),"")</f>
        <v/>
      </c>
      <c r="BV17" s="99" t="str">
        <f>IFERROR(VLOOKUP(基本資料填寫!$C$1&amp;"-"&amp;ROW(AA14),基本資料填寫!$C:$DU,COLUMN(基本資料填寫!AI15),0),"")</f>
        <v/>
      </c>
    </row>
    <row r="18" spans="1:74" ht="16.2" x14ac:dyDescent="0.3">
      <c r="A18" s="207"/>
      <c r="B18" s="114" t="str">
        <f>IF(I18="","",COUNTA($I$4:I18))</f>
        <v/>
      </c>
      <c r="C18" s="114" t="str">
        <f>IFERROR(VLOOKUP(基本資料填寫!$C$1&amp;"-"&amp;ROW(X15),基本資料填寫!$C:$DU,COLUMN(基本資料填寫!BV16),0),"")</f>
        <v/>
      </c>
      <c r="D18" s="99" t="str">
        <f>IFERROR(VLOOKUP(基本資料填寫!$C$1&amp;"-"&amp;ROW(D15),基本資料填寫!$C:$DU,COLUMN(基本資料填寫!L16),0),"")</f>
        <v/>
      </c>
      <c r="E18" s="115" t="str">
        <f>IFERROR(VLOOKUP(基本資料填寫!$C$1&amp;"-"&amp;ROW(AP15),基本資料填寫!$C:$DU,COLUMN(基本資料填寫!CN16),0),"")</f>
        <v/>
      </c>
      <c r="F18" s="114" t="str">
        <f>IFERROR(VLOOKUP(基本資料填寫!$C$1&amp;"-"&amp;ROW(I15),基本資料填寫!$C:$DU,COLUMN(基本資料填寫!Q16),0),"")</f>
        <v/>
      </c>
      <c r="G18" s="114" t="str">
        <f>IFERROR(VLOOKUP(基本資料填寫!$C$1&amp;"-"&amp;ROW(L15),基本資料填寫!$C:$DU,COLUMN(基本資料填寫!T16),0),"")</f>
        <v/>
      </c>
      <c r="H18" s="114" t="str">
        <f>IFERROR(VLOOKUP(基本資料填寫!$C$1&amp;"-"&amp;ROW(F15),基本資料填寫!$C:$DU,COLUMN(基本資料填寫!N16),0),"")</f>
        <v/>
      </c>
      <c r="I18" s="114" t="str">
        <f>IFERROR(VLOOKUP(基本資料填寫!$C$1&amp;"-"&amp;ROW(G15),基本資料填寫!$C:$DU,COLUMN(基本資料填寫!O16),0),"")</f>
        <v/>
      </c>
      <c r="J18" s="114" t="str">
        <f>IFERROR(VLOOKUP(基本資料填寫!$C$1&amp;"-"&amp;ROW(E15),基本資料填寫!$C:$DU,COLUMN(基本資料填寫!M16),0),"")</f>
        <v/>
      </c>
      <c r="K18" s="99" t="str">
        <f>IFERROR(VLOOKUP(基本資料填寫!$C$1&amp;"-"&amp;ROW(X15),基本資料填寫!$C:$DU,COLUMN(基本資料填寫!AF16),0),"")</f>
        <v/>
      </c>
      <c r="L18" s="115" t="str">
        <f>IFERROR(VLOOKUP(基本資料填寫!$C$1&amp;"-"&amp;ROW(AW15),基本資料填寫!$C:$DU,COLUMN(基本資料填寫!CU16),0),"")</f>
        <v/>
      </c>
      <c r="M18" s="115" t="str">
        <f>IFERROR(VLOOKUP(基本資料填寫!$C$1&amp;"-"&amp;ROW(AU15),基本資料填寫!$C:$DU,COLUMN(基本資料填寫!CS16),0),"")</f>
        <v/>
      </c>
      <c r="N18" s="115" t="str">
        <f>IFERROR(VLOOKUP(基本資料填寫!$C$1&amp;"-"&amp;ROW(AV15),基本資料填寫!$C:$DU,COLUMN(基本資料填寫!CT16),0),"")</f>
        <v/>
      </c>
      <c r="O18" s="115" t="str">
        <f>IFERROR(VLOOKUP(基本資料填寫!$C$1&amp;"-"&amp;ROW(N15),基本資料填寫!$C:$DU,COLUMN(基本資料填寫!V16),0),"")</f>
        <v/>
      </c>
      <c r="P18" s="115" t="str">
        <f>IFERROR(VLOOKUP(基本資料填寫!$C$1&amp;"-"&amp;ROW(AT15),基本資料填寫!$C:$DU,COLUMN(基本資料填寫!CR16),0),"")</f>
        <v/>
      </c>
      <c r="Q18" s="115" t="str">
        <f>IFERROR(VLOOKUP(基本資料填寫!$C$1&amp;"-"&amp;ROW(AQ15),基本資料填寫!$C:$DU,COLUMN(基本資料填寫!CO16),0),"")</f>
        <v/>
      </c>
      <c r="R18" s="99" t="str">
        <f>IFERROR(VLOOKUP(基本資料填寫!$C$1&amp;"-"&amp;ROW(Y15),基本資料填寫!$C:$DU,COLUMN(基本資料填寫!AG16),0),"")</f>
        <v/>
      </c>
      <c r="S18" s="99" t="str">
        <f>IFERROR(VLOOKUP(基本資料填寫!$C$1&amp;"-"&amp;ROW(Z15),基本資料填寫!$C:$DU,COLUMN(基本資料填寫!AH16),0),"")</f>
        <v/>
      </c>
      <c r="AB18" s="115" t="str">
        <f>IFERROR(VLOOKUP(基本資料填寫!$C$1&amp;"-"&amp;ROW(BL15),基本資料填寫!$C:$DU,COLUMN(基本資料填寫!DK16),0),"")</f>
        <v/>
      </c>
      <c r="BG18" s="115" t="str">
        <f>IFERROR(VLOOKUP(基本資料填寫!$C$1&amp;"-"&amp;ROW(E15),基本資料填寫!$C:$DU,COLUMN(基本資料填寫!M16),0),"")</f>
        <v/>
      </c>
      <c r="BU18" s="115" t="str">
        <f>IFERROR(VLOOKUP(基本資料填寫!$C$1&amp;"-"&amp;ROW(O15),基本資料填寫!$C:$DU,COLUMN(基本資料填寫!W16),0),"")</f>
        <v/>
      </c>
      <c r="BV18" s="99" t="str">
        <f>IFERROR(VLOOKUP(基本資料填寫!$C$1&amp;"-"&amp;ROW(AA15),基本資料填寫!$C:$DU,COLUMN(基本資料填寫!AI16),0),"")</f>
        <v/>
      </c>
    </row>
    <row r="19" spans="1:74" ht="16.2" x14ac:dyDescent="0.3">
      <c r="A19" s="207"/>
      <c r="B19" s="114" t="str">
        <f>IF(I19="","",COUNTA($I$4:I19))</f>
        <v/>
      </c>
      <c r="C19" s="114" t="str">
        <f>IFERROR(VLOOKUP(基本資料填寫!$C$1&amp;"-"&amp;ROW(X16),基本資料填寫!$C:$DU,COLUMN(基本資料填寫!BV17),0),"")</f>
        <v/>
      </c>
      <c r="D19" s="99" t="str">
        <f>IFERROR(VLOOKUP(基本資料填寫!$C$1&amp;"-"&amp;ROW(D16),基本資料填寫!$C:$DU,COLUMN(基本資料填寫!L17),0),"")</f>
        <v/>
      </c>
      <c r="E19" s="115" t="str">
        <f>IFERROR(VLOOKUP(基本資料填寫!$C$1&amp;"-"&amp;ROW(AP16),基本資料填寫!$C:$DU,COLUMN(基本資料填寫!CN17),0),"")</f>
        <v/>
      </c>
      <c r="F19" s="114" t="str">
        <f>IFERROR(VLOOKUP(基本資料填寫!$C$1&amp;"-"&amp;ROW(I16),基本資料填寫!$C:$DU,COLUMN(基本資料填寫!Q17),0),"")</f>
        <v/>
      </c>
      <c r="G19" s="114" t="str">
        <f>IFERROR(VLOOKUP(基本資料填寫!$C$1&amp;"-"&amp;ROW(L16),基本資料填寫!$C:$DU,COLUMN(基本資料填寫!T17),0),"")</f>
        <v/>
      </c>
      <c r="H19" s="114" t="str">
        <f>IFERROR(VLOOKUP(基本資料填寫!$C$1&amp;"-"&amp;ROW(F16),基本資料填寫!$C:$DU,COLUMN(基本資料填寫!N17),0),"")</f>
        <v/>
      </c>
      <c r="I19" s="114" t="str">
        <f>IFERROR(VLOOKUP(基本資料填寫!$C$1&amp;"-"&amp;ROW(G16),基本資料填寫!$C:$DU,COLUMN(基本資料填寫!O17),0),"")</f>
        <v/>
      </c>
      <c r="J19" s="114" t="str">
        <f>IFERROR(VLOOKUP(基本資料填寫!$C$1&amp;"-"&amp;ROW(E16),基本資料填寫!$C:$DU,COLUMN(基本資料填寫!M17),0),"")</f>
        <v/>
      </c>
      <c r="K19" s="99" t="str">
        <f>IFERROR(VLOOKUP(基本資料填寫!$C$1&amp;"-"&amp;ROW(X16),基本資料填寫!$C:$DU,COLUMN(基本資料填寫!AF17),0),"")</f>
        <v/>
      </c>
      <c r="L19" s="115" t="str">
        <f>IFERROR(VLOOKUP(基本資料填寫!$C$1&amp;"-"&amp;ROW(AW16),基本資料填寫!$C:$DU,COLUMN(基本資料填寫!CU17),0),"")</f>
        <v/>
      </c>
      <c r="M19" s="115" t="str">
        <f>IFERROR(VLOOKUP(基本資料填寫!$C$1&amp;"-"&amp;ROW(AU16),基本資料填寫!$C:$DU,COLUMN(基本資料填寫!CS17),0),"")</f>
        <v/>
      </c>
      <c r="N19" s="115" t="str">
        <f>IFERROR(VLOOKUP(基本資料填寫!$C$1&amp;"-"&amp;ROW(AV16),基本資料填寫!$C:$DU,COLUMN(基本資料填寫!CT17),0),"")</f>
        <v/>
      </c>
      <c r="O19" s="115" t="str">
        <f>IFERROR(VLOOKUP(基本資料填寫!$C$1&amp;"-"&amp;ROW(N16),基本資料填寫!$C:$DU,COLUMN(基本資料填寫!V17),0),"")</f>
        <v/>
      </c>
      <c r="P19" s="115" t="str">
        <f>IFERROR(VLOOKUP(基本資料填寫!$C$1&amp;"-"&amp;ROW(AT16),基本資料填寫!$C:$DU,COLUMN(基本資料填寫!CR17),0),"")</f>
        <v/>
      </c>
      <c r="Q19" s="115" t="str">
        <f>IFERROR(VLOOKUP(基本資料填寫!$C$1&amp;"-"&amp;ROW(AQ16),基本資料填寫!$C:$DU,COLUMN(基本資料填寫!CO17),0),"")</f>
        <v/>
      </c>
      <c r="R19" s="99" t="str">
        <f>IFERROR(VLOOKUP(基本資料填寫!$C$1&amp;"-"&amp;ROW(Y16),基本資料填寫!$C:$DU,COLUMN(基本資料填寫!AG17),0),"")</f>
        <v/>
      </c>
      <c r="S19" s="99" t="str">
        <f>IFERROR(VLOOKUP(基本資料填寫!$C$1&amp;"-"&amp;ROW(Z16),基本資料填寫!$C:$DU,COLUMN(基本資料填寫!AH17),0),"")</f>
        <v/>
      </c>
      <c r="AB19" s="115" t="str">
        <f>IFERROR(VLOOKUP(基本資料填寫!$C$1&amp;"-"&amp;ROW(BL16),基本資料填寫!$C:$DU,COLUMN(基本資料填寫!DK17),0),"")</f>
        <v/>
      </c>
      <c r="BG19" s="115" t="str">
        <f>IFERROR(VLOOKUP(基本資料填寫!$C$1&amp;"-"&amp;ROW(E16),基本資料填寫!$C:$DU,COLUMN(基本資料填寫!M17),0),"")</f>
        <v/>
      </c>
      <c r="BU19" s="115" t="str">
        <f>IFERROR(VLOOKUP(基本資料填寫!$C$1&amp;"-"&amp;ROW(O16),基本資料填寫!$C:$DU,COLUMN(基本資料填寫!W17),0),"")</f>
        <v/>
      </c>
      <c r="BV19" s="99" t="str">
        <f>IFERROR(VLOOKUP(基本資料填寫!$C$1&amp;"-"&amp;ROW(AA16),基本資料填寫!$C:$DU,COLUMN(基本資料填寫!AI17),0),"")</f>
        <v/>
      </c>
    </row>
    <row r="20" spans="1:74" ht="16.2" x14ac:dyDescent="0.3">
      <c r="A20" s="207"/>
      <c r="B20" s="114" t="str">
        <f>IF(I20="","",COUNTA($I$4:I20))</f>
        <v/>
      </c>
      <c r="C20" s="114" t="str">
        <f>IFERROR(VLOOKUP(基本資料填寫!$C$1&amp;"-"&amp;ROW(X17),基本資料填寫!$C:$DU,COLUMN(基本資料填寫!BV18),0),"")</f>
        <v/>
      </c>
      <c r="D20" s="99" t="str">
        <f>IFERROR(VLOOKUP(基本資料填寫!$C$1&amp;"-"&amp;ROW(D17),基本資料填寫!$C:$DU,COLUMN(基本資料填寫!L18),0),"")</f>
        <v/>
      </c>
      <c r="E20" s="115" t="str">
        <f>IFERROR(VLOOKUP(基本資料填寫!$C$1&amp;"-"&amp;ROW(AP17),基本資料填寫!$C:$DU,COLUMN(基本資料填寫!CN18),0),"")</f>
        <v/>
      </c>
      <c r="F20" s="114" t="str">
        <f>IFERROR(VLOOKUP(基本資料填寫!$C$1&amp;"-"&amp;ROW(I17),基本資料填寫!$C:$DU,COLUMN(基本資料填寫!Q18),0),"")</f>
        <v/>
      </c>
      <c r="G20" s="114" t="str">
        <f>IFERROR(VLOOKUP(基本資料填寫!$C$1&amp;"-"&amp;ROW(L17),基本資料填寫!$C:$DU,COLUMN(基本資料填寫!T18),0),"")</f>
        <v/>
      </c>
      <c r="H20" s="114" t="str">
        <f>IFERROR(VLOOKUP(基本資料填寫!$C$1&amp;"-"&amp;ROW(F17),基本資料填寫!$C:$DU,COLUMN(基本資料填寫!N18),0),"")</f>
        <v/>
      </c>
      <c r="I20" s="114" t="str">
        <f>IFERROR(VLOOKUP(基本資料填寫!$C$1&amp;"-"&amp;ROW(G17),基本資料填寫!$C:$DU,COLUMN(基本資料填寫!O18),0),"")</f>
        <v/>
      </c>
      <c r="J20" s="114" t="str">
        <f>IFERROR(VLOOKUP(基本資料填寫!$C$1&amp;"-"&amp;ROW(E17),基本資料填寫!$C:$DU,COLUMN(基本資料填寫!M18),0),"")</f>
        <v/>
      </c>
      <c r="K20" s="99" t="str">
        <f>IFERROR(VLOOKUP(基本資料填寫!$C$1&amp;"-"&amp;ROW(X17),基本資料填寫!$C:$DU,COLUMN(基本資料填寫!AF18),0),"")</f>
        <v/>
      </c>
      <c r="L20" s="115" t="str">
        <f>IFERROR(VLOOKUP(基本資料填寫!$C$1&amp;"-"&amp;ROW(AW17),基本資料填寫!$C:$DU,COLUMN(基本資料填寫!CU18),0),"")</f>
        <v/>
      </c>
      <c r="M20" s="115" t="str">
        <f>IFERROR(VLOOKUP(基本資料填寫!$C$1&amp;"-"&amp;ROW(AU17),基本資料填寫!$C:$DU,COLUMN(基本資料填寫!CS18),0),"")</f>
        <v/>
      </c>
      <c r="N20" s="115" t="str">
        <f>IFERROR(VLOOKUP(基本資料填寫!$C$1&amp;"-"&amp;ROW(AV17),基本資料填寫!$C:$DU,COLUMN(基本資料填寫!CT18),0),"")</f>
        <v/>
      </c>
      <c r="O20" s="115" t="str">
        <f>IFERROR(VLOOKUP(基本資料填寫!$C$1&amp;"-"&amp;ROW(N17),基本資料填寫!$C:$DU,COLUMN(基本資料填寫!V18),0),"")</f>
        <v/>
      </c>
      <c r="P20" s="115" t="str">
        <f>IFERROR(VLOOKUP(基本資料填寫!$C$1&amp;"-"&amp;ROW(AT17),基本資料填寫!$C:$DU,COLUMN(基本資料填寫!CR18),0),"")</f>
        <v/>
      </c>
      <c r="Q20" s="115" t="str">
        <f>IFERROR(VLOOKUP(基本資料填寫!$C$1&amp;"-"&amp;ROW(AQ17),基本資料填寫!$C:$DU,COLUMN(基本資料填寫!CO18),0),"")</f>
        <v/>
      </c>
      <c r="R20" s="99" t="str">
        <f>IFERROR(VLOOKUP(基本資料填寫!$C$1&amp;"-"&amp;ROW(Y17),基本資料填寫!$C:$DU,COLUMN(基本資料填寫!AG18),0),"")</f>
        <v/>
      </c>
      <c r="S20" s="99" t="str">
        <f>IFERROR(VLOOKUP(基本資料填寫!$C$1&amp;"-"&amp;ROW(Z17),基本資料填寫!$C:$DU,COLUMN(基本資料填寫!AH18),0),"")</f>
        <v/>
      </c>
      <c r="AB20" s="115" t="str">
        <f>IFERROR(VLOOKUP(基本資料填寫!$C$1&amp;"-"&amp;ROW(BL17),基本資料填寫!$C:$DU,COLUMN(基本資料填寫!DK18),0),"")</f>
        <v/>
      </c>
      <c r="BG20" s="115" t="str">
        <f>IFERROR(VLOOKUP(基本資料填寫!$C$1&amp;"-"&amp;ROW(E17),基本資料填寫!$C:$DU,COLUMN(基本資料填寫!M18),0),"")</f>
        <v/>
      </c>
      <c r="BU20" s="115" t="str">
        <f>IFERROR(VLOOKUP(基本資料填寫!$C$1&amp;"-"&amp;ROW(O17),基本資料填寫!$C:$DU,COLUMN(基本資料填寫!W18),0),"")</f>
        <v/>
      </c>
      <c r="BV20" s="99" t="str">
        <f>IFERROR(VLOOKUP(基本資料填寫!$C$1&amp;"-"&amp;ROW(AA17),基本資料填寫!$C:$DU,COLUMN(基本資料填寫!AI18),0),"")</f>
        <v/>
      </c>
    </row>
    <row r="21" spans="1:74" ht="16.2" x14ac:dyDescent="0.3">
      <c r="A21" s="207"/>
      <c r="B21" s="114" t="str">
        <f>IF(I21="","",COUNTA($I$4:I21))</f>
        <v/>
      </c>
      <c r="C21" s="114" t="str">
        <f>IFERROR(VLOOKUP(基本資料填寫!$C$1&amp;"-"&amp;ROW(X18),基本資料填寫!$C:$DU,COLUMN(基本資料填寫!BV19),0),"")</f>
        <v/>
      </c>
      <c r="D21" s="99" t="str">
        <f>IFERROR(VLOOKUP(基本資料填寫!$C$1&amp;"-"&amp;ROW(D18),基本資料填寫!$C:$DU,COLUMN(基本資料填寫!L19),0),"")</f>
        <v/>
      </c>
      <c r="E21" s="115" t="str">
        <f>IFERROR(VLOOKUP(基本資料填寫!$C$1&amp;"-"&amp;ROW(AP18),基本資料填寫!$C:$DU,COLUMN(基本資料填寫!CN19),0),"")</f>
        <v/>
      </c>
      <c r="F21" s="114" t="str">
        <f>IFERROR(VLOOKUP(基本資料填寫!$C$1&amp;"-"&amp;ROW(I18),基本資料填寫!$C:$DU,COLUMN(基本資料填寫!Q19),0),"")</f>
        <v/>
      </c>
      <c r="G21" s="114" t="str">
        <f>IFERROR(VLOOKUP(基本資料填寫!$C$1&amp;"-"&amp;ROW(L18),基本資料填寫!$C:$DU,COLUMN(基本資料填寫!T19),0),"")</f>
        <v/>
      </c>
      <c r="H21" s="114" t="str">
        <f>IFERROR(VLOOKUP(基本資料填寫!$C$1&amp;"-"&amp;ROW(F18),基本資料填寫!$C:$DU,COLUMN(基本資料填寫!N19),0),"")</f>
        <v/>
      </c>
      <c r="I21" s="114" t="str">
        <f>IFERROR(VLOOKUP(基本資料填寫!$C$1&amp;"-"&amp;ROW(G18),基本資料填寫!$C:$DU,COLUMN(基本資料填寫!O19),0),"")</f>
        <v/>
      </c>
      <c r="J21" s="114" t="str">
        <f>IFERROR(VLOOKUP(基本資料填寫!$C$1&amp;"-"&amp;ROW(E18),基本資料填寫!$C:$DU,COLUMN(基本資料填寫!M19),0),"")</f>
        <v/>
      </c>
      <c r="K21" s="99" t="str">
        <f>IFERROR(VLOOKUP(基本資料填寫!$C$1&amp;"-"&amp;ROW(X18),基本資料填寫!$C:$DU,COLUMN(基本資料填寫!AF19),0),"")</f>
        <v/>
      </c>
      <c r="L21" s="115" t="str">
        <f>IFERROR(VLOOKUP(基本資料填寫!$C$1&amp;"-"&amp;ROW(AW18),基本資料填寫!$C:$DU,COLUMN(基本資料填寫!CU19),0),"")</f>
        <v/>
      </c>
      <c r="M21" s="115" t="str">
        <f>IFERROR(VLOOKUP(基本資料填寫!$C$1&amp;"-"&amp;ROW(AU18),基本資料填寫!$C:$DU,COLUMN(基本資料填寫!CS19),0),"")</f>
        <v/>
      </c>
      <c r="N21" s="115" t="str">
        <f>IFERROR(VLOOKUP(基本資料填寫!$C$1&amp;"-"&amp;ROW(AV18),基本資料填寫!$C:$DU,COLUMN(基本資料填寫!CT19),0),"")</f>
        <v/>
      </c>
      <c r="O21" s="115" t="str">
        <f>IFERROR(VLOOKUP(基本資料填寫!$C$1&amp;"-"&amp;ROW(N18),基本資料填寫!$C:$DU,COLUMN(基本資料填寫!V19),0),"")</f>
        <v/>
      </c>
      <c r="P21" s="115" t="str">
        <f>IFERROR(VLOOKUP(基本資料填寫!$C$1&amp;"-"&amp;ROW(AT18),基本資料填寫!$C:$DU,COLUMN(基本資料填寫!CR19),0),"")</f>
        <v/>
      </c>
      <c r="Q21" s="115" t="str">
        <f>IFERROR(VLOOKUP(基本資料填寫!$C$1&amp;"-"&amp;ROW(AQ18),基本資料填寫!$C:$DU,COLUMN(基本資料填寫!CO19),0),"")</f>
        <v/>
      </c>
      <c r="R21" s="99" t="str">
        <f>IFERROR(VLOOKUP(基本資料填寫!$C$1&amp;"-"&amp;ROW(Y18),基本資料填寫!$C:$DU,COLUMN(基本資料填寫!AG19),0),"")</f>
        <v/>
      </c>
      <c r="S21" s="99" t="str">
        <f>IFERROR(VLOOKUP(基本資料填寫!$C$1&amp;"-"&amp;ROW(Z18),基本資料填寫!$C:$DU,COLUMN(基本資料填寫!AH19),0),"")</f>
        <v/>
      </c>
      <c r="AB21" s="115" t="str">
        <f>IFERROR(VLOOKUP(基本資料填寫!$C$1&amp;"-"&amp;ROW(BL18),基本資料填寫!$C:$DU,COLUMN(基本資料填寫!DK19),0),"")</f>
        <v/>
      </c>
      <c r="BG21" s="115" t="str">
        <f>IFERROR(VLOOKUP(基本資料填寫!$C$1&amp;"-"&amp;ROW(E18),基本資料填寫!$C:$DU,COLUMN(基本資料填寫!M19),0),"")</f>
        <v/>
      </c>
      <c r="BU21" s="115" t="str">
        <f>IFERROR(VLOOKUP(基本資料填寫!$C$1&amp;"-"&amp;ROW(O18),基本資料填寫!$C:$DU,COLUMN(基本資料填寫!W19),0),"")</f>
        <v/>
      </c>
      <c r="BV21" s="99" t="str">
        <f>IFERROR(VLOOKUP(基本資料填寫!$C$1&amp;"-"&amp;ROW(AA18),基本資料填寫!$C:$DU,COLUMN(基本資料填寫!AI19),0),"")</f>
        <v/>
      </c>
    </row>
    <row r="22" spans="1:74" ht="16.2" x14ac:dyDescent="0.3">
      <c r="A22" s="207"/>
      <c r="B22" s="114" t="str">
        <f>IF(I22="","",COUNTA($I$4:I22))</f>
        <v/>
      </c>
      <c r="C22" s="114" t="str">
        <f>IFERROR(VLOOKUP(基本資料填寫!$C$1&amp;"-"&amp;ROW(X19),基本資料填寫!$C:$DU,COLUMN(基本資料填寫!BV20),0),"")</f>
        <v/>
      </c>
      <c r="D22" s="99" t="str">
        <f>IFERROR(VLOOKUP(基本資料填寫!$C$1&amp;"-"&amp;ROW(D19),基本資料填寫!$C:$DU,COLUMN(基本資料填寫!L20),0),"")</f>
        <v/>
      </c>
      <c r="E22" s="115" t="str">
        <f>IFERROR(VLOOKUP(基本資料填寫!$C$1&amp;"-"&amp;ROW(AP19),基本資料填寫!$C:$DU,COLUMN(基本資料填寫!CN20),0),"")</f>
        <v/>
      </c>
      <c r="F22" s="114" t="str">
        <f>IFERROR(VLOOKUP(基本資料填寫!$C$1&amp;"-"&amp;ROW(I19),基本資料填寫!$C:$DU,COLUMN(基本資料填寫!Q20),0),"")</f>
        <v/>
      </c>
      <c r="G22" s="114" t="str">
        <f>IFERROR(VLOOKUP(基本資料填寫!$C$1&amp;"-"&amp;ROW(L19),基本資料填寫!$C:$DU,COLUMN(基本資料填寫!T20),0),"")</f>
        <v/>
      </c>
      <c r="H22" s="114" t="str">
        <f>IFERROR(VLOOKUP(基本資料填寫!$C$1&amp;"-"&amp;ROW(F19),基本資料填寫!$C:$DU,COLUMN(基本資料填寫!N20),0),"")</f>
        <v/>
      </c>
      <c r="I22" s="114" t="str">
        <f>IFERROR(VLOOKUP(基本資料填寫!$C$1&amp;"-"&amp;ROW(G19),基本資料填寫!$C:$DU,COLUMN(基本資料填寫!O20),0),"")</f>
        <v/>
      </c>
      <c r="J22" s="114" t="str">
        <f>IFERROR(VLOOKUP(基本資料填寫!$C$1&amp;"-"&amp;ROW(E19),基本資料填寫!$C:$DU,COLUMN(基本資料填寫!M20),0),"")</f>
        <v/>
      </c>
      <c r="K22" s="99" t="str">
        <f>IFERROR(VLOOKUP(基本資料填寫!$C$1&amp;"-"&amp;ROW(X19),基本資料填寫!$C:$DU,COLUMN(基本資料填寫!AF20),0),"")</f>
        <v/>
      </c>
      <c r="L22" s="115" t="str">
        <f>IFERROR(VLOOKUP(基本資料填寫!$C$1&amp;"-"&amp;ROW(AW19),基本資料填寫!$C:$DU,COLUMN(基本資料填寫!CU20),0),"")</f>
        <v/>
      </c>
      <c r="M22" s="115" t="str">
        <f>IFERROR(VLOOKUP(基本資料填寫!$C$1&amp;"-"&amp;ROW(AU19),基本資料填寫!$C:$DU,COLUMN(基本資料填寫!CS20),0),"")</f>
        <v/>
      </c>
      <c r="N22" s="115" t="str">
        <f>IFERROR(VLOOKUP(基本資料填寫!$C$1&amp;"-"&amp;ROW(AV19),基本資料填寫!$C:$DU,COLUMN(基本資料填寫!CT20),0),"")</f>
        <v/>
      </c>
      <c r="O22" s="115" t="str">
        <f>IFERROR(VLOOKUP(基本資料填寫!$C$1&amp;"-"&amp;ROW(N19),基本資料填寫!$C:$DU,COLUMN(基本資料填寫!V20),0),"")</f>
        <v/>
      </c>
      <c r="P22" s="115" t="str">
        <f>IFERROR(VLOOKUP(基本資料填寫!$C$1&amp;"-"&amp;ROW(AT19),基本資料填寫!$C:$DU,COLUMN(基本資料填寫!CR20),0),"")</f>
        <v/>
      </c>
      <c r="Q22" s="115" t="str">
        <f>IFERROR(VLOOKUP(基本資料填寫!$C$1&amp;"-"&amp;ROW(AQ19),基本資料填寫!$C:$DU,COLUMN(基本資料填寫!CO20),0),"")</f>
        <v/>
      </c>
      <c r="R22" s="99" t="str">
        <f>IFERROR(VLOOKUP(基本資料填寫!$C$1&amp;"-"&amp;ROW(Y19),基本資料填寫!$C:$DU,COLUMN(基本資料填寫!AG20),0),"")</f>
        <v/>
      </c>
      <c r="S22" s="99" t="str">
        <f>IFERROR(VLOOKUP(基本資料填寫!$C$1&amp;"-"&amp;ROW(Z19),基本資料填寫!$C:$DU,COLUMN(基本資料填寫!AH20),0),"")</f>
        <v/>
      </c>
      <c r="AB22" s="115" t="str">
        <f>IFERROR(VLOOKUP(基本資料填寫!$C$1&amp;"-"&amp;ROW(BL19),基本資料填寫!$C:$DU,COLUMN(基本資料填寫!DK20),0),"")</f>
        <v/>
      </c>
      <c r="BG22" s="115" t="str">
        <f>IFERROR(VLOOKUP(基本資料填寫!$C$1&amp;"-"&amp;ROW(E19),基本資料填寫!$C:$DU,COLUMN(基本資料填寫!M20),0),"")</f>
        <v/>
      </c>
      <c r="BU22" s="115" t="str">
        <f>IFERROR(VLOOKUP(基本資料填寫!$C$1&amp;"-"&amp;ROW(O19),基本資料填寫!$C:$DU,COLUMN(基本資料填寫!W20),0),"")</f>
        <v/>
      </c>
      <c r="BV22" s="99" t="str">
        <f>IFERROR(VLOOKUP(基本資料填寫!$C$1&amp;"-"&amp;ROW(AA19),基本資料填寫!$C:$DU,COLUMN(基本資料填寫!AI20),0),"")</f>
        <v/>
      </c>
    </row>
    <row r="23" spans="1:74" ht="16.2" x14ac:dyDescent="0.3">
      <c r="A23" s="207"/>
      <c r="B23" s="114" t="str">
        <f>IF(I23="","",COUNTA($I$4:I23))</f>
        <v/>
      </c>
      <c r="C23" s="114" t="str">
        <f>IFERROR(VLOOKUP(基本資料填寫!$C$1&amp;"-"&amp;ROW(X20),基本資料填寫!$C:$DU,COLUMN(基本資料填寫!BV21),0),"")</f>
        <v/>
      </c>
      <c r="D23" s="99" t="str">
        <f>IFERROR(VLOOKUP(基本資料填寫!$C$1&amp;"-"&amp;ROW(D20),基本資料填寫!$C:$DU,COLUMN(基本資料填寫!L21),0),"")</f>
        <v/>
      </c>
      <c r="E23" s="115" t="str">
        <f>IFERROR(VLOOKUP(基本資料填寫!$C$1&amp;"-"&amp;ROW(AP20),基本資料填寫!$C:$DU,COLUMN(基本資料填寫!CN21),0),"")</f>
        <v/>
      </c>
      <c r="F23" s="114" t="str">
        <f>IFERROR(VLOOKUP(基本資料填寫!$C$1&amp;"-"&amp;ROW(I20),基本資料填寫!$C:$DU,COLUMN(基本資料填寫!Q21),0),"")</f>
        <v/>
      </c>
      <c r="G23" s="114" t="str">
        <f>IFERROR(VLOOKUP(基本資料填寫!$C$1&amp;"-"&amp;ROW(L20),基本資料填寫!$C:$DU,COLUMN(基本資料填寫!T21),0),"")</f>
        <v/>
      </c>
      <c r="H23" s="114" t="str">
        <f>IFERROR(VLOOKUP(基本資料填寫!$C$1&amp;"-"&amp;ROW(F20),基本資料填寫!$C:$DU,COLUMN(基本資料填寫!N21),0),"")</f>
        <v/>
      </c>
      <c r="I23" s="114" t="str">
        <f>IFERROR(VLOOKUP(基本資料填寫!$C$1&amp;"-"&amp;ROW(G20),基本資料填寫!$C:$DU,COLUMN(基本資料填寫!O21),0),"")</f>
        <v/>
      </c>
      <c r="J23" s="114" t="str">
        <f>IFERROR(VLOOKUP(基本資料填寫!$C$1&amp;"-"&amp;ROW(E20),基本資料填寫!$C:$DU,COLUMN(基本資料填寫!M21),0),"")</f>
        <v/>
      </c>
      <c r="K23" s="99" t="str">
        <f>IFERROR(VLOOKUP(基本資料填寫!$C$1&amp;"-"&amp;ROW(X20),基本資料填寫!$C:$DU,COLUMN(基本資料填寫!AF21),0),"")</f>
        <v/>
      </c>
      <c r="L23" s="115" t="str">
        <f>IFERROR(VLOOKUP(基本資料填寫!$C$1&amp;"-"&amp;ROW(AW20),基本資料填寫!$C:$DU,COLUMN(基本資料填寫!CU21),0),"")</f>
        <v/>
      </c>
      <c r="M23" s="115" t="str">
        <f>IFERROR(VLOOKUP(基本資料填寫!$C$1&amp;"-"&amp;ROW(AU20),基本資料填寫!$C:$DU,COLUMN(基本資料填寫!CS21),0),"")</f>
        <v/>
      </c>
      <c r="N23" s="115" t="str">
        <f>IFERROR(VLOOKUP(基本資料填寫!$C$1&amp;"-"&amp;ROW(AV20),基本資料填寫!$C:$DU,COLUMN(基本資料填寫!CT21),0),"")</f>
        <v/>
      </c>
      <c r="O23" s="115" t="str">
        <f>IFERROR(VLOOKUP(基本資料填寫!$C$1&amp;"-"&amp;ROW(N20),基本資料填寫!$C:$DU,COLUMN(基本資料填寫!V21),0),"")</f>
        <v/>
      </c>
      <c r="P23" s="115" t="str">
        <f>IFERROR(VLOOKUP(基本資料填寫!$C$1&amp;"-"&amp;ROW(AT20),基本資料填寫!$C:$DU,COLUMN(基本資料填寫!CR21),0),"")</f>
        <v/>
      </c>
      <c r="Q23" s="115" t="str">
        <f>IFERROR(VLOOKUP(基本資料填寫!$C$1&amp;"-"&amp;ROW(AQ20),基本資料填寫!$C:$DU,COLUMN(基本資料填寫!CO21),0),"")</f>
        <v/>
      </c>
      <c r="R23" s="99" t="str">
        <f>IFERROR(VLOOKUP(基本資料填寫!$C$1&amp;"-"&amp;ROW(Y20),基本資料填寫!$C:$DU,COLUMN(基本資料填寫!AG21),0),"")</f>
        <v/>
      </c>
      <c r="S23" s="99" t="str">
        <f>IFERROR(VLOOKUP(基本資料填寫!$C$1&amp;"-"&amp;ROW(Z20),基本資料填寫!$C:$DU,COLUMN(基本資料填寫!AH21),0),"")</f>
        <v/>
      </c>
      <c r="AB23" s="115" t="str">
        <f>IFERROR(VLOOKUP(基本資料填寫!$C$1&amp;"-"&amp;ROW(BL20),基本資料填寫!$C:$DU,COLUMN(基本資料填寫!DK21),0),"")</f>
        <v/>
      </c>
      <c r="BG23" s="115" t="str">
        <f>IFERROR(VLOOKUP(基本資料填寫!$C$1&amp;"-"&amp;ROW(E20),基本資料填寫!$C:$DU,COLUMN(基本資料填寫!M21),0),"")</f>
        <v/>
      </c>
      <c r="BU23" s="115" t="str">
        <f>IFERROR(VLOOKUP(基本資料填寫!$C$1&amp;"-"&amp;ROW(O20),基本資料填寫!$C:$DU,COLUMN(基本資料填寫!W21),0),"")</f>
        <v/>
      </c>
      <c r="BV23" s="99" t="str">
        <f>IFERROR(VLOOKUP(基本資料填寫!$C$1&amp;"-"&amp;ROW(AA20),基本資料填寫!$C:$DU,COLUMN(基本資料填寫!AI21),0),"")</f>
        <v/>
      </c>
    </row>
    <row r="24" spans="1:74" ht="16.2" x14ac:dyDescent="0.3">
      <c r="A24" s="207"/>
      <c r="B24" s="114" t="str">
        <f>IF(I24="","",COUNTA($I$4:I24))</f>
        <v/>
      </c>
      <c r="C24" s="114" t="str">
        <f>IFERROR(VLOOKUP(基本資料填寫!$C$1&amp;"-"&amp;ROW(X21),基本資料填寫!$C:$DU,COLUMN(基本資料填寫!BV22),0),"")</f>
        <v/>
      </c>
      <c r="D24" s="99" t="str">
        <f>IFERROR(VLOOKUP(基本資料填寫!$C$1&amp;"-"&amp;ROW(D21),基本資料填寫!$C:$DU,COLUMN(基本資料填寫!L22),0),"")</f>
        <v/>
      </c>
      <c r="E24" s="115" t="str">
        <f>IFERROR(VLOOKUP(基本資料填寫!$C$1&amp;"-"&amp;ROW(AP21),基本資料填寫!$C:$DU,COLUMN(基本資料填寫!CN22),0),"")</f>
        <v/>
      </c>
      <c r="F24" s="114" t="str">
        <f>IFERROR(VLOOKUP(基本資料填寫!$C$1&amp;"-"&amp;ROW(I21),基本資料填寫!$C:$DU,COLUMN(基本資料填寫!Q22),0),"")</f>
        <v/>
      </c>
      <c r="G24" s="114" t="str">
        <f>IFERROR(VLOOKUP(基本資料填寫!$C$1&amp;"-"&amp;ROW(L21),基本資料填寫!$C:$DU,COLUMN(基本資料填寫!T22),0),"")</f>
        <v/>
      </c>
      <c r="H24" s="114" t="str">
        <f>IFERROR(VLOOKUP(基本資料填寫!$C$1&amp;"-"&amp;ROW(F21),基本資料填寫!$C:$DU,COLUMN(基本資料填寫!N22),0),"")</f>
        <v/>
      </c>
      <c r="I24" s="114" t="str">
        <f>IFERROR(VLOOKUP(基本資料填寫!$C$1&amp;"-"&amp;ROW(G21),基本資料填寫!$C:$DU,COLUMN(基本資料填寫!O22),0),"")</f>
        <v/>
      </c>
      <c r="J24" s="114" t="str">
        <f>IFERROR(VLOOKUP(基本資料填寫!$C$1&amp;"-"&amp;ROW(E21),基本資料填寫!$C:$DU,COLUMN(基本資料填寫!M22),0),"")</f>
        <v/>
      </c>
      <c r="K24" s="99" t="str">
        <f>IFERROR(VLOOKUP(基本資料填寫!$C$1&amp;"-"&amp;ROW(X21),基本資料填寫!$C:$DU,COLUMN(基本資料填寫!AF22),0),"")</f>
        <v/>
      </c>
      <c r="L24" s="115" t="str">
        <f>IFERROR(VLOOKUP(基本資料填寫!$C$1&amp;"-"&amp;ROW(AW21),基本資料填寫!$C:$DU,COLUMN(基本資料填寫!CU22),0),"")</f>
        <v/>
      </c>
      <c r="M24" s="115" t="str">
        <f>IFERROR(VLOOKUP(基本資料填寫!$C$1&amp;"-"&amp;ROW(AU21),基本資料填寫!$C:$DU,COLUMN(基本資料填寫!CS22),0),"")</f>
        <v/>
      </c>
      <c r="N24" s="115" t="str">
        <f>IFERROR(VLOOKUP(基本資料填寫!$C$1&amp;"-"&amp;ROW(AV21),基本資料填寫!$C:$DU,COLUMN(基本資料填寫!CT22),0),"")</f>
        <v/>
      </c>
      <c r="O24" s="115" t="str">
        <f>IFERROR(VLOOKUP(基本資料填寫!$C$1&amp;"-"&amp;ROW(N21),基本資料填寫!$C:$DU,COLUMN(基本資料填寫!V22),0),"")</f>
        <v/>
      </c>
      <c r="P24" s="115" t="str">
        <f>IFERROR(VLOOKUP(基本資料填寫!$C$1&amp;"-"&amp;ROW(AT21),基本資料填寫!$C:$DU,COLUMN(基本資料填寫!CR22),0),"")</f>
        <v/>
      </c>
      <c r="Q24" s="115" t="str">
        <f>IFERROR(VLOOKUP(基本資料填寫!$C$1&amp;"-"&amp;ROW(AQ21),基本資料填寫!$C:$DU,COLUMN(基本資料填寫!CO22),0),"")</f>
        <v/>
      </c>
      <c r="R24" s="99" t="str">
        <f>IFERROR(VLOOKUP(基本資料填寫!$C$1&amp;"-"&amp;ROW(Y21),基本資料填寫!$C:$DU,COLUMN(基本資料填寫!AG22),0),"")</f>
        <v/>
      </c>
      <c r="S24" s="99" t="str">
        <f>IFERROR(VLOOKUP(基本資料填寫!$C$1&amp;"-"&amp;ROW(Z21),基本資料填寫!$C:$DU,COLUMN(基本資料填寫!AH22),0),"")</f>
        <v/>
      </c>
      <c r="AB24" s="115" t="str">
        <f>IFERROR(VLOOKUP(基本資料填寫!$C$1&amp;"-"&amp;ROW(BL21),基本資料填寫!$C:$DU,COLUMN(基本資料填寫!DK22),0),"")</f>
        <v/>
      </c>
      <c r="BG24" s="115" t="str">
        <f>IFERROR(VLOOKUP(基本資料填寫!$C$1&amp;"-"&amp;ROW(E21),基本資料填寫!$C:$DU,COLUMN(基本資料填寫!M22),0),"")</f>
        <v/>
      </c>
      <c r="BU24" s="115" t="str">
        <f>IFERROR(VLOOKUP(基本資料填寫!$C$1&amp;"-"&amp;ROW(O21),基本資料填寫!$C:$DU,COLUMN(基本資料填寫!W22),0),"")</f>
        <v/>
      </c>
      <c r="BV24" s="99" t="str">
        <f>IFERROR(VLOOKUP(基本資料填寫!$C$1&amp;"-"&amp;ROW(AA21),基本資料填寫!$C:$DU,COLUMN(基本資料填寫!AI22),0),"")</f>
        <v/>
      </c>
    </row>
    <row r="25" spans="1:74" ht="16.2" x14ac:dyDescent="0.3">
      <c r="A25" s="207"/>
      <c r="B25" s="114" t="str">
        <f>IF(I25="","",COUNTA($I$4:I25))</f>
        <v/>
      </c>
      <c r="C25" s="114" t="str">
        <f>IFERROR(VLOOKUP(基本資料填寫!$C$1&amp;"-"&amp;ROW(X22),基本資料填寫!$C:$DU,COLUMN(基本資料填寫!BV23),0),"")</f>
        <v/>
      </c>
      <c r="D25" s="99" t="str">
        <f>IFERROR(VLOOKUP(基本資料填寫!$C$1&amp;"-"&amp;ROW(D22),基本資料填寫!$C:$DU,COLUMN(基本資料填寫!L23),0),"")</f>
        <v/>
      </c>
      <c r="E25" s="115" t="str">
        <f>IFERROR(VLOOKUP(基本資料填寫!$C$1&amp;"-"&amp;ROW(AP22),基本資料填寫!$C:$DU,COLUMN(基本資料填寫!CN23),0),"")</f>
        <v/>
      </c>
      <c r="F25" s="114" t="str">
        <f>IFERROR(VLOOKUP(基本資料填寫!$C$1&amp;"-"&amp;ROW(I22),基本資料填寫!$C:$DU,COLUMN(基本資料填寫!Q23),0),"")</f>
        <v/>
      </c>
      <c r="G25" s="114" t="str">
        <f>IFERROR(VLOOKUP(基本資料填寫!$C$1&amp;"-"&amp;ROW(L22),基本資料填寫!$C:$DU,COLUMN(基本資料填寫!T23),0),"")</f>
        <v/>
      </c>
      <c r="H25" s="114" t="str">
        <f>IFERROR(VLOOKUP(基本資料填寫!$C$1&amp;"-"&amp;ROW(F22),基本資料填寫!$C:$DU,COLUMN(基本資料填寫!N23),0),"")</f>
        <v/>
      </c>
      <c r="I25" s="114" t="str">
        <f>IFERROR(VLOOKUP(基本資料填寫!$C$1&amp;"-"&amp;ROW(G22),基本資料填寫!$C:$DU,COLUMN(基本資料填寫!O23),0),"")</f>
        <v/>
      </c>
      <c r="J25" s="114" t="str">
        <f>IFERROR(VLOOKUP(基本資料填寫!$C$1&amp;"-"&amp;ROW(E22),基本資料填寫!$C:$DU,COLUMN(基本資料填寫!M23),0),"")</f>
        <v/>
      </c>
      <c r="K25" s="99" t="str">
        <f>IFERROR(VLOOKUP(基本資料填寫!$C$1&amp;"-"&amp;ROW(X22),基本資料填寫!$C:$DU,COLUMN(基本資料填寫!AF23),0),"")</f>
        <v/>
      </c>
      <c r="L25" s="115" t="str">
        <f>IFERROR(VLOOKUP(基本資料填寫!$C$1&amp;"-"&amp;ROW(AW22),基本資料填寫!$C:$DU,COLUMN(基本資料填寫!CU23),0),"")</f>
        <v/>
      </c>
      <c r="M25" s="115" t="str">
        <f>IFERROR(VLOOKUP(基本資料填寫!$C$1&amp;"-"&amp;ROW(AU22),基本資料填寫!$C:$DU,COLUMN(基本資料填寫!CS23),0),"")</f>
        <v/>
      </c>
      <c r="N25" s="115" t="str">
        <f>IFERROR(VLOOKUP(基本資料填寫!$C$1&amp;"-"&amp;ROW(AV22),基本資料填寫!$C:$DU,COLUMN(基本資料填寫!CT23),0),"")</f>
        <v/>
      </c>
      <c r="O25" s="115" t="str">
        <f>IFERROR(VLOOKUP(基本資料填寫!$C$1&amp;"-"&amp;ROW(N22),基本資料填寫!$C:$DU,COLUMN(基本資料填寫!V23),0),"")</f>
        <v/>
      </c>
      <c r="P25" s="115" t="str">
        <f>IFERROR(VLOOKUP(基本資料填寫!$C$1&amp;"-"&amp;ROW(AT22),基本資料填寫!$C:$DU,COLUMN(基本資料填寫!CR23),0),"")</f>
        <v/>
      </c>
      <c r="Q25" s="115" t="str">
        <f>IFERROR(VLOOKUP(基本資料填寫!$C$1&amp;"-"&amp;ROW(AQ22),基本資料填寫!$C:$DU,COLUMN(基本資料填寫!CO23),0),"")</f>
        <v/>
      </c>
      <c r="R25" s="99" t="str">
        <f>IFERROR(VLOOKUP(基本資料填寫!$C$1&amp;"-"&amp;ROW(Y22),基本資料填寫!$C:$DU,COLUMN(基本資料填寫!AG23),0),"")</f>
        <v/>
      </c>
      <c r="S25" s="99" t="str">
        <f>IFERROR(VLOOKUP(基本資料填寫!$C$1&amp;"-"&amp;ROW(Z22),基本資料填寫!$C:$DU,COLUMN(基本資料填寫!AH23),0),"")</f>
        <v/>
      </c>
      <c r="AB25" s="115" t="str">
        <f>IFERROR(VLOOKUP(基本資料填寫!$C$1&amp;"-"&amp;ROW(BL22),基本資料填寫!$C:$DU,COLUMN(基本資料填寫!DK23),0),"")</f>
        <v/>
      </c>
      <c r="BG25" s="115" t="str">
        <f>IFERROR(VLOOKUP(基本資料填寫!$C$1&amp;"-"&amp;ROW(E22),基本資料填寫!$C:$DU,COLUMN(基本資料填寫!M23),0),"")</f>
        <v/>
      </c>
      <c r="BU25" s="115" t="str">
        <f>IFERROR(VLOOKUP(基本資料填寫!$C$1&amp;"-"&amp;ROW(O22),基本資料填寫!$C:$DU,COLUMN(基本資料填寫!W23),0),"")</f>
        <v/>
      </c>
      <c r="BV25" s="99" t="str">
        <f>IFERROR(VLOOKUP(基本資料填寫!$C$1&amp;"-"&amp;ROW(AA22),基本資料填寫!$C:$DU,COLUMN(基本資料填寫!AI23),0),"")</f>
        <v/>
      </c>
    </row>
    <row r="26" spans="1:74" ht="16.2" x14ac:dyDescent="0.3">
      <c r="A26" s="207"/>
      <c r="B26" s="114" t="str">
        <f>IF(I26="","",COUNTA($I$4:I26))</f>
        <v/>
      </c>
      <c r="C26" s="114" t="str">
        <f>IFERROR(VLOOKUP(基本資料填寫!$C$1&amp;"-"&amp;ROW(X23),基本資料填寫!$C:$DU,COLUMN(基本資料填寫!BV24),0),"")</f>
        <v/>
      </c>
      <c r="D26" s="99" t="str">
        <f>IFERROR(VLOOKUP(基本資料填寫!$C$1&amp;"-"&amp;ROW(D23),基本資料填寫!$C:$DU,COLUMN(基本資料填寫!L24),0),"")</f>
        <v/>
      </c>
      <c r="E26" s="115" t="str">
        <f>IFERROR(VLOOKUP(基本資料填寫!$C$1&amp;"-"&amp;ROW(AP23),基本資料填寫!$C:$DU,COLUMN(基本資料填寫!CN24),0),"")</f>
        <v/>
      </c>
      <c r="F26" s="114" t="str">
        <f>IFERROR(VLOOKUP(基本資料填寫!$C$1&amp;"-"&amp;ROW(I23),基本資料填寫!$C:$DU,COLUMN(基本資料填寫!Q24),0),"")</f>
        <v/>
      </c>
      <c r="G26" s="114" t="str">
        <f>IFERROR(VLOOKUP(基本資料填寫!$C$1&amp;"-"&amp;ROW(L23),基本資料填寫!$C:$DU,COLUMN(基本資料填寫!T24),0),"")</f>
        <v/>
      </c>
      <c r="H26" s="114" t="str">
        <f>IFERROR(VLOOKUP(基本資料填寫!$C$1&amp;"-"&amp;ROW(F23),基本資料填寫!$C:$DU,COLUMN(基本資料填寫!N24),0),"")</f>
        <v/>
      </c>
      <c r="I26" s="114" t="str">
        <f>IFERROR(VLOOKUP(基本資料填寫!$C$1&amp;"-"&amp;ROW(G23),基本資料填寫!$C:$DU,COLUMN(基本資料填寫!O24),0),"")</f>
        <v/>
      </c>
      <c r="J26" s="114" t="str">
        <f>IFERROR(VLOOKUP(基本資料填寫!$C$1&amp;"-"&amp;ROW(E23),基本資料填寫!$C:$DU,COLUMN(基本資料填寫!M24),0),"")</f>
        <v/>
      </c>
      <c r="K26" s="99" t="str">
        <f>IFERROR(VLOOKUP(基本資料填寫!$C$1&amp;"-"&amp;ROW(X23),基本資料填寫!$C:$DU,COLUMN(基本資料填寫!AF24),0),"")</f>
        <v/>
      </c>
      <c r="L26" s="115" t="str">
        <f>IFERROR(VLOOKUP(基本資料填寫!$C$1&amp;"-"&amp;ROW(AW23),基本資料填寫!$C:$DU,COLUMN(基本資料填寫!CU24),0),"")</f>
        <v/>
      </c>
      <c r="M26" s="115" t="str">
        <f>IFERROR(VLOOKUP(基本資料填寫!$C$1&amp;"-"&amp;ROW(AU23),基本資料填寫!$C:$DU,COLUMN(基本資料填寫!CS24),0),"")</f>
        <v/>
      </c>
      <c r="N26" s="115" t="str">
        <f>IFERROR(VLOOKUP(基本資料填寫!$C$1&amp;"-"&amp;ROW(AV23),基本資料填寫!$C:$DU,COLUMN(基本資料填寫!CT24),0),"")</f>
        <v/>
      </c>
      <c r="O26" s="115" t="str">
        <f>IFERROR(VLOOKUP(基本資料填寫!$C$1&amp;"-"&amp;ROW(N23),基本資料填寫!$C:$DU,COLUMN(基本資料填寫!V24),0),"")</f>
        <v/>
      </c>
      <c r="P26" s="115" t="str">
        <f>IFERROR(VLOOKUP(基本資料填寫!$C$1&amp;"-"&amp;ROW(AT23),基本資料填寫!$C:$DU,COLUMN(基本資料填寫!CR24),0),"")</f>
        <v/>
      </c>
      <c r="Q26" s="115" t="str">
        <f>IFERROR(VLOOKUP(基本資料填寫!$C$1&amp;"-"&amp;ROW(AQ23),基本資料填寫!$C:$DU,COLUMN(基本資料填寫!CO24),0),"")</f>
        <v/>
      </c>
      <c r="R26" s="99" t="str">
        <f>IFERROR(VLOOKUP(基本資料填寫!$C$1&amp;"-"&amp;ROW(Y23),基本資料填寫!$C:$DU,COLUMN(基本資料填寫!AG24),0),"")</f>
        <v/>
      </c>
      <c r="S26" s="99" t="str">
        <f>IFERROR(VLOOKUP(基本資料填寫!$C$1&amp;"-"&amp;ROW(Z23),基本資料填寫!$C:$DU,COLUMN(基本資料填寫!AH24),0),"")</f>
        <v/>
      </c>
      <c r="AB26" s="115" t="str">
        <f>IFERROR(VLOOKUP(基本資料填寫!$C$1&amp;"-"&amp;ROW(BL23),基本資料填寫!$C:$DU,COLUMN(基本資料填寫!DK24),0),"")</f>
        <v/>
      </c>
      <c r="BG26" s="115" t="str">
        <f>IFERROR(VLOOKUP(基本資料填寫!$C$1&amp;"-"&amp;ROW(E23),基本資料填寫!$C:$DU,COLUMN(基本資料填寫!M24),0),"")</f>
        <v/>
      </c>
      <c r="BU26" s="115" t="str">
        <f>IFERROR(VLOOKUP(基本資料填寫!$C$1&amp;"-"&amp;ROW(O23),基本資料填寫!$C:$DU,COLUMN(基本資料填寫!W24),0),"")</f>
        <v/>
      </c>
      <c r="BV26" s="99" t="str">
        <f>IFERROR(VLOOKUP(基本資料填寫!$C$1&amp;"-"&amp;ROW(AA23),基本資料填寫!$C:$DU,COLUMN(基本資料填寫!AI24),0),"")</f>
        <v/>
      </c>
    </row>
    <row r="27" spans="1:74" ht="16.2" x14ac:dyDescent="0.3">
      <c r="A27" s="207"/>
      <c r="B27" s="114" t="str">
        <f>IF(I27="","",COUNTA($I$4:I27))</f>
        <v/>
      </c>
      <c r="C27" s="114" t="str">
        <f>IFERROR(VLOOKUP(基本資料填寫!$C$1&amp;"-"&amp;ROW(X24),基本資料填寫!$C:$DU,COLUMN(基本資料填寫!BV25),0),"")</f>
        <v/>
      </c>
      <c r="D27" s="99" t="str">
        <f>IFERROR(VLOOKUP(基本資料填寫!$C$1&amp;"-"&amp;ROW(D24),基本資料填寫!$C:$DU,COLUMN(基本資料填寫!L25),0),"")</f>
        <v/>
      </c>
      <c r="E27" s="115" t="str">
        <f>IFERROR(VLOOKUP(基本資料填寫!$C$1&amp;"-"&amp;ROW(AP24),基本資料填寫!$C:$DU,COLUMN(基本資料填寫!CN25),0),"")</f>
        <v/>
      </c>
      <c r="F27" s="114" t="str">
        <f>IFERROR(VLOOKUP(基本資料填寫!$C$1&amp;"-"&amp;ROW(I24),基本資料填寫!$C:$DU,COLUMN(基本資料填寫!Q25),0),"")</f>
        <v/>
      </c>
      <c r="G27" s="114" t="str">
        <f>IFERROR(VLOOKUP(基本資料填寫!$C$1&amp;"-"&amp;ROW(L24),基本資料填寫!$C:$DU,COLUMN(基本資料填寫!T25),0),"")</f>
        <v/>
      </c>
      <c r="H27" s="114" t="str">
        <f>IFERROR(VLOOKUP(基本資料填寫!$C$1&amp;"-"&amp;ROW(F24),基本資料填寫!$C:$DU,COLUMN(基本資料填寫!N25),0),"")</f>
        <v/>
      </c>
      <c r="I27" s="114" t="str">
        <f>IFERROR(VLOOKUP(基本資料填寫!$C$1&amp;"-"&amp;ROW(G24),基本資料填寫!$C:$DU,COLUMN(基本資料填寫!O25),0),"")</f>
        <v/>
      </c>
      <c r="J27" s="114" t="str">
        <f>IFERROR(VLOOKUP(基本資料填寫!$C$1&amp;"-"&amp;ROW(E24),基本資料填寫!$C:$DU,COLUMN(基本資料填寫!M25),0),"")</f>
        <v/>
      </c>
      <c r="K27" s="99" t="str">
        <f>IFERROR(VLOOKUP(基本資料填寫!$C$1&amp;"-"&amp;ROW(X24),基本資料填寫!$C:$DU,COLUMN(基本資料填寫!AF25),0),"")</f>
        <v/>
      </c>
      <c r="L27" s="115" t="str">
        <f>IFERROR(VLOOKUP(基本資料填寫!$C$1&amp;"-"&amp;ROW(AW24),基本資料填寫!$C:$DU,COLUMN(基本資料填寫!CU25),0),"")</f>
        <v/>
      </c>
      <c r="M27" s="115" t="str">
        <f>IFERROR(VLOOKUP(基本資料填寫!$C$1&amp;"-"&amp;ROW(AU24),基本資料填寫!$C:$DU,COLUMN(基本資料填寫!CS25),0),"")</f>
        <v/>
      </c>
      <c r="N27" s="115" t="str">
        <f>IFERROR(VLOOKUP(基本資料填寫!$C$1&amp;"-"&amp;ROW(AV24),基本資料填寫!$C:$DU,COLUMN(基本資料填寫!CT25),0),"")</f>
        <v/>
      </c>
      <c r="O27" s="115" t="str">
        <f>IFERROR(VLOOKUP(基本資料填寫!$C$1&amp;"-"&amp;ROW(N24),基本資料填寫!$C:$DU,COLUMN(基本資料填寫!V25),0),"")</f>
        <v/>
      </c>
      <c r="P27" s="115" t="str">
        <f>IFERROR(VLOOKUP(基本資料填寫!$C$1&amp;"-"&amp;ROW(AT24),基本資料填寫!$C:$DU,COLUMN(基本資料填寫!CR25),0),"")</f>
        <v/>
      </c>
      <c r="Q27" s="115" t="str">
        <f>IFERROR(VLOOKUP(基本資料填寫!$C$1&amp;"-"&amp;ROW(AQ24),基本資料填寫!$C:$DU,COLUMN(基本資料填寫!CO25),0),"")</f>
        <v/>
      </c>
      <c r="R27" s="99" t="str">
        <f>IFERROR(VLOOKUP(基本資料填寫!$C$1&amp;"-"&amp;ROW(Y24),基本資料填寫!$C:$DU,COLUMN(基本資料填寫!AG25),0),"")</f>
        <v/>
      </c>
      <c r="S27" s="99" t="str">
        <f>IFERROR(VLOOKUP(基本資料填寫!$C$1&amp;"-"&amp;ROW(Z24),基本資料填寫!$C:$DU,COLUMN(基本資料填寫!AH25),0),"")</f>
        <v/>
      </c>
      <c r="AB27" s="115" t="str">
        <f>IFERROR(VLOOKUP(基本資料填寫!$C$1&amp;"-"&amp;ROW(BL24),基本資料填寫!$C:$DU,COLUMN(基本資料填寫!DK25),0),"")</f>
        <v/>
      </c>
      <c r="BG27" s="115" t="str">
        <f>IFERROR(VLOOKUP(基本資料填寫!$C$1&amp;"-"&amp;ROW(E24),基本資料填寫!$C:$DU,COLUMN(基本資料填寫!M25),0),"")</f>
        <v/>
      </c>
      <c r="BU27" s="115" t="str">
        <f>IFERROR(VLOOKUP(基本資料填寫!$C$1&amp;"-"&amp;ROW(O24),基本資料填寫!$C:$DU,COLUMN(基本資料填寫!W25),0),"")</f>
        <v/>
      </c>
      <c r="BV27" s="99" t="str">
        <f>IFERROR(VLOOKUP(基本資料填寫!$C$1&amp;"-"&amp;ROW(AA24),基本資料填寫!$C:$DU,COLUMN(基本資料填寫!AI25),0),"")</f>
        <v/>
      </c>
    </row>
    <row r="28" spans="1:74" ht="16.2" x14ac:dyDescent="0.3">
      <c r="A28" s="207"/>
      <c r="B28" s="114" t="str">
        <f>IF(I28="","",COUNTA($I$4:I28))</f>
        <v/>
      </c>
      <c r="C28" s="114" t="str">
        <f>IFERROR(VLOOKUP(基本資料填寫!$C$1&amp;"-"&amp;ROW(X25),基本資料填寫!$C:$DU,COLUMN(基本資料填寫!BV26),0),"")</f>
        <v/>
      </c>
      <c r="D28" s="99" t="str">
        <f>IFERROR(VLOOKUP(基本資料填寫!$C$1&amp;"-"&amp;ROW(D25),基本資料填寫!$C:$DU,COLUMN(基本資料填寫!L26),0),"")</f>
        <v/>
      </c>
      <c r="E28" s="115" t="str">
        <f>IFERROR(VLOOKUP(基本資料填寫!$C$1&amp;"-"&amp;ROW(AP25),基本資料填寫!$C:$DU,COLUMN(基本資料填寫!CN26),0),"")</f>
        <v/>
      </c>
      <c r="F28" s="114" t="str">
        <f>IFERROR(VLOOKUP(基本資料填寫!$C$1&amp;"-"&amp;ROW(I25),基本資料填寫!$C:$DU,COLUMN(基本資料填寫!Q26),0),"")</f>
        <v/>
      </c>
      <c r="G28" s="114" t="str">
        <f>IFERROR(VLOOKUP(基本資料填寫!$C$1&amp;"-"&amp;ROW(L25),基本資料填寫!$C:$DU,COLUMN(基本資料填寫!T26),0),"")</f>
        <v/>
      </c>
      <c r="H28" s="114" t="str">
        <f>IFERROR(VLOOKUP(基本資料填寫!$C$1&amp;"-"&amp;ROW(F25),基本資料填寫!$C:$DU,COLUMN(基本資料填寫!N26),0),"")</f>
        <v/>
      </c>
      <c r="I28" s="114" t="str">
        <f>IFERROR(VLOOKUP(基本資料填寫!$C$1&amp;"-"&amp;ROW(G25),基本資料填寫!$C:$DU,COLUMN(基本資料填寫!O26),0),"")</f>
        <v/>
      </c>
      <c r="J28" s="114" t="str">
        <f>IFERROR(VLOOKUP(基本資料填寫!$C$1&amp;"-"&amp;ROW(E25),基本資料填寫!$C:$DU,COLUMN(基本資料填寫!M26),0),"")</f>
        <v/>
      </c>
      <c r="K28" s="99" t="str">
        <f>IFERROR(VLOOKUP(基本資料填寫!$C$1&amp;"-"&amp;ROW(X25),基本資料填寫!$C:$DU,COLUMN(基本資料填寫!AF26),0),"")</f>
        <v/>
      </c>
      <c r="L28" s="115" t="str">
        <f>IFERROR(VLOOKUP(基本資料填寫!$C$1&amp;"-"&amp;ROW(AW25),基本資料填寫!$C:$DU,COLUMN(基本資料填寫!CU26),0),"")</f>
        <v/>
      </c>
      <c r="M28" s="115" t="str">
        <f>IFERROR(VLOOKUP(基本資料填寫!$C$1&amp;"-"&amp;ROW(AU25),基本資料填寫!$C:$DU,COLUMN(基本資料填寫!CS26),0),"")</f>
        <v/>
      </c>
      <c r="N28" s="115" t="str">
        <f>IFERROR(VLOOKUP(基本資料填寫!$C$1&amp;"-"&amp;ROW(AV25),基本資料填寫!$C:$DU,COLUMN(基本資料填寫!CT26),0),"")</f>
        <v/>
      </c>
      <c r="O28" s="115" t="str">
        <f>IFERROR(VLOOKUP(基本資料填寫!$C$1&amp;"-"&amp;ROW(N25),基本資料填寫!$C:$DU,COLUMN(基本資料填寫!V26),0),"")</f>
        <v/>
      </c>
      <c r="P28" s="115" t="str">
        <f>IFERROR(VLOOKUP(基本資料填寫!$C$1&amp;"-"&amp;ROW(AT25),基本資料填寫!$C:$DU,COLUMN(基本資料填寫!CR26),0),"")</f>
        <v/>
      </c>
      <c r="Q28" s="115" t="str">
        <f>IFERROR(VLOOKUP(基本資料填寫!$C$1&amp;"-"&amp;ROW(AQ25),基本資料填寫!$C:$DU,COLUMN(基本資料填寫!CO26),0),"")</f>
        <v/>
      </c>
      <c r="R28" s="99" t="str">
        <f>IFERROR(VLOOKUP(基本資料填寫!$C$1&amp;"-"&amp;ROW(Y25),基本資料填寫!$C:$DU,COLUMN(基本資料填寫!AG26),0),"")</f>
        <v/>
      </c>
      <c r="S28" s="99" t="str">
        <f>IFERROR(VLOOKUP(基本資料填寫!$C$1&amp;"-"&amp;ROW(Z25),基本資料填寫!$C:$DU,COLUMN(基本資料填寫!AH26),0),"")</f>
        <v/>
      </c>
      <c r="AB28" s="115" t="str">
        <f>IFERROR(VLOOKUP(基本資料填寫!$C$1&amp;"-"&amp;ROW(BL25),基本資料填寫!$C:$DU,COLUMN(基本資料填寫!DK26),0),"")</f>
        <v/>
      </c>
      <c r="BG28" s="115" t="str">
        <f>IFERROR(VLOOKUP(基本資料填寫!$C$1&amp;"-"&amp;ROW(E25),基本資料填寫!$C:$DU,COLUMN(基本資料填寫!M26),0),"")</f>
        <v/>
      </c>
      <c r="BU28" s="115" t="str">
        <f>IFERROR(VLOOKUP(基本資料填寫!$C$1&amp;"-"&amp;ROW(O25),基本資料填寫!$C:$DU,COLUMN(基本資料填寫!W26),0),"")</f>
        <v/>
      </c>
      <c r="BV28" s="99" t="str">
        <f>IFERROR(VLOOKUP(基本資料填寫!$C$1&amp;"-"&amp;ROW(AA25),基本資料填寫!$C:$DU,COLUMN(基本資料填寫!AI26),0),"")</f>
        <v/>
      </c>
    </row>
    <row r="29" spans="1:74" ht="16.2" x14ac:dyDescent="0.3">
      <c r="A29" s="207"/>
      <c r="B29" s="114" t="str">
        <f>IF(I29="","",COUNTA($I$4:I29))</f>
        <v/>
      </c>
      <c r="C29" s="114" t="str">
        <f>IFERROR(VLOOKUP(基本資料填寫!$C$1&amp;"-"&amp;ROW(X26),基本資料填寫!$C:$DU,COLUMN(基本資料填寫!BV27),0),"")</f>
        <v/>
      </c>
      <c r="D29" s="99" t="str">
        <f>IFERROR(VLOOKUP(基本資料填寫!$C$1&amp;"-"&amp;ROW(D26),基本資料填寫!$C:$DU,COLUMN(基本資料填寫!L27),0),"")</f>
        <v/>
      </c>
      <c r="E29" s="115" t="str">
        <f>IFERROR(VLOOKUP(基本資料填寫!$C$1&amp;"-"&amp;ROW(AP26),基本資料填寫!$C:$DU,COLUMN(基本資料填寫!CN27),0),"")</f>
        <v/>
      </c>
      <c r="F29" s="114" t="str">
        <f>IFERROR(VLOOKUP(基本資料填寫!$C$1&amp;"-"&amp;ROW(I26),基本資料填寫!$C:$DU,COLUMN(基本資料填寫!Q27),0),"")</f>
        <v/>
      </c>
      <c r="G29" s="114" t="str">
        <f>IFERROR(VLOOKUP(基本資料填寫!$C$1&amp;"-"&amp;ROW(L26),基本資料填寫!$C:$DU,COLUMN(基本資料填寫!T27),0),"")</f>
        <v/>
      </c>
      <c r="H29" s="114" t="str">
        <f>IFERROR(VLOOKUP(基本資料填寫!$C$1&amp;"-"&amp;ROW(F26),基本資料填寫!$C:$DU,COLUMN(基本資料填寫!N27),0),"")</f>
        <v/>
      </c>
      <c r="I29" s="114" t="str">
        <f>IFERROR(VLOOKUP(基本資料填寫!$C$1&amp;"-"&amp;ROW(G26),基本資料填寫!$C:$DU,COLUMN(基本資料填寫!O27),0),"")</f>
        <v/>
      </c>
      <c r="J29" s="114" t="str">
        <f>IFERROR(VLOOKUP(基本資料填寫!$C$1&amp;"-"&amp;ROW(E26),基本資料填寫!$C:$DU,COLUMN(基本資料填寫!M27),0),"")</f>
        <v/>
      </c>
      <c r="K29" s="99" t="str">
        <f>IFERROR(VLOOKUP(基本資料填寫!$C$1&amp;"-"&amp;ROW(X26),基本資料填寫!$C:$DU,COLUMN(基本資料填寫!AF27),0),"")</f>
        <v/>
      </c>
      <c r="L29" s="115" t="str">
        <f>IFERROR(VLOOKUP(基本資料填寫!$C$1&amp;"-"&amp;ROW(AW26),基本資料填寫!$C:$DU,COLUMN(基本資料填寫!CU27),0),"")</f>
        <v/>
      </c>
      <c r="M29" s="115" t="str">
        <f>IFERROR(VLOOKUP(基本資料填寫!$C$1&amp;"-"&amp;ROW(AU26),基本資料填寫!$C:$DU,COLUMN(基本資料填寫!CS27),0),"")</f>
        <v/>
      </c>
      <c r="N29" s="115" t="str">
        <f>IFERROR(VLOOKUP(基本資料填寫!$C$1&amp;"-"&amp;ROW(AV26),基本資料填寫!$C:$DU,COLUMN(基本資料填寫!CT27),0),"")</f>
        <v/>
      </c>
      <c r="O29" s="115" t="str">
        <f>IFERROR(VLOOKUP(基本資料填寫!$C$1&amp;"-"&amp;ROW(N26),基本資料填寫!$C:$DU,COLUMN(基本資料填寫!V27),0),"")</f>
        <v/>
      </c>
      <c r="P29" s="115" t="str">
        <f>IFERROR(VLOOKUP(基本資料填寫!$C$1&amp;"-"&amp;ROW(AT26),基本資料填寫!$C:$DU,COLUMN(基本資料填寫!CR27),0),"")</f>
        <v/>
      </c>
      <c r="Q29" s="115" t="str">
        <f>IFERROR(VLOOKUP(基本資料填寫!$C$1&amp;"-"&amp;ROW(AQ26),基本資料填寫!$C:$DU,COLUMN(基本資料填寫!CO27),0),"")</f>
        <v/>
      </c>
      <c r="R29" s="99" t="str">
        <f>IFERROR(VLOOKUP(基本資料填寫!$C$1&amp;"-"&amp;ROW(Y26),基本資料填寫!$C:$DU,COLUMN(基本資料填寫!AG27),0),"")</f>
        <v/>
      </c>
      <c r="S29" s="99" t="str">
        <f>IFERROR(VLOOKUP(基本資料填寫!$C$1&amp;"-"&amp;ROW(Z26),基本資料填寫!$C:$DU,COLUMN(基本資料填寫!AH27),0),"")</f>
        <v/>
      </c>
      <c r="AB29" s="115" t="str">
        <f>IFERROR(VLOOKUP(基本資料填寫!$C$1&amp;"-"&amp;ROW(BL26),基本資料填寫!$C:$DU,COLUMN(基本資料填寫!DK27),0),"")</f>
        <v/>
      </c>
      <c r="BG29" s="115" t="str">
        <f>IFERROR(VLOOKUP(基本資料填寫!$C$1&amp;"-"&amp;ROW(E26),基本資料填寫!$C:$DU,COLUMN(基本資料填寫!M27),0),"")</f>
        <v/>
      </c>
      <c r="BU29" s="115" t="str">
        <f>IFERROR(VLOOKUP(基本資料填寫!$C$1&amp;"-"&amp;ROW(O26),基本資料填寫!$C:$DU,COLUMN(基本資料填寫!W27),0),"")</f>
        <v/>
      </c>
      <c r="BV29" s="99" t="str">
        <f>IFERROR(VLOOKUP(基本資料填寫!$C$1&amp;"-"&amp;ROW(AA26),基本資料填寫!$C:$DU,COLUMN(基本資料填寫!AI27),0),"")</f>
        <v/>
      </c>
    </row>
    <row r="30" spans="1:74" ht="16.2" x14ac:dyDescent="0.3">
      <c r="A30" s="207"/>
      <c r="B30" s="114" t="str">
        <f>IF(I30="","",COUNTA($I$4:I30))</f>
        <v/>
      </c>
      <c r="C30" s="114" t="str">
        <f>IFERROR(VLOOKUP(基本資料填寫!$C$1&amp;"-"&amp;ROW(X27),基本資料填寫!$C:$DU,COLUMN(基本資料填寫!BV28),0),"")</f>
        <v/>
      </c>
      <c r="D30" s="99" t="str">
        <f>IFERROR(VLOOKUP(基本資料填寫!$C$1&amp;"-"&amp;ROW(D27),基本資料填寫!$C:$DU,COLUMN(基本資料填寫!L28),0),"")</f>
        <v/>
      </c>
      <c r="E30" s="115" t="str">
        <f>IFERROR(VLOOKUP(基本資料填寫!$C$1&amp;"-"&amp;ROW(AP27),基本資料填寫!$C:$DU,COLUMN(基本資料填寫!CN28),0),"")</f>
        <v/>
      </c>
      <c r="F30" s="114" t="str">
        <f>IFERROR(VLOOKUP(基本資料填寫!$C$1&amp;"-"&amp;ROW(I27),基本資料填寫!$C:$DU,COLUMN(基本資料填寫!Q28),0),"")</f>
        <v/>
      </c>
      <c r="G30" s="114" t="str">
        <f>IFERROR(VLOOKUP(基本資料填寫!$C$1&amp;"-"&amp;ROW(L27),基本資料填寫!$C:$DU,COLUMN(基本資料填寫!T28),0),"")</f>
        <v/>
      </c>
      <c r="H30" s="114" t="str">
        <f>IFERROR(VLOOKUP(基本資料填寫!$C$1&amp;"-"&amp;ROW(F27),基本資料填寫!$C:$DU,COLUMN(基本資料填寫!N28),0),"")</f>
        <v/>
      </c>
      <c r="I30" s="114" t="str">
        <f>IFERROR(VLOOKUP(基本資料填寫!$C$1&amp;"-"&amp;ROW(G27),基本資料填寫!$C:$DU,COLUMN(基本資料填寫!O28),0),"")</f>
        <v/>
      </c>
      <c r="J30" s="114" t="str">
        <f>IFERROR(VLOOKUP(基本資料填寫!$C$1&amp;"-"&amp;ROW(E27),基本資料填寫!$C:$DU,COLUMN(基本資料填寫!M28),0),"")</f>
        <v/>
      </c>
      <c r="K30" s="99" t="str">
        <f>IFERROR(VLOOKUP(基本資料填寫!$C$1&amp;"-"&amp;ROW(X27),基本資料填寫!$C:$DU,COLUMN(基本資料填寫!AF28),0),"")</f>
        <v/>
      </c>
      <c r="L30" s="115" t="str">
        <f>IFERROR(VLOOKUP(基本資料填寫!$C$1&amp;"-"&amp;ROW(AW27),基本資料填寫!$C:$DU,COLUMN(基本資料填寫!CU28),0),"")</f>
        <v/>
      </c>
      <c r="M30" s="115" t="str">
        <f>IFERROR(VLOOKUP(基本資料填寫!$C$1&amp;"-"&amp;ROW(AU27),基本資料填寫!$C:$DU,COLUMN(基本資料填寫!CS28),0),"")</f>
        <v/>
      </c>
      <c r="N30" s="115" t="str">
        <f>IFERROR(VLOOKUP(基本資料填寫!$C$1&amp;"-"&amp;ROW(AV27),基本資料填寫!$C:$DU,COLUMN(基本資料填寫!CT28),0),"")</f>
        <v/>
      </c>
      <c r="O30" s="115" t="str">
        <f>IFERROR(VLOOKUP(基本資料填寫!$C$1&amp;"-"&amp;ROW(N27),基本資料填寫!$C:$DU,COLUMN(基本資料填寫!V28),0),"")</f>
        <v/>
      </c>
      <c r="P30" s="115" t="str">
        <f>IFERROR(VLOOKUP(基本資料填寫!$C$1&amp;"-"&amp;ROW(AT27),基本資料填寫!$C:$DU,COLUMN(基本資料填寫!CR28),0),"")</f>
        <v/>
      </c>
      <c r="Q30" s="115" t="str">
        <f>IFERROR(VLOOKUP(基本資料填寫!$C$1&amp;"-"&amp;ROW(AQ27),基本資料填寫!$C:$DU,COLUMN(基本資料填寫!CO28),0),"")</f>
        <v/>
      </c>
      <c r="R30" s="99" t="str">
        <f>IFERROR(VLOOKUP(基本資料填寫!$C$1&amp;"-"&amp;ROW(Y27),基本資料填寫!$C:$DU,COLUMN(基本資料填寫!AG28),0),"")</f>
        <v/>
      </c>
      <c r="S30" s="99" t="str">
        <f>IFERROR(VLOOKUP(基本資料填寫!$C$1&amp;"-"&amp;ROW(Z27),基本資料填寫!$C:$DU,COLUMN(基本資料填寫!AH28),0),"")</f>
        <v/>
      </c>
      <c r="AB30" s="115" t="str">
        <f>IFERROR(VLOOKUP(基本資料填寫!$C$1&amp;"-"&amp;ROW(BL27),基本資料填寫!$C:$DU,COLUMN(基本資料填寫!DK28),0),"")</f>
        <v/>
      </c>
      <c r="BG30" s="115" t="str">
        <f>IFERROR(VLOOKUP(基本資料填寫!$C$1&amp;"-"&amp;ROW(E27),基本資料填寫!$C:$DU,COLUMN(基本資料填寫!M28),0),"")</f>
        <v/>
      </c>
      <c r="BU30" s="115" t="str">
        <f>IFERROR(VLOOKUP(基本資料填寫!$C$1&amp;"-"&amp;ROW(O27),基本資料填寫!$C:$DU,COLUMN(基本資料填寫!W28),0),"")</f>
        <v/>
      </c>
      <c r="BV30" s="99" t="str">
        <f>IFERROR(VLOOKUP(基本資料填寫!$C$1&amp;"-"&amp;ROW(AA27),基本資料填寫!$C:$DU,COLUMN(基本資料填寫!AI28),0),"")</f>
        <v/>
      </c>
    </row>
    <row r="31" spans="1:74" ht="16.2" x14ac:dyDescent="0.3">
      <c r="A31" s="207"/>
      <c r="B31" s="114" t="str">
        <f>IF(I31="","",COUNTA($I$4:I31))</f>
        <v/>
      </c>
      <c r="C31" s="114" t="str">
        <f>IFERROR(VLOOKUP(基本資料填寫!$C$1&amp;"-"&amp;ROW(X28),基本資料填寫!$C:$DU,COLUMN(基本資料填寫!BV29),0),"")</f>
        <v/>
      </c>
      <c r="D31" s="99" t="str">
        <f>IFERROR(VLOOKUP(基本資料填寫!$C$1&amp;"-"&amp;ROW(D28),基本資料填寫!$C:$DU,COLUMN(基本資料填寫!L29),0),"")</f>
        <v/>
      </c>
      <c r="E31" s="115" t="str">
        <f>IFERROR(VLOOKUP(基本資料填寫!$C$1&amp;"-"&amp;ROW(AP28),基本資料填寫!$C:$DU,COLUMN(基本資料填寫!CN29),0),"")</f>
        <v/>
      </c>
      <c r="F31" s="114" t="str">
        <f>IFERROR(VLOOKUP(基本資料填寫!$C$1&amp;"-"&amp;ROW(I28),基本資料填寫!$C:$DU,COLUMN(基本資料填寫!Q29),0),"")</f>
        <v/>
      </c>
      <c r="G31" s="114" t="str">
        <f>IFERROR(VLOOKUP(基本資料填寫!$C$1&amp;"-"&amp;ROW(L28),基本資料填寫!$C:$DU,COLUMN(基本資料填寫!T29),0),"")</f>
        <v/>
      </c>
      <c r="H31" s="114" t="str">
        <f>IFERROR(VLOOKUP(基本資料填寫!$C$1&amp;"-"&amp;ROW(F28),基本資料填寫!$C:$DU,COLUMN(基本資料填寫!N29),0),"")</f>
        <v/>
      </c>
      <c r="I31" s="114" t="str">
        <f>IFERROR(VLOOKUP(基本資料填寫!$C$1&amp;"-"&amp;ROW(G28),基本資料填寫!$C:$DU,COLUMN(基本資料填寫!O29),0),"")</f>
        <v/>
      </c>
      <c r="J31" s="114" t="str">
        <f>IFERROR(VLOOKUP(基本資料填寫!$C$1&amp;"-"&amp;ROW(E28),基本資料填寫!$C:$DU,COLUMN(基本資料填寫!M29),0),"")</f>
        <v/>
      </c>
      <c r="K31" s="99" t="str">
        <f>IFERROR(VLOOKUP(基本資料填寫!$C$1&amp;"-"&amp;ROW(X28),基本資料填寫!$C:$DU,COLUMN(基本資料填寫!AF29),0),"")</f>
        <v/>
      </c>
      <c r="L31" s="115" t="str">
        <f>IFERROR(VLOOKUP(基本資料填寫!$C$1&amp;"-"&amp;ROW(AW28),基本資料填寫!$C:$DU,COLUMN(基本資料填寫!CU29),0),"")</f>
        <v/>
      </c>
      <c r="M31" s="115" t="str">
        <f>IFERROR(VLOOKUP(基本資料填寫!$C$1&amp;"-"&amp;ROW(AU28),基本資料填寫!$C:$DU,COLUMN(基本資料填寫!CS29),0),"")</f>
        <v/>
      </c>
      <c r="N31" s="115" t="str">
        <f>IFERROR(VLOOKUP(基本資料填寫!$C$1&amp;"-"&amp;ROW(AV28),基本資料填寫!$C:$DU,COLUMN(基本資料填寫!CT29),0),"")</f>
        <v/>
      </c>
      <c r="O31" s="115" t="str">
        <f>IFERROR(VLOOKUP(基本資料填寫!$C$1&amp;"-"&amp;ROW(N28),基本資料填寫!$C:$DU,COLUMN(基本資料填寫!V29),0),"")</f>
        <v/>
      </c>
      <c r="P31" s="115" t="str">
        <f>IFERROR(VLOOKUP(基本資料填寫!$C$1&amp;"-"&amp;ROW(AT28),基本資料填寫!$C:$DU,COLUMN(基本資料填寫!CR29),0),"")</f>
        <v/>
      </c>
      <c r="Q31" s="115" t="str">
        <f>IFERROR(VLOOKUP(基本資料填寫!$C$1&amp;"-"&amp;ROW(AQ28),基本資料填寫!$C:$DU,COLUMN(基本資料填寫!CO29),0),"")</f>
        <v/>
      </c>
      <c r="R31" s="99" t="str">
        <f>IFERROR(VLOOKUP(基本資料填寫!$C$1&amp;"-"&amp;ROW(Y28),基本資料填寫!$C:$DU,COLUMN(基本資料填寫!AG29),0),"")</f>
        <v/>
      </c>
      <c r="S31" s="99" t="str">
        <f>IFERROR(VLOOKUP(基本資料填寫!$C$1&amp;"-"&amp;ROW(Z28),基本資料填寫!$C:$DU,COLUMN(基本資料填寫!AH29),0),"")</f>
        <v/>
      </c>
      <c r="AB31" s="115" t="str">
        <f>IFERROR(VLOOKUP(基本資料填寫!$C$1&amp;"-"&amp;ROW(BL28),基本資料填寫!$C:$DU,COLUMN(基本資料填寫!DK29),0),"")</f>
        <v/>
      </c>
      <c r="BG31" s="115" t="str">
        <f>IFERROR(VLOOKUP(基本資料填寫!$C$1&amp;"-"&amp;ROW(E28),基本資料填寫!$C:$DU,COLUMN(基本資料填寫!M29),0),"")</f>
        <v/>
      </c>
      <c r="BU31" s="115" t="str">
        <f>IFERROR(VLOOKUP(基本資料填寫!$C$1&amp;"-"&amp;ROW(O28),基本資料填寫!$C:$DU,COLUMN(基本資料填寫!W29),0),"")</f>
        <v/>
      </c>
      <c r="BV31" s="99" t="str">
        <f>IFERROR(VLOOKUP(基本資料填寫!$C$1&amp;"-"&amp;ROW(AA28),基本資料填寫!$C:$DU,COLUMN(基本資料填寫!AI29),0),"")</f>
        <v/>
      </c>
    </row>
    <row r="32" spans="1:74" ht="16.2" x14ac:dyDescent="0.3">
      <c r="A32" s="207"/>
      <c r="B32" s="114" t="str">
        <f>IF(I32="","",COUNTA($I$4:I32))</f>
        <v/>
      </c>
      <c r="C32" s="114" t="str">
        <f>IFERROR(VLOOKUP(基本資料填寫!$C$1&amp;"-"&amp;ROW(X29),基本資料填寫!$C:$DU,COLUMN(基本資料填寫!BV30),0),"")</f>
        <v/>
      </c>
      <c r="D32" s="99" t="str">
        <f>IFERROR(VLOOKUP(基本資料填寫!$C$1&amp;"-"&amp;ROW(D29),基本資料填寫!$C:$DU,COLUMN(基本資料填寫!L30),0),"")</f>
        <v/>
      </c>
      <c r="E32" s="115" t="str">
        <f>IFERROR(VLOOKUP(基本資料填寫!$C$1&amp;"-"&amp;ROW(AP29),基本資料填寫!$C:$DU,COLUMN(基本資料填寫!CN30),0),"")</f>
        <v/>
      </c>
      <c r="F32" s="114" t="str">
        <f>IFERROR(VLOOKUP(基本資料填寫!$C$1&amp;"-"&amp;ROW(I29),基本資料填寫!$C:$DU,COLUMN(基本資料填寫!Q30),0),"")</f>
        <v/>
      </c>
      <c r="G32" s="114" t="str">
        <f>IFERROR(VLOOKUP(基本資料填寫!$C$1&amp;"-"&amp;ROW(L29),基本資料填寫!$C:$DU,COLUMN(基本資料填寫!T30),0),"")</f>
        <v/>
      </c>
      <c r="H32" s="114" t="str">
        <f>IFERROR(VLOOKUP(基本資料填寫!$C$1&amp;"-"&amp;ROW(F29),基本資料填寫!$C:$DU,COLUMN(基本資料填寫!N30),0),"")</f>
        <v/>
      </c>
      <c r="I32" s="114" t="str">
        <f>IFERROR(VLOOKUP(基本資料填寫!$C$1&amp;"-"&amp;ROW(G29),基本資料填寫!$C:$DU,COLUMN(基本資料填寫!O30),0),"")</f>
        <v/>
      </c>
      <c r="J32" s="114" t="str">
        <f>IFERROR(VLOOKUP(基本資料填寫!$C$1&amp;"-"&amp;ROW(E29),基本資料填寫!$C:$DU,COLUMN(基本資料填寫!M30),0),"")</f>
        <v/>
      </c>
      <c r="K32" s="99" t="str">
        <f>IFERROR(VLOOKUP(基本資料填寫!$C$1&amp;"-"&amp;ROW(X29),基本資料填寫!$C:$DU,COLUMN(基本資料填寫!AF30),0),"")</f>
        <v/>
      </c>
      <c r="L32" s="115" t="str">
        <f>IFERROR(VLOOKUP(基本資料填寫!$C$1&amp;"-"&amp;ROW(AW29),基本資料填寫!$C:$DU,COLUMN(基本資料填寫!CU30),0),"")</f>
        <v/>
      </c>
      <c r="M32" s="115" t="str">
        <f>IFERROR(VLOOKUP(基本資料填寫!$C$1&amp;"-"&amp;ROW(AU29),基本資料填寫!$C:$DU,COLUMN(基本資料填寫!CS30),0),"")</f>
        <v/>
      </c>
      <c r="N32" s="115" t="str">
        <f>IFERROR(VLOOKUP(基本資料填寫!$C$1&amp;"-"&amp;ROW(AV29),基本資料填寫!$C:$DU,COLUMN(基本資料填寫!CT30),0),"")</f>
        <v/>
      </c>
      <c r="O32" s="115" t="str">
        <f>IFERROR(VLOOKUP(基本資料填寫!$C$1&amp;"-"&amp;ROW(N29),基本資料填寫!$C:$DU,COLUMN(基本資料填寫!V30),0),"")</f>
        <v/>
      </c>
      <c r="P32" s="115" t="str">
        <f>IFERROR(VLOOKUP(基本資料填寫!$C$1&amp;"-"&amp;ROW(AT29),基本資料填寫!$C:$DU,COLUMN(基本資料填寫!CR30),0),"")</f>
        <v/>
      </c>
      <c r="Q32" s="115" t="str">
        <f>IFERROR(VLOOKUP(基本資料填寫!$C$1&amp;"-"&amp;ROW(AQ29),基本資料填寫!$C:$DU,COLUMN(基本資料填寫!CO30),0),"")</f>
        <v/>
      </c>
      <c r="R32" s="99" t="str">
        <f>IFERROR(VLOOKUP(基本資料填寫!$C$1&amp;"-"&amp;ROW(Y29),基本資料填寫!$C:$DU,COLUMN(基本資料填寫!AG30),0),"")</f>
        <v/>
      </c>
      <c r="S32" s="99" t="str">
        <f>IFERROR(VLOOKUP(基本資料填寫!$C$1&amp;"-"&amp;ROW(Z29),基本資料填寫!$C:$DU,COLUMN(基本資料填寫!AH30),0),"")</f>
        <v/>
      </c>
      <c r="AB32" s="115" t="str">
        <f>IFERROR(VLOOKUP(基本資料填寫!$C$1&amp;"-"&amp;ROW(BL29),基本資料填寫!$C:$DU,COLUMN(基本資料填寫!DK30),0),"")</f>
        <v/>
      </c>
      <c r="BG32" s="115" t="str">
        <f>IFERROR(VLOOKUP(基本資料填寫!$C$1&amp;"-"&amp;ROW(E29),基本資料填寫!$C:$DU,COLUMN(基本資料填寫!M30),0),"")</f>
        <v/>
      </c>
      <c r="BU32" s="115" t="str">
        <f>IFERROR(VLOOKUP(基本資料填寫!$C$1&amp;"-"&amp;ROW(O29),基本資料填寫!$C:$DU,COLUMN(基本資料填寫!W30),0),"")</f>
        <v/>
      </c>
      <c r="BV32" s="99" t="str">
        <f>IFERROR(VLOOKUP(基本資料填寫!$C$1&amp;"-"&amp;ROW(AA29),基本資料填寫!$C:$DU,COLUMN(基本資料填寫!AI30),0),"")</f>
        <v/>
      </c>
    </row>
    <row r="33" spans="1:74" ht="16.2" x14ac:dyDescent="0.3">
      <c r="A33" s="207"/>
      <c r="B33" s="114" t="str">
        <f>IF(I33="","",COUNTA($I$4:I33))</f>
        <v/>
      </c>
      <c r="C33" s="114" t="str">
        <f>IFERROR(VLOOKUP(基本資料填寫!$C$1&amp;"-"&amp;ROW(X30),基本資料填寫!$C:$DU,COLUMN(基本資料填寫!BV31),0),"")</f>
        <v/>
      </c>
      <c r="D33" s="99" t="str">
        <f>IFERROR(VLOOKUP(基本資料填寫!$C$1&amp;"-"&amp;ROW(D30),基本資料填寫!$C:$DU,COLUMN(基本資料填寫!L31),0),"")</f>
        <v/>
      </c>
      <c r="E33" s="115" t="str">
        <f>IFERROR(VLOOKUP(基本資料填寫!$C$1&amp;"-"&amp;ROW(AP30),基本資料填寫!$C:$DU,COLUMN(基本資料填寫!CN31),0),"")</f>
        <v/>
      </c>
      <c r="F33" s="114" t="str">
        <f>IFERROR(VLOOKUP(基本資料填寫!$C$1&amp;"-"&amp;ROW(I30),基本資料填寫!$C:$DU,COLUMN(基本資料填寫!Q31),0),"")</f>
        <v/>
      </c>
      <c r="G33" s="114" t="str">
        <f>IFERROR(VLOOKUP(基本資料填寫!$C$1&amp;"-"&amp;ROW(L30),基本資料填寫!$C:$DU,COLUMN(基本資料填寫!T31),0),"")</f>
        <v/>
      </c>
      <c r="H33" s="114" t="str">
        <f>IFERROR(VLOOKUP(基本資料填寫!$C$1&amp;"-"&amp;ROW(F30),基本資料填寫!$C:$DU,COLUMN(基本資料填寫!N31),0),"")</f>
        <v/>
      </c>
      <c r="I33" s="114" t="str">
        <f>IFERROR(VLOOKUP(基本資料填寫!$C$1&amp;"-"&amp;ROW(G30),基本資料填寫!$C:$DU,COLUMN(基本資料填寫!O31),0),"")</f>
        <v/>
      </c>
      <c r="J33" s="114" t="str">
        <f>IFERROR(VLOOKUP(基本資料填寫!$C$1&amp;"-"&amp;ROW(E30),基本資料填寫!$C:$DU,COLUMN(基本資料填寫!M31),0),"")</f>
        <v/>
      </c>
      <c r="K33" s="99" t="str">
        <f>IFERROR(VLOOKUP(基本資料填寫!$C$1&amp;"-"&amp;ROW(X30),基本資料填寫!$C:$DU,COLUMN(基本資料填寫!AF31),0),"")</f>
        <v/>
      </c>
      <c r="L33" s="115" t="str">
        <f>IFERROR(VLOOKUP(基本資料填寫!$C$1&amp;"-"&amp;ROW(AW30),基本資料填寫!$C:$DU,COLUMN(基本資料填寫!CU31),0),"")</f>
        <v/>
      </c>
      <c r="M33" s="115" t="str">
        <f>IFERROR(VLOOKUP(基本資料填寫!$C$1&amp;"-"&amp;ROW(AU30),基本資料填寫!$C:$DU,COLUMN(基本資料填寫!CS31),0),"")</f>
        <v/>
      </c>
      <c r="N33" s="115" t="str">
        <f>IFERROR(VLOOKUP(基本資料填寫!$C$1&amp;"-"&amp;ROW(AV30),基本資料填寫!$C:$DU,COLUMN(基本資料填寫!CT31),0),"")</f>
        <v/>
      </c>
      <c r="O33" s="115" t="str">
        <f>IFERROR(VLOOKUP(基本資料填寫!$C$1&amp;"-"&amp;ROW(N30),基本資料填寫!$C:$DU,COLUMN(基本資料填寫!V31),0),"")</f>
        <v/>
      </c>
      <c r="P33" s="115" t="str">
        <f>IFERROR(VLOOKUP(基本資料填寫!$C$1&amp;"-"&amp;ROW(AT30),基本資料填寫!$C:$DU,COLUMN(基本資料填寫!CR31),0),"")</f>
        <v/>
      </c>
      <c r="Q33" s="115" t="str">
        <f>IFERROR(VLOOKUP(基本資料填寫!$C$1&amp;"-"&amp;ROW(AQ30),基本資料填寫!$C:$DU,COLUMN(基本資料填寫!CO31),0),"")</f>
        <v/>
      </c>
      <c r="R33" s="99" t="str">
        <f>IFERROR(VLOOKUP(基本資料填寫!$C$1&amp;"-"&amp;ROW(Y30),基本資料填寫!$C:$DU,COLUMN(基本資料填寫!AG31),0),"")</f>
        <v/>
      </c>
      <c r="S33" s="99" t="str">
        <f>IFERROR(VLOOKUP(基本資料填寫!$C$1&amp;"-"&amp;ROW(Z30),基本資料填寫!$C:$DU,COLUMN(基本資料填寫!AH31),0),"")</f>
        <v/>
      </c>
      <c r="AB33" s="115" t="str">
        <f>IFERROR(VLOOKUP(基本資料填寫!$C$1&amp;"-"&amp;ROW(BL30),基本資料填寫!$C:$DU,COLUMN(基本資料填寫!DK31),0),"")</f>
        <v/>
      </c>
      <c r="BG33" s="115" t="str">
        <f>IFERROR(VLOOKUP(基本資料填寫!$C$1&amp;"-"&amp;ROW(E30),基本資料填寫!$C:$DU,COLUMN(基本資料填寫!M31),0),"")</f>
        <v/>
      </c>
      <c r="BU33" s="115" t="str">
        <f>IFERROR(VLOOKUP(基本資料填寫!$C$1&amp;"-"&amp;ROW(O30),基本資料填寫!$C:$DU,COLUMN(基本資料填寫!W31),0),"")</f>
        <v/>
      </c>
      <c r="BV33" s="99" t="str">
        <f>IFERROR(VLOOKUP(基本資料填寫!$C$1&amp;"-"&amp;ROW(AA30),基本資料填寫!$C:$DU,COLUMN(基本資料填寫!AI31),0),"")</f>
        <v/>
      </c>
    </row>
    <row r="34" spans="1:74" ht="16.2" x14ac:dyDescent="0.3">
      <c r="A34" s="207"/>
      <c r="B34" s="114" t="str">
        <f>IF(I34="","",COUNTA($I$4:I34))</f>
        <v/>
      </c>
      <c r="C34" s="114" t="str">
        <f>IFERROR(VLOOKUP(基本資料填寫!$C$1&amp;"-"&amp;ROW(X31),基本資料填寫!$C:$DU,COLUMN(基本資料填寫!BV32),0),"")</f>
        <v/>
      </c>
      <c r="D34" s="99" t="str">
        <f>IFERROR(VLOOKUP(基本資料填寫!$C$1&amp;"-"&amp;ROW(D31),基本資料填寫!$C:$DU,COLUMN(基本資料填寫!L32),0),"")</f>
        <v/>
      </c>
      <c r="E34" s="115" t="str">
        <f>IFERROR(VLOOKUP(基本資料填寫!$C$1&amp;"-"&amp;ROW(AP31),基本資料填寫!$C:$DU,COLUMN(基本資料填寫!CN32),0),"")</f>
        <v/>
      </c>
      <c r="F34" s="114" t="str">
        <f>IFERROR(VLOOKUP(基本資料填寫!$C$1&amp;"-"&amp;ROW(I31),基本資料填寫!$C:$DU,COLUMN(基本資料填寫!Q32),0),"")</f>
        <v/>
      </c>
      <c r="G34" s="114" t="str">
        <f>IFERROR(VLOOKUP(基本資料填寫!$C$1&amp;"-"&amp;ROW(L31),基本資料填寫!$C:$DU,COLUMN(基本資料填寫!T32),0),"")</f>
        <v/>
      </c>
      <c r="H34" s="114" t="str">
        <f>IFERROR(VLOOKUP(基本資料填寫!$C$1&amp;"-"&amp;ROW(F31),基本資料填寫!$C:$DU,COLUMN(基本資料填寫!N32),0),"")</f>
        <v/>
      </c>
      <c r="I34" s="114" t="str">
        <f>IFERROR(VLOOKUP(基本資料填寫!$C$1&amp;"-"&amp;ROW(G31),基本資料填寫!$C:$DU,COLUMN(基本資料填寫!O32),0),"")</f>
        <v/>
      </c>
      <c r="J34" s="114" t="str">
        <f>IFERROR(VLOOKUP(基本資料填寫!$C$1&amp;"-"&amp;ROW(E31),基本資料填寫!$C:$DU,COLUMN(基本資料填寫!M32),0),"")</f>
        <v/>
      </c>
      <c r="K34" s="99" t="str">
        <f>IFERROR(VLOOKUP(基本資料填寫!$C$1&amp;"-"&amp;ROW(X31),基本資料填寫!$C:$DU,COLUMN(基本資料填寫!AF32),0),"")</f>
        <v/>
      </c>
      <c r="L34" s="115" t="str">
        <f>IFERROR(VLOOKUP(基本資料填寫!$C$1&amp;"-"&amp;ROW(AW31),基本資料填寫!$C:$DU,COLUMN(基本資料填寫!CU32),0),"")</f>
        <v/>
      </c>
      <c r="M34" s="115" t="str">
        <f>IFERROR(VLOOKUP(基本資料填寫!$C$1&amp;"-"&amp;ROW(AU31),基本資料填寫!$C:$DU,COLUMN(基本資料填寫!CS32),0),"")</f>
        <v/>
      </c>
      <c r="N34" s="115" t="str">
        <f>IFERROR(VLOOKUP(基本資料填寫!$C$1&amp;"-"&amp;ROW(AV31),基本資料填寫!$C:$DU,COLUMN(基本資料填寫!CT32),0),"")</f>
        <v/>
      </c>
      <c r="O34" s="115" t="str">
        <f>IFERROR(VLOOKUP(基本資料填寫!$C$1&amp;"-"&amp;ROW(N31),基本資料填寫!$C:$DU,COLUMN(基本資料填寫!V32),0),"")</f>
        <v/>
      </c>
      <c r="P34" s="115" t="str">
        <f>IFERROR(VLOOKUP(基本資料填寫!$C$1&amp;"-"&amp;ROW(AT31),基本資料填寫!$C:$DU,COLUMN(基本資料填寫!CR32),0),"")</f>
        <v/>
      </c>
      <c r="Q34" s="115" t="str">
        <f>IFERROR(VLOOKUP(基本資料填寫!$C$1&amp;"-"&amp;ROW(AQ31),基本資料填寫!$C:$DU,COLUMN(基本資料填寫!CO32),0),"")</f>
        <v/>
      </c>
      <c r="R34" s="99" t="str">
        <f>IFERROR(VLOOKUP(基本資料填寫!$C$1&amp;"-"&amp;ROW(Y31),基本資料填寫!$C:$DU,COLUMN(基本資料填寫!AG32),0),"")</f>
        <v/>
      </c>
      <c r="S34" s="99" t="str">
        <f>IFERROR(VLOOKUP(基本資料填寫!$C$1&amp;"-"&amp;ROW(Z31),基本資料填寫!$C:$DU,COLUMN(基本資料填寫!AH32),0),"")</f>
        <v/>
      </c>
      <c r="AB34" s="115" t="str">
        <f>IFERROR(VLOOKUP(基本資料填寫!$C$1&amp;"-"&amp;ROW(BL31),基本資料填寫!$C:$DU,COLUMN(基本資料填寫!DK32),0),"")</f>
        <v/>
      </c>
      <c r="BG34" s="115" t="str">
        <f>IFERROR(VLOOKUP(基本資料填寫!$C$1&amp;"-"&amp;ROW(E31),基本資料填寫!$C:$DU,COLUMN(基本資料填寫!M32),0),"")</f>
        <v/>
      </c>
      <c r="BU34" s="115" t="str">
        <f>IFERROR(VLOOKUP(基本資料填寫!$C$1&amp;"-"&amp;ROW(O31),基本資料填寫!$C:$DU,COLUMN(基本資料填寫!W32),0),"")</f>
        <v/>
      </c>
      <c r="BV34" s="99" t="str">
        <f>IFERROR(VLOOKUP(基本資料填寫!$C$1&amp;"-"&amp;ROW(AA31),基本資料填寫!$C:$DU,COLUMN(基本資料填寫!AI32),0),"")</f>
        <v/>
      </c>
    </row>
    <row r="35" spans="1:74" ht="16.2" x14ac:dyDescent="0.3">
      <c r="A35" s="207"/>
      <c r="B35" s="114" t="str">
        <f>IF(I35="","",COUNTA($I$4:I35))</f>
        <v/>
      </c>
      <c r="C35" s="114" t="str">
        <f>IFERROR(VLOOKUP(基本資料填寫!$C$1&amp;"-"&amp;ROW(X32),基本資料填寫!$C:$DU,COLUMN(基本資料填寫!BV33),0),"")</f>
        <v/>
      </c>
      <c r="D35" s="99" t="str">
        <f>IFERROR(VLOOKUP(基本資料填寫!$C$1&amp;"-"&amp;ROW(D32),基本資料填寫!$C:$DU,COLUMN(基本資料填寫!L33),0),"")</f>
        <v/>
      </c>
      <c r="E35" s="115" t="str">
        <f>IFERROR(VLOOKUP(基本資料填寫!$C$1&amp;"-"&amp;ROW(AP32),基本資料填寫!$C:$DU,COLUMN(基本資料填寫!CN33),0),"")</f>
        <v/>
      </c>
      <c r="F35" s="114" t="str">
        <f>IFERROR(VLOOKUP(基本資料填寫!$C$1&amp;"-"&amp;ROW(I32),基本資料填寫!$C:$DU,COLUMN(基本資料填寫!Q33),0),"")</f>
        <v/>
      </c>
      <c r="G35" s="114" t="str">
        <f>IFERROR(VLOOKUP(基本資料填寫!$C$1&amp;"-"&amp;ROW(L32),基本資料填寫!$C:$DU,COLUMN(基本資料填寫!T33),0),"")</f>
        <v/>
      </c>
      <c r="H35" s="114" t="str">
        <f>IFERROR(VLOOKUP(基本資料填寫!$C$1&amp;"-"&amp;ROW(F32),基本資料填寫!$C:$DU,COLUMN(基本資料填寫!N33),0),"")</f>
        <v/>
      </c>
      <c r="I35" s="114" t="str">
        <f>IFERROR(VLOOKUP(基本資料填寫!$C$1&amp;"-"&amp;ROW(G32),基本資料填寫!$C:$DU,COLUMN(基本資料填寫!O33),0),"")</f>
        <v/>
      </c>
      <c r="J35" s="114" t="str">
        <f>IFERROR(VLOOKUP(基本資料填寫!$C$1&amp;"-"&amp;ROW(E32),基本資料填寫!$C:$DU,COLUMN(基本資料填寫!M33),0),"")</f>
        <v/>
      </c>
      <c r="K35" s="99" t="str">
        <f>IFERROR(VLOOKUP(基本資料填寫!$C$1&amp;"-"&amp;ROW(X32),基本資料填寫!$C:$DU,COLUMN(基本資料填寫!AF33),0),"")</f>
        <v/>
      </c>
      <c r="L35" s="115" t="str">
        <f>IFERROR(VLOOKUP(基本資料填寫!$C$1&amp;"-"&amp;ROW(AW32),基本資料填寫!$C:$DU,COLUMN(基本資料填寫!CU33),0),"")</f>
        <v/>
      </c>
      <c r="M35" s="115" t="str">
        <f>IFERROR(VLOOKUP(基本資料填寫!$C$1&amp;"-"&amp;ROW(AU32),基本資料填寫!$C:$DU,COLUMN(基本資料填寫!CS33),0),"")</f>
        <v/>
      </c>
      <c r="N35" s="115" t="str">
        <f>IFERROR(VLOOKUP(基本資料填寫!$C$1&amp;"-"&amp;ROW(AV32),基本資料填寫!$C:$DU,COLUMN(基本資料填寫!CT33),0),"")</f>
        <v/>
      </c>
      <c r="O35" s="115" t="str">
        <f>IFERROR(VLOOKUP(基本資料填寫!$C$1&amp;"-"&amp;ROW(N32),基本資料填寫!$C:$DU,COLUMN(基本資料填寫!V33),0),"")</f>
        <v/>
      </c>
      <c r="P35" s="115" t="str">
        <f>IFERROR(VLOOKUP(基本資料填寫!$C$1&amp;"-"&amp;ROW(AT32),基本資料填寫!$C:$DU,COLUMN(基本資料填寫!CR33),0),"")</f>
        <v/>
      </c>
      <c r="Q35" s="115" t="str">
        <f>IFERROR(VLOOKUP(基本資料填寫!$C$1&amp;"-"&amp;ROW(AQ32),基本資料填寫!$C:$DU,COLUMN(基本資料填寫!CO33),0),"")</f>
        <v/>
      </c>
      <c r="R35" s="99" t="str">
        <f>IFERROR(VLOOKUP(基本資料填寫!$C$1&amp;"-"&amp;ROW(Y32),基本資料填寫!$C:$DU,COLUMN(基本資料填寫!AG33),0),"")</f>
        <v/>
      </c>
      <c r="S35" s="99" t="str">
        <f>IFERROR(VLOOKUP(基本資料填寫!$C$1&amp;"-"&amp;ROW(Z32),基本資料填寫!$C:$DU,COLUMN(基本資料填寫!AH33),0),"")</f>
        <v/>
      </c>
      <c r="AB35" s="115" t="str">
        <f>IFERROR(VLOOKUP(基本資料填寫!$C$1&amp;"-"&amp;ROW(BL32),基本資料填寫!$C:$DU,COLUMN(基本資料填寫!DK33),0),"")</f>
        <v/>
      </c>
      <c r="BG35" s="115" t="str">
        <f>IFERROR(VLOOKUP(基本資料填寫!$C$1&amp;"-"&amp;ROW(E32),基本資料填寫!$C:$DU,COLUMN(基本資料填寫!M33),0),"")</f>
        <v/>
      </c>
      <c r="BU35" s="115" t="str">
        <f>IFERROR(VLOOKUP(基本資料填寫!$C$1&amp;"-"&amp;ROW(O32),基本資料填寫!$C:$DU,COLUMN(基本資料填寫!W33),0),"")</f>
        <v/>
      </c>
      <c r="BV35" s="99" t="str">
        <f>IFERROR(VLOOKUP(基本資料填寫!$C$1&amp;"-"&amp;ROW(AA32),基本資料填寫!$C:$DU,COLUMN(基本資料填寫!AI33),0),"")</f>
        <v/>
      </c>
    </row>
    <row r="36" spans="1:74" ht="16.2" x14ac:dyDescent="0.3">
      <c r="A36" s="207"/>
      <c r="B36" s="114" t="str">
        <f>IF(I36="","",COUNTA($I$4:I36))</f>
        <v/>
      </c>
      <c r="C36" s="114" t="str">
        <f>IFERROR(VLOOKUP(基本資料填寫!$C$1&amp;"-"&amp;ROW(X33),基本資料填寫!$C:$DU,COLUMN(基本資料填寫!BV34),0),"")</f>
        <v/>
      </c>
      <c r="D36" s="99" t="str">
        <f>IFERROR(VLOOKUP(基本資料填寫!$C$1&amp;"-"&amp;ROW(D33),基本資料填寫!$C:$DU,COLUMN(基本資料填寫!L34),0),"")</f>
        <v/>
      </c>
      <c r="E36" s="115" t="str">
        <f>IFERROR(VLOOKUP(基本資料填寫!$C$1&amp;"-"&amp;ROW(AP33),基本資料填寫!$C:$DU,COLUMN(基本資料填寫!CN34),0),"")</f>
        <v/>
      </c>
      <c r="F36" s="114" t="str">
        <f>IFERROR(VLOOKUP(基本資料填寫!$C$1&amp;"-"&amp;ROW(I33),基本資料填寫!$C:$DU,COLUMN(基本資料填寫!Q34),0),"")</f>
        <v/>
      </c>
      <c r="G36" s="114" t="str">
        <f>IFERROR(VLOOKUP(基本資料填寫!$C$1&amp;"-"&amp;ROW(L33),基本資料填寫!$C:$DU,COLUMN(基本資料填寫!T34),0),"")</f>
        <v/>
      </c>
      <c r="H36" s="114" t="str">
        <f>IFERROR(VLOOKUP(基本資料填寫!$C$1&amp;"-"&amp;ROW(F33),基本資料填寫!$C:$DU,COLUMN(基本資料填寫!N34),0),"")</f>
        <v/>
      </c>
      <c r="I36" s="114" t="str">
        <f>IFERROR(VLOOKUP(基本資料填寫!$C$1&amp;"-"&amp;ROW(G33),基本資料填寫!$C:$DU,COLUMN(基本資料填寫!O34),0),"")</f>
        <v/>
      </c>
      <c r="J36" s="114" t="str">
        <f>IFERROR(VLOOKUP(基本資料填寫!$C$1&amp;"-"&amp;ROW(E33),基本資料填寫!$C:$DU,COLUMN(基本資料填寫!M34),0),"")</f>
        <v/>
      </c>
      <c r="K36" s="99" t="str">
        <f>IFERROR(VLOOKUP(基本資料填寫!$C$1&amp;"-"&amp;ROW(X33),基本資料填寫!$C:$DU,COLUMN(基本資料填寫!AF34),0),"")</f>
        <v/>
      </c>
      <c r="L36" s="115" t="str">
        <f>IFERROR(VLOOKUP(基本資料填寫!$C$1&amp;"-"&amp;ROW(AW33),基本資料填寫!$C:$DU,COLUMN(基本資料填寫!CU34),0),"")</f>
        <v/>
      </c>
      <c r="M36" s="115" t="str">
        <f>IFERROR(VLOOKUP(基本資料填寫!$C$1&amp;"-"&amp;ROW(AU33),基本資料填寫!$C:$DU,COLUMN(基本資料填寫!CS34),0),"")</f>
        <v/>
      </c>
      <c r="N36" s="115" t="str">
        <f>IFERROR(VLOOKUP(基本資料填寫!$C$1&amp;"-"&amp;ROW(AV33),基本資料填寫!$C:$DU,COLUMN(基本資料填寫!CT34),0),"")</f>
        <v/>
      </c>
      <c r="O36" s="115" t="str">
        <f>IFERROR(VLOOKUP(基本資料填寫!$C$1&amp;"-"&amp;ROW(N33),基本資料填寫!$C:$DU,COLUMN(基本資料填寫!V34),0),"")</f>
        <v/>
      </c>
      <c r="P36" s="115" t="str">
        <f>IFERROR(VLOOKUP(基本資料填寫!$C$1&amp;"-"&amp;ROW(AT33),基本資料填寫!$C:$DU,COLUMN(基本資料填寫!CR34),0),"")</f>
        <v/>
      </c>
      <c r="Q36" s="115" t="str">
        <f>IFERROR(VLOOKUP(基本資料填寫!$C$1&amp;"-"&amp;ROW(AQ33),基本資料填寫!$C:$DU,COLUMN(基本資料填寫!CO34),0),"")</f>
        <v/>
      </c>
      <c r="R36" s="99" t="str">
        <f>IFERROR(VLOOKUP(基本資料填寫!$C$1&amp;"-"&amp;ROW(Y33),基本資料填寫!$C:$DU,COLUMN(基本資料填寫!AG34),0),"")</f>
        <v/>
      </c>
      <c r="S36" s="99" t="str">
        <f>IFERROR(VLOOKUP(基本資料填寫!$C$1&amp;"-"&amp;ROW(Z33),基本資料填寫!$C:$DU,COLUMN(基本資料填寫!AH34),0),"")</f>
        <v/>
      </c>
      <c r="AB36" s="115" t="str">
        <f>IFERROR(VLOOKUP(基本資料填寫!$C$1&amp;"-"&amp;ROW(BL33),基本資料填寫!$C:$DU,COLUMN(基本資料填寫!DK34),0),"")</f>
        <v/>
      </c>
      <c r="BG36" s="115" t="str">
        <f>IFERROR(VLOOKUP(基本資料填寫!$C$1&amp;"-"&amp;ROW(E33),基本資料填寫!$C:$DU,COLUMN(基本資料填寫!M34),0),"")</f>
        <v/>
      </c>
      <c r="BU36" s="115" t="str">
        <f>IFERROR(VLOOKUP(基本資料填寫!$C$1&amp;"-"&amp;ROW(O33),基本資料填寫!$C:$DU,COLUMN(基本資料填寫!W34),0),"")</f>
        <v/>
      </c>
      <c r="BV36" s="99" t="str">
        <f>IFERROR(VLOOKUP(基本資料填寫!$C$1&amp;"-"&amp;ROW(AA33),基本資料填寫!$C:$DU,COLUMN(基本資料填寫!AI34),0),"")</f>
        <v/>
      </c>
    </row>
    <row r="37" spans="1:74" ht="16.2" x14ac:dyDescent="0.3">
      <c r="A37" s="207"/>
      <c r="B37" s="114" t="str">
        <f>IF(I37="","",COUNTA($I$4:I37))</f>
        <v/>
      </c>
      <c r="C37" s="114" t="str">
        <f>IFERROR(VLOOKUP(基本資料填寫!$C$1&amp;"-"&amp;ROW(X34),基本資料填寫!$C:$DU,COLUMN(基本資料填寫!BV35),0),"")</f>
        <v/>
      </c>
      <c r="D37" s="99" t="str">
        <f>IFERROR(VLOOKUP(基本資料填寫!$C$1&amp;"-"&amp;ROW(D34),基本資料填寫!$C:$DU,COLUMN(基本資料填寫!L35),0),"")</f>
        <v/>
      </c>
      <c r="E37" s="115" t="str">
        <f>IFERROR(VLOOKUP(基本資料填寫!$C$1&amp;"-"&amp;ROW(AP34),基本資料填寫!$C:$DU,COLUMN(基本資料填寫!CN35),0),"")</f>
        <v/>
      </c>
      <c r="F37" s="114" t="str">
        <f>IFERROR(VLOOKUP(基本資料填寫!$C$1&amp;"-"&amp;ROW(I34),基本資料填寫!$C:$DU,COLUMN(基本資料填寫!Q35),0),"")</f>
        <v/>
      </c>
      <c r="G37" s="114" t="str">
        <f>IFERROR(VLOOKUP(基本資料填寫!$C$1&amp;"-"&amp;ROW(L34),基本資料填寫!$C:$DU,COLUMN(基本資料填寫!T35),0),"")</f>
        <v/>
      </c>
      <c r="H37" s="114" t="str">
        <f>IFERROR(VLOOKUP(基本資料填寫!$C$1&amp;"-"&amp;ROW(F34),基本資料填寫!$C:$DU,COLUMN(基本資料填寫!N35),0),"")</f>
        <v/>
      </c>
      <c r="I37" s="114" t="str">
        <f>IFERROR(VLOOKUP(基本資料填寫!$C$1&amp;"-"&amp;ROW(G34),基本資料填寫!$C:$DU,COLUMN(基本資料填寫!O35),0),"")</f>
        <v/>
      </c>
      <c r="J37" s="114" t="str">
        <f>IFERROR(VLOOKUP(基本資料填寫!$C$1&amp;"-"&amp;ROW(E34),基本資料填寫!$C:$DU,COLUMN(基本資料填寫!M35),0),"")</f>
        <v/>
      </c>
      <c r="K37" s="99" t="str">
        <f>IFERROR(VLOOKUP(基本資料填寫!$C$1&amp;"-"&amp;ROW(X34),基本資料填寫!$C:$DU,COLUMN(基本資料填寫!AF35),0),"")</f>
        <v/>
      </c>
      <c r="L37" s="115" t="str">
        <f>IFERROR(VLOOKUP(基本資料填寫!$C$1&amp;"-"&amp;ROW(AW34),基本資料填寫!$C:$DU,COLUMN(基本資料填寫!CU35),0),"")</f>
        <v/>
      </c>
      <c r="M37" s="115" t="str">
        <f>IFERROR(VLOOKUP(基本資料填寫!$C$1&amp;"-"&amp;ROW(AU34),基本資料填寫!$C:$DU,COLUMN(基本資料填寫!CS35),0),"")</f>
        <v/>
      </c>
      <c r="N37" s="115" t="str">
        <f>IFERROR(VLOOKUP(基本資料填寫!$C$1&amp;"-"&amp;ROW(AV34),基本資料填寫!$C:$DU,COLUMN(基本資料填寫!CT35),0),"")</f>
        <v/>
      </c>
      <c r="O37" s="115" t="str">
        <f>IFERROR(VLOOKUP(基本資料填寫!$C$1&amp;"-"&amp;ROW(N34),基本資料填寫!$C:$DU,COLUMN(基本資料填寫!V35),0),"")</f>
        <v/>
      </c>
      <c r="P37" s="115" t="str">
        <f>IFERROR(VLOOKUP(基本資料填寫!$C$1&amp;"-"&amp;ROW(AT34),基本資料填寫!$C:$DU,COLUMN(基本資料填寫!CR35),0),"")</f>
        <v/>
      </c>
      <c r="Q37" s="115" t="str">
        <f>IFERROR(VLOOKUP(基本資料填寫!$C$1&amp;"-"&amp;ROW(AQ34),基本資料填寫!$C:$DU,COLUMN(基本資料填寫!CO35),0),"")</f>
        <v/>
      </c>
      <c r="R37" s="99" t="str">
        <f>IFERROR(VLOOKUP(基本資料填寫!$C$1&amp;"-"&amp;ROW(Y34),基本資料填寫!$C:$DU,COLUMN(基本資料填寫!AG35),0),"")</f>
        <v/>
      </c>
      <c r="S37" s="99" t="str">
        <f>IFERROR(VLOOKUP(基本資料填寫!$C$1&amp;"-"&amp;ROW(Z34),基本資料填寫!$C:$DU,COLUMN(基本資料填寫!AH35),0),"")</f>
        <v/>
      </c>
      <c r="AB37" s="115" t="str">
        <f>IFERROR(VLOOKUP(基本資料填寫!$C$1&amp;"-"&amp;ROW(BL34),基本資料填寫!$C:$DU,COLUMN(基本資料填寫!DK35),0),"")</f>
        <v/>
      </c>
      <c r="BG37" s="115" t="str">
        <f>IFERROR(VLOOKUP(基本資料填寫!$C$1&amp;"-"&amp;ROW(E34),基本資料填寫!$C:$DU,COLUMN(基本資料填寫!M35),0),"")</f>
        <v/>
      </c>
      <c r="BU37" s="115" t="str">
        <f>IFERROR(VLOOKUP(基本資料填寫!$C$1&amp;"-"&amp;ROW(O34),基本資料填寫!$C:$DU,COLUMN(基本資料填寫!W35),0),"")</f>
        <v/>
      </c>
      <c r="BV37" s="99" t="str">
        <f>IFERROR(VLOOKUP(基本資料填寫!$C$1&amp;"-"&amp;ROW(AA34),基本資料填寫!$C:$DU,COLUMN(基本資料填寫!AI35),0),"")</f>
        <v/>
      </c>
    </row>
    <row r="38" spans="1:74" ht="16.2" x14ac:dyDescent="0.3">
      <c r="A38" s="207"/>
      <c r="B38" s="114" t="str">
        <f>IF(I38="","",COUNTA($I$4:I38))</f>
        <v/>
      </c>
      <c r="C38" s="114" t="str">
        <f>IFERROR(VLOOKUP(基本資料填寫!$C$1&amp;"-"&amp;ROW(X35),基本資料填寫!$C:$DU,COLUMN(基本資料填寫!BV36),0),"")</f>
        <v/>
      </c>
      <c r="D38" s="99" t="str">
        <f>IFERROR(VLOOKUP(基本資料填寫!$C$1&amp;"-"&amp;ROW(D35),基本資料填寫!$C:$DU,COLUMN(基本資料填寫!L36),0),"")</f>
        <v/>
      </c>
      <c r="E38" s="115" t="str">
        <f>IFERROR(VLOOKUP(基本資料填寫!$C$1&amp;"-"&amp;ROW(AP35),基本資料填寫!$C:$DU,COLUMN(基本資料填寫!CN36),0),"")</f>
        <v/>
      </c>
      <c r="F38" s="114" t="str">
        <f>IFERROR(VLOOKUP(基本資料填寫!$C$1&amp;"-"&amp;ROW(I35),基本資料填寫!$C:$DU,COLUMN(基本資料填寫!Q36),0),"")</f>
        <v/>
      </c>
      <c r="G38" s="114" t="str">
        <f>IFERROR(VLOOKUP(基本資料填寫!$C$1&amp;"-"&amp;ROW(L35),基本資料填寫!$C:$DU,COLUMN(基本資料填寫!T36),0),"")</f>
        <v/>
      </c>
      <c r="H38" s="114" t="str">
        <f>IFERROR(VLOOKUP(基本資料填寫!$C$1&amp;"-"&amp;ROW(F35),基本資料填寫!$C:$DU,COLUMN(基本資料填寫!N36),0),"")</f>
        <v/>
      </c>
      <c r="I38" s="114" t="str">
        <f>IFERROR(VLOOKUP(基本資料填寫!$C$1&amp;"-"&amp;ROW(G35),基本資料填寫!$C:$DU,COLUMN(基本資料填寫!O36),0),"")</f>
        <v/>
      </c>
      <c r="J38" s="114" t="str">
        <f>IFERROR(VLOOKUP(基本資料填寫!$C$1&amp;"-"&amp;ROW(E35),基本資料填寫!$C:$DU,COLUMN(基本資料填寫!M36),0),"")</f>
        <v/>
      </c>
      <c r="K38" s="99" t="str">
        <f>IFERROR(VLOOKUP(基本資料填寫!$C$1&amp;"-"&amp;ROW(X35),基本資料填寫!$C:$DU,COLUMN(基本資料填寫!AF36),0),"")</f>
        <v/>
      </c>
      <c r="L38" s="115" t="str">
        <f>IFERROR(VLOOKUP(基本資料填寫!$C$1&amp;"-"&amp;ROW(AW35),基本資料填寫!$C:$DU,COLUMN(基本資料填寫!CU36),0),"")</f>
        <v/>
      </c>
      <c r="M38" s="115" t="str">
        <f>IFERROR(VLOOKUP(基本資料填寫!$C$1&amp;"-"&amp;ROW(AU35),基本資料填寫!$C:$DU,COLUMN(基本資料填寫!CS36),0),"")</f>
        <v/>
      </c>
      <c r="N38" s="115" t="str">
        <f>IFERROR(VLOOKUP(基本資料填寫!$C$1&amp;"-"&amp;ROW(AV35),基本資料填寫!$C:$DU,COLUMN(基本資料填寫!CT36),0),"")</f>
        <v/>
      </c>
      <c r="O38" s="115" t="str">
        <f>IFERROR(VLOOKUP(基本資料填寫!$C$1&amp;"-"&amp;ROW(N35),基本資料填寫!$C:$DU,COLUMN(基本資料填寫!V36),0),"")</f>
        <v/>
      </c>
      <c r="P38" s="115" t="str">
        <f>IFERROR(VLOOKUP(基本資料填寫!$C$1&amp;"-"&amp;ROW(AT35),基本資料填寫!$C:$DU,COLUMN(基本資料填寫!CR36),0),"")</f>
        <v/>
      </c>
      <c r="Q38" s="115" t="str">
        <f>IFERROR(VLOOKUP(基本資料填寫!$C$1&amp;"-"&amp;ROW(AQ35),基本資料填寫!$C:$DU,COLUMN(基本資料填寫!CO36),0),"")</f>
        <v/>
      </c>
      <c r="R38" s="99" t="str">
        <f>IFERROR(VLOOKUP(基本資料填寫!$C$1&amp;"-"&amp;ROW(Y35),基本資料填寫!$C:$DU,COLUMN(基本資料填寫!AG36),0),"")</f>
        <v/>
      </c>
      <c r="S38" s="99" t="str">
        <f>IFERROR(VLOOKUP(基本資料填寫!$C$1&amp;"-"&amp;ROW(Z35),基本資料填寫!$C:$DU,COLUMN(基本資料填寫!AH36),0),"")</f>
        <v/>
      </c>
      <c r="AB38" s="115" t="str">
        <f>IFERROR(VLOOKUP(基本資料填寫!$C$1&amp;"-"&amp;ROW(BL35),基本資料填寫!$C:$DU,COLUMN(基本資料填寫!DK36),0),"")</f>
        <v/>
      </c>
      <c r="BG38" s="115" t="str">
        <f>IFERROR(VLOOKUP(基本資料填寫!$C$1&amp;"-"&amp;ROW(E35),基本資料填寫!$C:$DU,COLUMN(基本資料填寫!M36),0),"")</f>
        <v/>
      </c>
      <c r="BU38" s="115" t="str">
        <f>IFERROR(VLOOKUP(基本資料填寫!$C$1&amp;"-"&amp;ROW(O35),基本資料填寫!$C:$DU,COLUMN(基本資料填寫!W36),0),"")</f>
        <v/>
      </c>
      <c r="BV38" s="99" t="str">
        <f>IFERROR(VLOOKUP(基本資料填寫!$C$1&amp;"-"&amp;ROW(AA35),基本資料填寫!$C:$DU,COLUMN(基本資料填寫!AI36),0),"")</f>
        <v/>
      </c>
    </row>
    <row r="39" spans="1:74" ht="16.2" x14ac:dyDescent="0.3">
      <c r="A39" s="207"/>
      <c r="B39" s="114" t="str">
        <f>IF(I39="","",COUNTA($I$4:I39))</f>
        <v/>
      </c>
      <c r="C39" s="114" t="str">
        <f>IFERROR(VLOOKUP(基本資料填寫!$C$1&amp;"-"&amp;ROW(X36),基本資料填寫!$C:$DU,COLUMN(基本資料填寫!BV37),0),"")</f>
        <v/>
      </c>
      <c r="D39" s="99" t="str">
        <f>IFERROR(VLOOKUP(基本資料填寫!$C$1&amp;"-"&amp;ROW(D36),基本資料填寫!$C:$DU,COLUMN(基本資料填寫!L37),0),"")</f>
        <v/>
      </c>
      <c r="E39" s="115" t="str">
        <f>IFERROR(VLOOKUP(基本資料填寫!$C$1&amp;"-"&amp;ROW(AP36),基本資料填寫!$C:$DU,COLUMN(基本資料填寫!CN37),0),"")</f>
        <v/>
      </c>
      <c r="F39" s="114" t="str">
        <f>IFERROR(VLOOKUP(基本資料填寫!$C$1&amp;"-"&amp;ROW(I36),基本資料填寫!$C:$DU,COLUMN(基本資料填寫!Q37),0),"")</f>
        <v/>
      </c>
      <c r="G39" s="114" t="str">
        <f>IFERROR(VLOOKUP(基本資料填寫!$C$1&amp;"-"&amp;ROW(L36),基本資料填寫!$C:$DU,COLUMN(基本資料填寫!T37),0),"")</f>
        <v/>
      </c>
      <c r="H39" s="114" t="str">
        <f>IFERROR(VLOOKUP(基本資料填寫!$C$1&amp;"-"&amp;ROW(F36),基本資料填寫!$C:$DU,COLUMN(基本資料填寫!N37),0),"")</f>
        <v/>
      </c>
      <c r="I39" s="114" t="str">
        <f>IFERROR(VLOOKUP(基本資料填寫!$C$1&amp;"-"&amp;ROW(G36),基本資料填寫!$C:$DU,COLUMN(基本資料填寫!O37),0),"")</f>
        <v/>
      </c>
      <c r="J39" s="114" t="str">
        <f>IFERROR(VLOOKUP(基本資料填寫!$C$1&amp;"-"&amp;ROW(E36),基本資料填寫!$C:$DU,COLUMN(基本資料填寫!M37),0),"")</f>
        <v/>
      </c>
      <c r="K39" s="99" t="str">
        <f>IFERROR(VLOOKUP(基本資料填寫!$C$1&amp;"-"&amp;ROW(X36),基本資料填寫!$C:$DU,COLUMN(基本資料填寫!AF37),0),"")</f>
        <v/>
      </c>
      <c r="L39" s="115" t="str">
        <f>IFERROR(VLOOKUP(基本資料填寫!$C$1&amp;"-"&amp;ROW(AW36),基本資料填寫!$C:$DU,COLUMN(基本資料填寫!CU37),0),"")</f>
        <v/>
      </c>
      <c r="M39" s="115" t="str">
        <f>IFERROR(VLOOKUP(基本資料填寫!$C$1&amp;"-"&amp;ROW(AU36),基本資料填寫!$C:$DU,COLUMN(基本資料填寫!CS37),0),"")</f>
        <v/>
      </c>
      <c r="N39" s="115" t="str">
        <f>IFERROR(VLOOKUP(基本資料填寫!$C$1&amp;"-"&amp;ROW(AV36),基本資料填寫!$C:$DU,COLUMN(基本資料填寫!CT37),0),"")</f>
        <v/>
      </c>
      <c r="O39" s="115" t="str">
        <f>IFERROR(VLOOKUP(基本資料填寫!$C$1&amp;"-"&amp;ROW(N36),基本資料填寫!$C:$DU,COLUMN(基本資料填寫!V37),0),"")</f>
        <v/>
      </c>
      <c r="P39" s="115" t="str">
        <f>IFERROR(VLOOKUP(基本資料填寫!$C$1&amp;"-"&amp;ROW(AT36),基本資料填寫!$C:$DU,COLUMN(基本資料填寫!CR37),0),"")</f>
        <v/>
      </c>
      <c r="Q39" s="115" t="str">
        <f>IFERROR(VLOOKUP(基本資料填寫!$C$1&amp;"-"&amp;ROW(AQ36),基本資料填寫!$C:$DU,COLUMN(基本資料填寫!CO37),0),"")</f>
        <v/>
      </c>
      <c r="R39" s="99" t="str">
        <f>IFERROR(VLOOKUP(基本資料填寫!$C$1&amp;"-"&amp;ROW(Y36),基本資料填寫!$C:$DU,COLUMN(基本資料填寫!AG37),0),"")</f>
        <v/>
      </c>
      <c r="S39" s="99" t="str">
        <f>IFERROR(VLOOKUP(基本資料填寫!$C$1&amp;"-"&amp;ROW(Z36),基本資料填寫!$C:$DU,COLUMN(基本資料填寫!AH37),0),"")</f>
        <v/>
      </c>
      <c r="AB39" s="115" t="str">
        <f>IFERROR(VLOOKUP(基本資料填寫!$C$1&amp;"-"&amp;ROW(BL36),基本資料填寫!$C:$DU,COLUMN(基本資料填寫!DK37),0),"")</f>
        <v/>
      </c>
      <c r="BG39" s="115" t="str">
        <f>IFERROR(VLOOKUP(基本資料填寫!$C$1&amp;"-"&amp;ROW(E36),基本資料填寫!$C:$DU,COLUMN(基本資料填寫!M37),0),"")</f>
        <v/>
      </c>
      <c r="BU39" s="115" t="str">
        <f>IFERROR(VLOOKUP(基本資料填寫!$C$1&amp;"-"&amp;ROW(O36),基本資料填寫!$C:$DU,COLUMN(基本資料填寫!W37),0),"")</f>
        <v/>
      </c>
      <c r="BV39" s="99" t="str">
        <f>IFERROR(VLOOKUP(基本資料填寫!$C$1&amp;"-"&amp;ROW(AA36),基本資料填寫!$C:$DU,COLUMN(基本資料填寫!AI37),0),"")</f>
        <v/>
      </c>
    </row>
    <row r="40" spans="1:74" ht="16.2" x14ac:dyDescent="0.3">
      <c r="A40" s="207"/>
      <c r="B40" s="114" t="str">
        <f>IF(I40="","",COUNTA($I$4:I40))</f>
        <v/>
      </c>
      <c r="C40" s="114" t="str">
        <f>IFERROR(VLOOKUP(基本資料填寫!$C$1&amp;"-"&amp;ROW(X37),基本資料填寫!$C:$DU,COLUMN(基本資料填寫!BV38),0),"")</f>
        <v/>
      </c>
      <c r="D40" s="99" t="str">
        <f>IFERROR(VLOOKUP(基本資料填寫!$C$1&amp;"-"&amp;ROW(D37),基本資料填寫!$C:$DU,COLUMN(基本資料填寫!L38),0),"")</f>
        <v/>
      </c>
      <c r="E40" s="115" t="str">
        <f>IFERROR(VLOOKUP(基本資料填寫!$C$1&amp;"-"&amp;ROW(AP37),基本資料填寫!$C:$DU,COLUMN(基本資料填寫!CN38),0),"")</f>
        <v/>
      </c>
      <c r="F40" s="114" t="str">
        <f>IFERROR(VLOOKUP(基本資料填寫!$C$1&amp;"-"&amp;ROW(I37),基本資料填寫!$C:$DU,COLUMN(基本資料填寫!Q38),0),"")</f>
        <v/>
      </c>
      <c r="G40" s="114" t="str">
        <f>IFERROR(VLOOKUP(基本資料填寫!$C$1&amp;"-"&amp;ROW(L37),基本資料填寫!$C:$DU,COLUMN(基本資料填寫!T38),0),"")</f>
        <v/>
      </c>
      <c r="H40" s="114" t="str">
        <f>IFERROR(VLOOKUP(基本資料填寫!$C$1&amp;"-"&amp;ROW(F37),基本資料填寫!$C:$DU,COLUMN(基本資料填寫!N38),0),"")</f>
        <v/>
      </c>
      <c r="I40" s="114" t="str">
        <f>IFERROR(VLOOKUP(基本資料填寫!$C$1&amp;"-"&amp;ROW(G37),基本資料填寫!$C:$DU,COLUMN(基本資料填寫!O38),0),"")</f>
        <v/>
      </c>
      <c r="J40" s="114" t="str">
        <f>IFERROR(VLOOKUP(基本資料填寫!$C$1&amp;"-"&amp;ROW(E37),基本資料填寫!$C:$DU,COLUMN(基本資料填寫!M38),0),"")</f>
        <v/>
      </c>
      <c r="K40" s="99" t="str">
        <f>IFERROR(VLOOKUP(基本資料填寫!$C$1&amp;"-"&amp;ROW(X37),基本資料填寫!$C:$DU,COLUMN(基本資料填寫!AF38),0),"")</f>
        <v/>
      </c>
      <c r="L40" s="115" t="str">
        <f>IFERROR(VLOOKUP(基本資料填寫!$C$1&amp;"-"&amp;ROW(AW37),基本資料填寫!$C:$DU,COLUMN(基本資料填寫!CU38),0),"")</f>
        <v/>
      </c>
      <c r="M40" s="115" t="str">
        <f>IFERROR(VLOOKUP(基本資料填寫!$C$1&amp;"-"&amp;ROW(AU37),基本資料填寫!$C:$DU,COLUMN(基本資料填寫!CS38),0),"")</f>
        <v/>
      </c>
      <c r="N40" s="115" t="str">
        <f>IFERROR(VLOOKUP(基本資料填寫!$C$1&amp;"-"&amp;ROW(AV37),基本資料填寫!$C:$DU,COLUMN(基本資料填寫!CT38),0),"")</f>
        <v/>
      </c>
      <c r="O40" s="115" t="str">
        <f>IFERROR(VLOOKUP(基本資料填寫!$C$1&amp;"-"&amp;ROW(N37),基本資料填寫!$C:$DU,COLUMN(基本資料填寫!V38),0),"")</f>
        <v/>
      </c>
      <c r="P40" s="115" t="str">
        <f>IFERROR(VLOOKUP(基本資料填寫!$C$1&amp;"-"&amp;ROW(AT37),基本資料填寫!$C:$DU,COLUMN(基本資料填寫!CR38),0),"")</f>
        <v/>
      </c>
      <c r="Q40" s="115" t="str">
        <f>IFERROR(VLOOKUP(基本資料填寫!$C$1&amp;"-"&amp;ROW(AQ37),基本資料填寫!$C:$DU,COLUMN(基本資料填寫!CO38),0),"")</f>
        <v/>
      </c>
      <c r="R40" s="99" t="str">
        <f>IFERROR(VLOOKUP(基本資料填寫!$C$1&amp;"-"&amp;ROW(Y37),基本資料填寫!$C:$DU,COLUMN(基本資料填寫!AG38),0),"")</f>
        <v/>
      </c>
      <c r="S40" s="99" t="str">
        <f>IFERROR(VLOOKUP(基本資料填寫!$C$1&amp;"-"&amp;ROW(Z37),基本資料填寫!$C:$DU,COLUMN(基本資料填寫!AH38),0),"")</f>
        <v/>
      </c>
      <c r="AB40" s="115" t="str">
        <f>IFERROR(VLOOKUP(基本資料填寫!$C$1&amp;"-"&amp;ROW(BL37),基本資料填寫!$C:$DU,COLUMN(基本資料填寫!DK38),0),"")</f>
        <v/>
      </c>
      <c r="BG40" s="115" t="str">
        <f>IFERROR(VLOOKUP(基本資料填寫!$C$1&amp;"-"&amp;ROW(E37),基本資料填寫!$C:$DU,COLUMN(基本資料填寫!M38),0),"")</f>
        <v/>
      </c>
      <c r="BU40" s="115" t="str">
        <f>IFERROR(VLOOKUP(基本資料填寫!$C$1&amp;"-"&amp;ROW(O37),基本資料填寫!$C:$DU,COLUMN(基本資料填寫!W38),0),"")</f>
        <v/>
      </c>
      <c r="BV40" s="99" t="str">
        <f>IFERROR(VLOOKUP(基本資料填寫!$C$1&amp;"-"&amp;ROW(AA37),基本資料填寫!$C:$DU,COLUMN(基本資料填寫!AI38),0),"")</f>
        <v/>
      </c>
    </row>
    <row r="41" spans="1:74" ht="16.2" x14ac:dyDescent="0.3">
      <c r="A41" s="207"/>
      <c r="B41" s="114" t="str">
        <f>IF(I41="","",COUNTA($I$4:I41))</f>
        <v/>
      </c>
      <c r="C41" s="114" t="str">
        <f>IFERROR(VLOOKUP(基本資料填寫!$C$1&amp;"-"&amp;ROW(X38),基本資料填寫!$C:$DU,COLUMN(基本資料填寫!BV39),0),"")</f>
        <v/>
      </c>
      <c r="D41" s="99" t="str">
        <f>IFERROR(VLOOKUP(基本資料填寫!$C$1&amp;"-"&amp;ROW(D38),基本資料填寫!$C:$DU,COLUMN(基本資料填寫!L39),0),"")</f>
        <v/>
      </c>
      <c r="E41" s="115" t="str">
        <f>IFERROR(VLOOKUP(基本資料填寫!$C$1&amp;"-"&amp;ROW(AP38),基本資料填寫!$C:$DU,COLUMN(基本資料填寫!CN39),0),"")</f>
        <v/>
      </c>
      <c r="F41" s="114" t="str">
        <f>IFERROR(VLOOKUP(基本資料填寫!$C$1&amp;"-"&amp;ROW(I38),基本資料填寫!$C:$DU,COLUMN(基本資料填寫!Q39),0),"")</f>
        <v/>
      </c>
      <c r="G41" s="114" t="str">
        <f>IFERROR(VLOOKUP(基本資料填寫!$C$1&amp;"-"&amp;ROW(L38),基本資料填寫!$C:$DU,COLUMN(基本資料填寫!T39),0),"")</f>
        <v/>
      </c>
      <c r="H41" s="114" t="str">
        <f>IFERROR(VLOOKUP(基本資料填寫!$C$1&amp;"-"&amp;ROW(F38),基本資料填寫!$C:$DU,COLUMN(基本資料填寫!N39),0),"")</f>
        <v/>
      </c>
      <c r="I41" s="114" t="str">
        <f>IFERROR(VLOOKUP(基本資料填寫!$C$1&amp;"-"&amp;ROW(G38),基本資料填寫!$C:$DU,COLUMN(基本資料填寫!O39),0),"")</f>
        <v/>
      </c>
      <c r="J41" s="114" t="str">
        <f>IFERROR(VLOOKUP(基本資料填寫!$C$1&amp;"-"&amp;ROW(E38),基本資料填寫!$C:$DU,COLUMN(基本資料填寫!M39),0),"")</f>
        <v/>
      </c>
      <c r="K41" s="99" t="str">
        <f>IFERROR(VLOOKUP(基本資料填寫!$C$1&amp;"-"&amp;ROW(X38),基本資料填寫!$C:$DU,COLUMN(基本資料填寫!AF39),0),"")</f>
        <v/>
      </c>
      <c r="L41" s="115" t="str">
        <f>IFERROR(VLOOKUP(基本資料填寫!$C$1&amp;"-"&amp;ROW(AW38),基本資料填寫!$C:$DU,COLUMN(基本資料填寫!CU39),0),"")</f>
        <v/>
      </c>
      <c r="M41" s="115" t="str">
        <f>IFERROR(VLOOKUP(基本資料填寫!$C$1&amp;"-"&amp;ROW(AU38),基本資料填寫!$C:$DU,COLUMN(基本資料填寫!CS39),0),"")</f>
        <v/>
      </c>
      <c r="N41" s="115" t="str">
        <f>IFERROR(VLOOKUP(基本資料填寫!$C$1&amp;"-"&amp;ROW(AV38),基本資料填寫!$C:$DU,COLUMN(基本資料填寫!CT39),0),"")</f>
        <v/>
      </c>
      <c r="O41" s="115" t="str">
        <f>IFERROR(VLOOKUP(基本資料填寫!$C$1&amp;"-"&amp;ROW(N38),基本資料填寫!$C:$DU,COLUMN(基本資料填寫!V39),0),"")</f>
        <v/>
      </c>
      <c r="P41" s="115" t="str">
        <f>IFERROR(VLOOKUP(基本資料填寫!$C$1&amp;"-"&amp;ROW(AT38),基本資料填寫!$C:$DU,COLUMN(基本資料填寫!CR39),0),"")</f>
        <v/>
      </c>
      <c r="Q41" s="115" t="str">
        <f>IFERROR(VLOOKUP(基本資料填寫!$C$1&amp;"-"&amp;ROW(AQ38),基本資料填寫!$C:$DU,COLUMN(基本資料填寫!CO39),0),"")</f>
        <v/>
      </c>
      <c r="R41" s="99" t="str">
        <f>IFERROR(VLOOKUP(基本資料填寫!$C$1&amp;"-"&amp;ROW(Y38),基本資料填寫!$C:$DU,COLUMN(基本資料填寫!AG39),0),"")</f>
        <v/>
      </c>
      <c r="S41" s="99" t="str">
        <f>IFERROR(VLOOKUP(基本資料填寫!$C$1&amp;"-"&amp;ROW(Z38),基本資料填寫!$C:$DU,COLUMN(基本資料填寫!AH39),0),"")</f>
        <v/>
      </c>
      <c r="AB41" s="115" t="str">
        <f>IFERROR(VLOOKUP(基本資料填寫!$C$1&amp;"-"&amp;ROW(BL38),基本資料填寫!$C:$DU,COLUMN(基本資料填寫!DK39),0),"")</f>
        <v/>
      </c>
      <c r="BG41" s="115" t="str">
        <f>IFERROR(VLOOKUP(基本資料填寫!$C$1&amp;"-"&amp;ROW(E38),基本資料填寫!$C:$DU,COLUMN(基本資料填寫!M39),0),"")</f>
        <v/>
      </c>
      <c r="BU41" s="115" t="str">
        <f>IFERROR(VLOOKUP(基本資料填寫!$C$1&amp;"-"&amp;ROW(O38),基本資料填寫!$C:$DU,COLUMN(基本資料填寫!W39),0),"")</f>
        <v/>
      </c>
      <c r="BV41" s="99" t="str">
        <f>IFERROR(VLOOKUP(基本資料填寫!$C$1&amp;"-"&amp;ROW(AA38),基本資料填寫!$C:$DU,COLUMN(基本資料填寫!AI39),0),"")</f>
        <v/>
      </c>
    </row>
    <row r="42" spans="1:74" ht="16.2" x14ac:dyDescent="0.3">
      <c r="A42" s="207"/>
      <c r="B42" s="114" t="str">
        <f>IF(I42="","",COUNTA($I$4:I42))</f>
        <v/>
      </c>
      <c r="C42" s="114" t="str">
        <f>IFERROR(VLOOKUP(基本資料填寫!$C$1&amp;"-"&amp;ROW(X39),基本資料填寫!$C:$DU,COLUMN(基本資料填寫!BV40),0),"")</f>
        <v/>
      </c>
      <c r="D42" s="99" t="str">
        <f>IFERROR(VLOOKUP(基本資料填寫!$C$1&amp;"-"&amp;ROW(D39),基本資料填寫!$C:$DU,COLUMN(基本資料填寫!L40),0),"")</f>
        <v/>
      </c>
      <c r="E42" s="115" t="str">
        <f>IFERROR(VLOOKUP(基本資料填寫!$C$1&amp;"-"&amp;ROW(AP39),基本資料填寫!$C:$DU,COLUMN(基本資料填寫!CN40),0),"")</f>
        <v/>
      </c>
      <c r="F42" s="114" t="str">
        <f>IFERROR(VLOOKUP(基本資料填寫!$C$1&amp;"-"&amp;ROW(I39),基本資料填寫!$C:$DU,COLUMN(基本資料填寫!Q40),0),"")</f>
        <v/>
      </c>
      <c r="G42" s="114" t="str">
        <f>IFERROR(VLOOKUP(基本資料填寫!$C$1&amp;"-"&amp;ROW(L39),基本資料填寫!$C:$DU,COLUMN(基本資料填寫!T40),0),"")</f>
        <v/>
      </c>
      <c r="H42" s="114" t="str">
        <f>IFERROR(VLOOKUP(基本資料填寫!$C$1&amp;"-"&amp;ROW(F39),基本資料填寫!$C:$DU,COLUMN(基本資料填寫!N40),0),"")</f>
        <v/>
      </c>
      <c r="I42" s="114" t="str">
        <f>IFERROR(VLOOKUP(基本資料填寫!$C$1&amp;"-"&amp;ROW(G39),基本資料填寫!$C:$DU,COLUMN(基本資料填寫!O40),0),"")</f>
        <v/>
      </c>
      <c r="J42" s="114" t="str">
        <f>IFERROR(VLOOKUP(基本資料填寫!$C$1&amp;"-"&amp;ROW(E39),基本資料填寫!$C:$DU,COLUMN(基本資料填寫!M40),0),"")</f>
        <v/>
      </c>
      <c r="K42" s="99" t="str">
        <f>IFERROR(VLOOKUP(基本資料填寫!$C$1&amp;"-"&amp;ROW(X39),基本資料填寫!$C:$DU,COLUMN(基本資料填寫!AF40),0),"")</f>
        <v/>
      </c>
      <c r="L42" s="115" t="str">
        <f>IFERROR(VLOOKUP(基本資料填寫!$C$1&amp;"-"&amp;ROW(AW39),基本資料填寫!$C:$DU,COLUMN(基本資料填寫!CU40),0),"")</f>
        <v/>
      </c>
      <c r="M42" s="115" t="str">
        <f>IFERROR(VLOOKUP(基本資料填寫!$C$1&amp;"-"&amp;ROW(AU39),基本資料填寫!$C:$DU,COLUMN(基本資料填寫!CS40),0),"")</f>
        <v/>
      </c>
      <c r="N42" s="115" t="str">
        <f>IFERROR(VLOOKUP(基本資料填寫!$C$1&amp;"-"&amp;ROW(AV39),基本資料填寫!$C:$DU,COLUMN(基本資料填寫!CT40),0),"")</f>
        <v/>
      </c>
      <c r="O42" s="115" t="str">
        <f>IFERROR(VLOOKUP(基本資料填寫!$C$1&amp;"-"&amp;ROW(N39),基本資料填寫!$C:$DU,COLUMN(基本資料填寫!V40),0),"")</f>
        <v/>
      </c>
      <c r="P42" s="115" t="str">
        <f>IFERROR(VLOOKUP(基本資料填寫!$C$1&amp;"-"&amp;ROW(AT39),基本資料填寫!$C:$DU,COLUMN(基本資料填寫!CR40),0),"")</f>
        <v/>
      </c>
      <c r="Q42" s="115" t="str">
        <f>IFERROR(VLOOKUP(基本資料填寫!$C$1&amp;"-"&amp;ROW(AQ39),基本資料填寫!$C:$DU,COLUMN(基本資料填寫!CO40),0),"")</f>
        <v/>
      </c>
      <c r="R42" s="99" t="str">
        <f>IFERROR(VLOOKUP(基本資料填寫!$C$1&amp;"-"&amp;ROW(Y39),基本資料填寫!$C:$DU,COLUMN(基本資料填寫!AG40),0),"")</f>
        <v/>
      </c>
      <c r="S42" s="99" t="str">
        <f>IFERROR(VLOOKUP(基本資料填寫!$C$1&amp;"-"&amp;ROW(Z39),基本資料填寫!$C:$DU,COLUMN(基本資料填寫!AH40),0),"")</f>
        <v/>
      </c>
      <c r="AB42" s="115" t="str">
        <f>IFERROR(VLOOKUP(基本資料填寫!$C$1&amp;"-"&amp;ROW(BL39),基本資料填寫!$C:$DU,COLUMN(基本資料填寫!DK40),0),"")</f>
        <v/>
      </c>
      <c r="BG42" s="115" t="str">
        <f>IFERROR(VLOOKUP(基本資料填寫!$C$1&amp;"-"&amp;ROW(E39),基本資料填寫!$C:$DU,COLUMN(基本資料填寫!M40),0),"")</f>
        <v/>
      </c>
      <c r="BU42" s="115" t="str">
        <f>IFERROR(VLOOKUP(基本資料填寫!$C$1&amp;"-"&amp;ROW(O39),基本資料填寫!$C:$DU,COLUMN(基本資料填寫!W40),0),"")</f>
        <v/>
      </c>
      <c r="BV42" s="99" t="str">
        <f>IFERROR(VLOOKUP(基本資料填寫!$C$1&amp;"-"&amp;ROW(AA39),基本資料填寫!$C:$DU,COLUMN(基本資料填寫!AI40),0),"")</f>
        <v/>
      </c>
    </row>
    <row r="43" spans="1:74" ht="16.2" x14ac:dyDescent="0.3">
      <c r="A43" s="207"/>
      <c r="B43" s="114" t="str">
        <f>IF(I43="","",COUNTA($I$4:I43))</f>
        <v/>
      </c>
      <c r="C43" s="114" t="str">
        <f>IFERROR(VLOOKUP(基本資料填寫!$C$1&amp;"-"&amp;ROW(X40),基本資料填寫!$C:$DU,COLUMN(基本資料填寫!BV41),0),"")</f>
        <v/>
      </c>
      <c r="D43" s="99" t="str">
        <f>IFERROR(VLOOKUP(基本資料填寫!$C$1&amp;"-"&amp;ROW(D40),基本資料填寫!$C:$DU,COLUMN(基本資料填寫!L41),0),"")</f>
        <v/>
      </c>
      <c r="E43" s="115" t="str">
        <f>IFERROR(VLOOKUP(基本資料填寫!$C$1&amp;"-"&amp;ROW(AP40),基本資料填寫!$C:$DU,COLUMN(基本資料填寫!CN41),0),"")</f>
        <v/>
      </c>
      <c r="F43" s="114" t="str">
        <f>IFERROR(VLOOKUP(基本資料填寫!$C$1&amp;"-"&amp;ROW(I40),基本資料填寫!$C:$DU,COLUMN(基本資料填寫!Q41),0),"")</f>
        <v/>
      </c>
      <c r="G43" s="114" t="str">
        <f>IFERROR(VLOOKUP(基本資料填寫!$C$1&amp;"-"&amp;ROW(L40),基本資料填寫!$C:$DU,COLUMN(基本資料填寫!T41),0),"")</f>
        <v/>
      </c>
      <c r="H43" s="114" t="str">
        <f>IFERROR(VLOOKUP(基本資料填寫!$C$1&amp;"-"&amp;ROW(F40),基本資料填寫!$C:$DU,COLUMN(基本資料填寫!N41),0),"")</f>
        <v/>
      </c>
      <c r="I43" s="114" t="str">
        <f>IFERROR(VLOOKUP(基本資料填寫!$C$1&amp;"-"&amp;ROW(G40),基本資料填寫!$C:$DU,COLUMN(基本資料填寫!O41),0),"")</f>
        <v/>
      </c>
      <c r="J43" s="114" t="str">
        <f>IFERROR(VLOOKUP(基本資料填寫!$C$1&amp;"-"&amp;ROW(E40),基本資料填寫!$C:$DU,COLUMN(基本資料填寫!M41),0),"")</f>
        <v/>
      </c>
      <c r="K43" s="99" t="str">
        <f>IFERROR(VLOOKUP(基本資料填寫!$C$1&amp;"-"&amp;ROW(X40),基本資料填寫!$C:$DU,COLUMN(基本資料填寫!AF41),0),"")</f>
        <v/>
      </c>
      <c r="L43" s="115" t="str">
        <f>IFERROR(VLOOKUP(基本資料填寫!$C$1&amp;"-"&amp;ROW(AW40),基本資料填寫!$C:$DU,COLUMN(基本資料填寫!CU41),0),"")</f>
        <v/>
      </c>
      <c r="M43" s="115" t="str">
        <f>IFERROR(VLOOKUP(基本資料填寫!$C$1&amp;"-"&amp;ROW(AU40),基本資料填寫!$C:$DU,COLUMN(基本資料填寫!CS41),0),"")</f>
        <v/>
      </c>
      <c r="N43" s="115" t="str">
        <f>IFERROR(VLOOKUP(基本資料填寫!$C$1&amp;"-"&amp;ROW(AV40),基本資料填寫!$C:$DU,COLUMN(基本資料填寫!CT41),0),"")</f>
        <v/>
      </c>
      <c r="O43" s="115" t="str">
        <f>IFERROR(VLOOKUP(基本資料填寫!$C$1&amp;"-"&amp;ROW(N40),基本資料填寫!$C:$DU,COLUMN(基本資料填寫!V41),0),"")</f>
        <v/>
      </c>
      <c r="P43" s="115" t="str">
        <f>IFERROR(VLOOKUP(基本資料填寫!$C$1&amp;"-"&amp;ROW(AT40),基本資料填寫!$C:$DU,COLUMN(基本資料填寫!CR41),0),"")</f>
        <v/>
      </c>
      <c r="Q43" s="115" t="str">
        <f>IFERROR(VLOOKUP(基本資料填寫!$C$1&amp;"-"&amp;ROW(AQ40),基本資料填寫!$C:$DU,COLUMN(基本資料填寫!CO41),0),"")</f>
        <v/>
      </c>
      <c r="R43" s="99" t="str">
        <f>IFERROR(VLOOKUP(基本資料填寫!$C$1&amp;"-"&amp;ROW(Y40),基本資料填寫!$C:$DU,COLUMN(基本資料填寫!AG41),0),"")</f>
        <v/>
      </c>
      <c r="S43" s="99" t="str">
        <f>IFERROR(VLOOKUP(基本資料填寫!$C$1&amp;"-"&amp;ROW(Z40),基本資料填寫!$C:$DU,COLUMN(基本資料填寫!AH41),0),"")</f>
        <v/>
      </c>
      <c r="AB43" s="115" t="str">
        <f>IFERROR(VLOOKUP(基本資料填寫!$C$1&amp;"-"&amp;ROW(BL40),基本資料填寫!$C:$DU,COLUMN(基本資料填寫!DK41),0),"")</f>
        <v/>
      </c>
      <c r="BG43" s="115" t="str">
        <f>IFERROR(VLOOKUP(基本資料填寫!$C$1&amp;"-"&amp;ROW(E40),基本資料填寫!$C:$DU,COLUMN(基本資料填寫!M41),0),"")</f>
        <v/>
      </c>
      <c r="BU43" s="115" t="str">
        <f>IFERROR(VLOOKUP(基本資料填寫!$C$1&amp;"-"&amp;ROW(O40),基本資料填寫!$C:$DU,COLUMN(基本資料填寫!W41),0),"")</f>
        <v/>
      </c>
      <c r="BV43" s="99" t="str">
        <f>IFERROR(VLOOKUP(基本資料填寫!$C$1&amp;"-"&amp;ROW(AA40),基本資料填寫!$C:$DU,COLUMN(基本資料填寫!AI41),0),"")</f>
        <v/>
      </c>
    </row>
    <row r="44" spans="1:74" ht="16.2" x14ac:dyDescent="0.3">
      <c r="A44" s="207"/>
      <c r="B44" s="114" t="str">
        <f>IF(I44="","",COUNTA($I$4:I44))</f>
        <v/>
      </c>
      <c r="C44" s="114" t="str">
        <f>IFERROR(VLOOKUP(基本資料填寫!$C$1&amp;"-"&amp;ROW(X41),基本資料填寫!$C:$DU,COLUMN(基本資料填寫!BV42),0),"")</f>
        <v/>
      </c>
      <c r="D44" s="99" t="str">
        <f>IFERROR(VLOOKUP(基本資料填寫!$C$1&amp;"-"&amp;ROW(D41),基本資料填寫!$C:$DU,COLUMN(基本資料填寫!L42),0),"")</f>
        <v/>
      </c>
      <c r="E44" s="115" t="str">
        <f>IFERROR(VLOOKUP(基本資料填寫!$C$1&amp;"-"&amp;ROW(AP41),基本資料填寫!$C:$DU,COLUMN(基本資料填寫!CN42),0),"")</f>
        <v/>
      </c>
      <c r="F44" s="114" t="str">
        <f>IFERROR(VLOOKUP(基本資料填寫!$C$1&amp;"-"&amp;ROW(I41),基本資料填寫!$C:$DU,COLUMN(基本資料填寫!Q42),0),"")</f>
        <v/>
      </c>
      <c r="G44" s="114" t="str">
        <f>IFERROR(VLOOKUP(基本資料填寫!$C$1&amp;"-"&amp;ROW(L41),基本資料填寫!$C:$DU,COLUMN(基本資料填寫!T42),0),"")</f>
        <v/>
      </c>
      <c r="H44" s="114" t="str">
        <f>IFERROR(VLOOKUP(基本資料填寫!$C$1&amp;"-"&amp;ROW(F41),基本資料填寫!$C:$DU,COLUMN(基本資料填寫!N42),0),"")</f>
        <v/>
      </c>
      <c r="I44" s="114" t="str">
        <f>IFERROR(VLOOKUP(基本資料填寫!$C$1&amp;"-"&amp;ROW(G41),基本資料填寫!$C:$DU,COLUMN(基本資料填寫!O42),0),"")</f>
        <v/>
      </c>
      <c r="J44" s="114" t="str">
        <f>IFERROR(VLOOKUP(基本資料填寫!$C$1&amp;"-"&amp;ROW(E41),基本資料填寫!$C:$DU,COLUMN(基本資料填寫!M42),0),"")</f>
        <v/>
      </c>
      <c r="K44" s="99" t="str">
        <f>IFERROR(VLOOKUP(基本資料填寫!$C$1&amp;"-"&amp;ROW(X41),基本資料填寫!$C:$DU,COLUMN(基本資料填寫!AF42),0),"")</f>
        <v/>
      </c>
      <c r="L44" s="115" t="str">
        <f>IFERROR(VLOOKUP(基本資料填寫!$C$1&amp;"-"&amp;ROW(AW41),基本資料填寫!$C:$DU,COLUMN(基本資料填寫!CU42),0),"")</f>
        <v/>
      </c>
      <c r="M44" s="115" t="str">
        <f>IFERROR(VLOOKUP(基本資料填寫!$C$1&amp;"-"&amp;ROW(AU41),基本資料填寫!$C:$DU,COLUMN(基本資料填寫!CS42),0),"")</f>
        <v/>
      </c>
      <c r="N44" s="115" t="str">
        <f>IFERROR(VLOOKUP(基本資料填寫!$C$1&amp;"-"&amp;ROW(AV41),基本資料填寫!$C:$DU,COLUMN(基本資料填寫!CT42),0),"")</f>
        <v/>
      </c>
      <c r="O44" s="115" t="str">
        <f>IFERROR(VLOOKUP(基本資料填寫!$C$1&amp;"-"&amp;ROW(N41),基本資料填寫!$C:$DU,COLUMN(基本資料填寫!V42),0),"")</f>
        <v/>
      </c>
      <c r="P44" s="115" t="str">
        <f>IFERROR(VLOOKUP(基本資料填寫!$C$1&amp;"-"&amp;ROW(AT41),基本資料填寫!$C:$DU,COLUMN(基本資料填寫!CR42),0),"")</f>
        <v/>
      </c>
      <c r="Q44" s="115" t="str">
        <f>IFERROR(VLOOKUP(基本資料填寫!$C$1&amp;"-"&amp;ROW(AQ41),基本資料填寫!$C:$DU,COLUMN(基本資料填寫!CO42),0),"")</f>
        <v/>
      </c>
      <c r="R44" s="99" t="str">
        <f>IFERROR(VLOOKUP(基本資料填寫!$C$1&amp;"-"&amp;ROW(Y41),基本資料填寫!$C:$DU,COLUMN(基本資料填寫!AG42),0),"")</f>
        <v/>
      </c>
      <c r="S44" s="99" t="str">
        <f>IFERROR(VLOOKUP(基本資料填寫!$C$1&amp;"-"&amp;ROW(Z41),基本資料填寫!$C:$DU,COLUMN(基本資料填寫!AH42),0),"")</f>
        <v/>
      </c>
      <c r="AB44" s="115" t="str">
        <f>IFERROR(VLOOKUP(基本資料填寫!$C$1&amp;"-"&amp;ROW(BL41),基本資料填寫!$C:$DU,COLUMN(基本資料填寫!DK42),0),"")</f>
        <v/>
      </c>
      <c r="BG44" s="115" t="str">
        <f>IFERROR(VLOOKUP(基本資料填寫!$C$1&amp;"-"&amp;ROW(E41),基本資料填寫!$C:$DU,COLUMN(基本資料填寫!M42),0),"")</f>
        <v/>
      </c>
      <c r="BU44" s="115" t="str">
        <f>IFERROR(VLOOKUP(基本資料填寫!$C$1&amp;"-"&amp;ROW(O41),基本資料填寫!$C:$DU,COLUMN(基本資料填寫!W42),0),"")</f>
        <v/>
      </c>
      <c r="BV44" s="99" t="str">
        <f>IFERROR(VLOOKUP(基本資料填寫!$C$1&amp;"-"&amp;ROW(AA41),基本資料填寫!$C:$DU,COLUMN(基本資料填寫!AI42),0),"")</f>
        <v/>
      </c>
    </row>
    <row r="45" spans="1:74" ht="16.2" x14ac:dyDescent="0.3">
      <c r="A45" s="207"/>
      <c r="B45" s="114" t="str">
        <f>IF(I45="","",COUNTA($I$4:I45))</f>
        <v/>
      </c>
      <c r="C45" s="114" t="str">
        <f>IFERROR(VLOOKUP(基本資料填寫!$C$1&amp;"-"&amp;ROW(X42),基本資料填寫!$C:$DU,COLUMN(基本資料填寫!BV43),0),"")</f>
        <v/>
      </c>
      <c r="D45" s="99" t="str">
        <f>IFERROR(VLOOKUP(基本資料填寫!$C$1&amp;"-"&amp;ROW(D42),基本資料填寫!$C:$DU,COLUMN(基本資料填寫!L43),0),"")</f>
        <v/>
      </c>
      <c r="E45" s="115" t="str">
        <f>IFERROR(VLOOKUP(基本資料填寫!$C$1&amp;"-"&amp;ROW(AP42),基本資料填寫!$C:$DU,COLUMN(基本資料填寫!CN43),0),"")</f>
        <v/>
      </c>
      <c r="F45" s="114" t="str">
        <f>IFERROR(VLOOKUP(基本資料填寫!$C$1&amp;"-"&amp;ROW(I42),基本資料填寫!$C:$DU,COLUMN(基本資料填寫!Q43),0),"")</f>
        <v/>
      </c>
      <c r="G45" s="114" t="str">
        <f>IFERROR(VLOOKUP(基本資料填寫!$C$1&amp;"-"&amp;ROW(L42),基本資料填寫!$C:$DU,COLUMN(基本資料填寫!T43),0),"")</f>
        <v/>
      </c>
      <c r="H45" s="114" t="str">
        <f>IFERROR(VLOOKUP(基本資料填寫!$C$1&amp;"-"&amp;ROW(F42),基本資料填寫!$C:$DU,COLUMN(基本資料填寫!N43),0),"")</f>
        <v/>
      </c>
      <c r="I45" s="114" t="str">
        <f>IFERROR(VLOOKUP(基本資料填寫!$C$1&amp;"-"&amp;ROW(G42),基本資料填寫!$C:$DU,COLUMN(基本資料填寫!O43),0),"")</f>
        <v/>
      </c>
      <c r="J45" s="114" t="str">
        <f>IFERROR(VLOOKUP(基本資料填寫!$C$1&amp;"-"&amp;ROW(E42),基本資料填寫!$C:$DU,COLUMN(基本資料填寫!M43),0),"")</f>
        <v/>
      </c>
      <c r="K45" s="99" t="str">
        <f>IFERROR(VLOOKUP(基本資料填寫!$C$1&amp;"-"&amp;ROW(X42),基本資料填寫!$C:$DU,COLUMN(基本資料填寫!AF43),0),"")</f>
        <v/>
      </c>
      <c r="L45" s="115" t="str">
        <f>IFERROR(VLOOKUP(基本資料填寫!$C$1&amp;"-"&amp;ROW(AW42),基本資料填寫!$C:$DU,COLUMN(基本資料填寫!CU43),0),"")</f>
        <v/>
      </c>
      <c r="M45" s="115" t="str">
        <f>IFERROR(VLOOKUP(基本資料填寫!$C$1&amp;"-"&amp;ROW(AU42),基本資料填寫!$C:$DU,COLUMN(基本資料填寫!CS43),0),"")</f>
        <v/>
      </c>
      <c r="N45" s="115" t="str">
        <f>IFERROR(VLOOKUP(基本資料填寫!$C$1&amp;"-"&amp;ROW(AV42),基本資料填寫!$C:$DU,COLUMN(基本資料填寫!CT43),0),"")</f>
        <v/>
      </c>
      <c r="O45" s="115" t="str">
        <f>IFERROR(VLOOKUP(基本資料填寫!$C$1&amp;"-"&amp;ROW(N42),基本資料填寫!$C:$DU,COLUMN(基本資料填寫!V43),0),"")</f>
        <v/>
      </c>
      <c r="P45" s="115" t="str">
        <f>IFERROR(VLOOKUP(基本資料填寫!$C$1&amp;"-"&amp;ROW(AT42),基本資料填寫!$C:$DU,COLUMN(基本資料填寫!CR43),0),"")</f>
        <v/>
      </c>
      <c r="Q45" s="115" t="str">
        <f>IFERROR(VLOOKUP(基本資料填寫!$C$1&amp;"-"&amp;ROW(AQ42),基本資料填寫!$C:$DU,COLUMN(基本資料填寫!CO43),0),"")</f>
        <v/>
      </c>
      <c r="R45" s="99" t="str">
        <f>IFERROR(VLOOKUP(基本資料填寫!$C$1&amp;"-"&amp;ROW(Y42),基本資料填寫!$C:$DU,COLUMN(基本資料填寫!AG43),0),"")</f>
        <v/>
      </c>
      <c r="S45" s="99" t="str">
        <f>IFERROR(VLOOKUP(基本資料填寫!$C$1&amp;"-"&amp;ROW(Z42),基本資料填寫!$C:$DU,COLUMN(基本資料填寫!AH43),0),"")</f>
        <v/>
      </c>
      <c r="AB45" s="115" t="str">
        <f>IFERROR(VLOOKUP(基本資料填寫!$C$1&amp;"-"&amp;ROW(BL42),基本資料填寫!$C:$DU,COLUMN(基本資料填寫!DK43),0),"")</f>
        <v/>
      </c>
      <c r="BG45" s="115" t="str">
        <f>IFERROR(VLOOKUP(基本資料填寫!$C$1&amp;"-"&amp;ROW(E42),基本資料填寫!$C:$DU,COLUMN(基本資料填寫!M43),0),"")</f>
        <v/>
      </c>
      <c r="BU45" s="115" t="str">
        <f>IFERROR(VLOOKUP(基本資料填寫!$C$1&amp;"-"&amp;ROW(O42),基本資料填寫!$C:$DU,COLUMN(基本資料填寫!W43),0),"")</f>
        <v/>
      </c>
      <c r="BV45" s="99" t="str">
        <f>IFERROR(VLOOKUP(基本資料填寫!$C$1&amp;"-"&amp;ROW(AA42),基本資料填寫!$C:$DU,COLUMN(基本資料填寫!AI43),0),"")</f>
        <v/>
      </c>
    </row>
    <row r="46" spans="1:74" ht="16.2" x14ac:dyDescent="0.3">
      <c r="A46" s="207"/>
      <c r="B46" s="114" t="str">
        <f>IF(I46="","",COUNTA($I$4:I46))</f>
        <v/>
      </c>
      <c r="C46" s="114" t="str">
        <f>IFERROR(VLOOKUP(基本資料填寫!$C$1&amp;"-"&amp;ROW(X43),基本資料填寫!$C:$DU,COLUMN(基本資料填寫!BV44),0),"")</f>
        <v/>
      </c>
      <c r="D46" s="99" t="str">
        <f>IFERROR(VLOOKUP(基本資料填寫!$C$1&amp;"-"&amp;ROW(D43),基本資料填寫!$C:$DU,COLUMN(基本資料填寫!L44),0),"")</f>
        <v/>
      </c>
      <c r="E46" s="115" t="str">
        <f>IFERROR(VLOOKUP(基本資料填寫!$C$1&amp;"-"&amp;ROW(AP43),基本資料填寫!$C:$DU,COLUMN(基本資料填寫!CN44),0),"")</f>
        <v/>
      </c>
      <c r="F46" s="114" t="str">
        <f>IFERROR(VLOOKUP(基本資料填寫!$C$1&amp;"-"&amp;ROW(I43),基本資料填寫!$C:$DU,COLUMN(基本資料填寫!Q44),0),"")</f>
        <v/>
      </c>
      <c r="G46" s="114" t="str">
        <f>IFERROR(VLOOKUP(基本資料填寫!$C$1&amp;"-"&amp;ROW(L43),基本資料填寫!$C:$DU,COLUMN(基本資料填寫!T44),0),"")</f>
        <v/>
      </c>
      <c r="H46" s="114" t="str">
        <f>IFERROR(VLOOKUP(基本資料填寫!$C$1&amp;"-"&amp;ROW(F43),基本資料填寫!$C:$DU,COLUMN(基本資料填寫!N44),0),"")</f>
        <v/>
      </c>
      <c r="I46" s="114" t="str">
        <f>IFERROR(VLOOKUP(基本資料填寫!$C$1&amp;"-"&amp;ROW(G43),基本資料填寫!$C:$DU,COLUMN(基本資料填寫!O44),0),"")</f>
        <v/>
      </c>
      <c r="J46" s="114" t="str">
        <f>IFERROR(VLOOKUP(基本資料填寫!$C$1&amp;"-"&amp;ROW(E43),基本資料填寫!$C:$DU,COLUMN(基本資料填寫!M44),0),"")</f>
        <v/>
      </c>
      <c r="K46" s="99" t="str">
        <f>IFERROR(VLOOKUP(基本資料填寫!$C$1&amp;"-"&amp;ROW(X43),基本資料填寫!$C:$DU,COLUMN(基本資料填寫!AF44),0),"")</f>
        <v/>
      </c>
      <c r="L46" s="115" t="str">
        <f>IFERROR(VLOOKUP(基本資料填寫!$C$1&amp;"-"&amp;ROW(AW43),基本資料填寫!$C:$DU,COLUMN(基本資料填寫!CU44),0),"")</f>
        <v/>
      </c>
      <c r="M46" s="115" t="str">
        <f>IFERROR(VLOOKUP(基本資料填寫!$C$1&amp;"-"&amp;ROW(AU43),基本資料填寫!$C:$DU,COLUMN(基本資料填寫!CS44),0),"")</f>
        <v/>
      </c>
      <c r="N46" s="115" t="str">
        <f>IFERROR(VLOOKUP(基本資料填寫!$C$1&amp;"-"&amp;ROW(AV43),基本資料填寫!$C:$DU,COLUMN(基本資料填寫!CT44),0),"")</f>
        <v/>
      </c>
      <c r="O46" s="115" t="str">
        <f>IFERROR(VLOOKUP(基本資料填寫!$C$1&amp;"-"&amp;ROW(N43),基本資料填寫!$C:$DU,COLUMN(基本資料填寫!V44),0),"")</f>
        <v/>
      </c>
      <c r="P46" s="115" t="str">
        <f>IFERROR(VLOOKUP(基本資料填寫!$C$1&amp;"-"&amp;ROW(AT43),基本資料填寫!$C:$DU,COLUMN(基本資料填寫!CR44),0),"")</f>
        <v/>
      </c>
      <c r="Q46" s="115" t="str">
        <f>IFERROR(VLOOKUP(基本資料填寫!$C$1&amp;"-"&amp;ROW(AQ43),基本資料填寫!$C:$DU,COLUMN(基本資料填寫!CO44),0),"")</f>
        <v/>
      </c>
      <c r="R46" s="99" t="str">
        <f>IFERROR(VLOOKUP(基本資料填寫!$C$1&amp;"-"&amp;ROW(Y43),基本資料填寫!$C:$DU,COLUMN(基本資料填寫!AG44),0),"")</f>
        <v/>
      </c>
      <c r="S46" s="99" t="str">
        <f>IFERROR(VLOOKUP(基本資料填寫!$C$1&amp;"-"&amp;ROW(Z43),基本資料填寫!$C:$DU,COLUMN(基本資料填寫!AH44),0),"")</f>
        <v/>
      </c>
      <c r="AB46" s="115" t="str">
        <f>IFERROR(VLOOKUP(基本資料填寫!$C$1&amp;"-"&amp;ROW(BL43),基本資料填寫!$C:$DU,COLUMN(基本資料填寫!DK44),0),"")</f>
        <v/>
      </c>
      <c r="BG46" s="115" t="str">
        <f>IFERROR(VLOOKUP(基本資料填寫!$C$1&amp;"-"&amp;ROW(E43),基本資料填寫!$C:$DU,COLUMN(基本資料填寫!M44),0),"")</f>
        <v/>
      </c>
      <c r="BU46" s="115" t="str">
        <f>IFERROR(VLOOKUP(基本資料填寫!$C$1&amp;"-"&amp;ROW(O43),基本資料填寫!$C:$DU,COLUMN(基本資料填寫!W44),0),"")</f>
        <v/>
      </c>
      <c r="BV46" s="99" t="str">
        <f>IFERROR(VLOOKUP(基本資料填寫!$C$1&amp;"-"&amp;ROW(AA43),基本資料填寫!$C:$DU,COLUMN(基本資料填寫!AI44),0),"")</f>
        <v/>
      </c>
    </row>
    <row r="47" spans="1:74" ht="16.2" x14ac:dyDescent="0.3">
      <c r="A47" s="207"/>
      <c r="B47" s="114" t="str">
        <f>IF(I47="","",COUNTA($I$4:I47))</f>
        <v/>
      </c>
      <c r="C47" s="114" t="str">
        <f>IFERROR(VLOOKUP(基本資料填寫!$C$1&amp;"-"&amp;ROW(X44),基本資料填寫!$C:$DU,COLUMN(基本資料填寫!BV45),0),"")</f>
        <v/>
      </c>
      <c r="D47" s="99" t="str">
        <f>IFERROR(VLOOKUP(基本資料填寫!$C$1&amp;"-"&amp;ROW(D44),基本資料填寫!$C:$DU,COLUMN(基本資料填寫!L45),0),"")</f>
        <v/>
      </c>
      <c r="E47" s="115" t="str">
        <f>IFERROR(VLOOKUP(基本資料填寫!$C$1&amp;"-"&amp;ROW(AP44),基本資料填寫!$C:$DU,COLUMN(基本資料填寫!CN45),0),"")</f>
        <v/>
      </c>
      <c r="F47" s="114" t="str">
        <f>IFERROR(VLOOKUP(基本資料填寫!$C$1&amp;"-"&amp;ROW(I44),基本資料填寫!$C:$DU,COLUMN(基本資料填寫!Q45),0),"")</f>
        <v/>
      </c>
      <c r="G47" s="114" t="str">
        <f>IFERROR(VLOOKUP(基本資料填寫!$C$1&amp;"-"&amp;ROW(L44),基本資料填寫!$C:$DU,COLUMN(基本資料填寫!T45),0),"")</f>
        <v/>
      </c>
      <c r="H47" s="114" t="str">
        <f>IFERROR(VLOOKUP(基本資料填寫!$C$1&amp;"-"&amp;ROW(F44),基本資料填寫!$C:$DU,COLUMN(基本資料填寫!N45),0),"")</f>
        <v/>
      </c>
      <c r="I47" s="114" t="str">
        <f>IFERROR(VLOOKUP(基本資料填寫!$C$1&amp;"-"&amp;ROW(G44),基本資料填寫!$C:$DU,COLUMN(基本資料填寫!O45),0),"")</f>
        <v/>
      </c>
      <c r="J47" s="114" t="str">
        <f>IFERROR(VLOOKUP(基本資料填寫!$C$1&amp;"-"&amp;ROW(E44),基本資料填寫!$C:$DU,COLUMN(基本資料填寫!M45),0),"")</f>
        <v/>
      </c>
      <c r="K47" s="99" t="str">
        <f>IFERROR(VLOOKUP(基本資料填寫!$C$1&amp;"-"&amp;ROW(X44),基本資料填寫!$C:$DU,COLUMN(基本資料填寫!AF45),0),"")</f>
        <v/>
      </c>
      <c r="L47" s="115" t="str">
        <f>IFERROR(VLOOKUP(基本資料填寫!$C$1&amp;"-"&amp;ROW(AW44),基本資料填寫!$C:$DU,COLUMN(基本資料填寫!CU45),0),"")</f>
        <v/>
      </c>
      <c r="M47" s="115" t="str">
        <f>IFERROR(VLOOKUP(基本資料填寫!$C$1&amp;"-"&amp;ROW(AU44),基本資料填寫!$C:$DU,COLUMN(基本資料填寫!CS45),0),"")</f>
        <v/>
      </c>
      <c r="N47" s="115" t="str">
        <f>IFERROR(VLOOKUP(基本資料填寫!$C$1&amp;"-"&amp;ROW(AV44),基本資料填寫!$C:$DU,COLUMN(基本資料填寫!CT45),0),"")</f>
        <v/>
      </c>
      <c r="O47" s="115" t="str">
        <f>IFERROR(VLOOKUP(基本資料填寫!$C$1&amp;"-"&amp;ROW(N44),基本資料填寫!$C:$DU,COLUMN(基本資料填寫!V45),0),"")</f>
        <v/>
      </c>
      <c r="P47" s="115" t="str">
        <f>IFERROR(VLOOKUP(基本資料填寫!$C$1&amp;"-"&amp;ROW(AT44),基本資料填寫!$C:$DU,COLUMN(基本資料填寫!CR45),0),"")</f>
        <v/>
      </c>
      <c r="Q47" s="115" t="str">
        <f>IFERROR(VLOOKUP(基本資料填寫!$C$1&amp;"-"&amp;ROW(AQ44),基本資料填寫!$C:$DU,COLUMN(基本資料填寫!CO45),0),"")</f>
        <v/>
      </c>
      <c r="R47" s="99" t="str">
        <f>IFERROR(VLOOKUP(基本資料填寫!$C$1&amp;"-"&amp;ROW(Y44),基本資料填寫!$C:$DU,COLUMN(基本資料填寫!AG45),0),"")</f>
        <v/>
      </c>
      <c r="S47" s="99" t="str">
        <f>IFERROR(VLOOKUP(基本資料填寫!$C$1&amp;"-"&amp;ROW(Z44),基本資料填寫!$C:$DU,COLUMN(基本資料填寫!AH45),0),"")</f>
        <v/>
      </c>
      <c r="AB47" s="115" t="str">
        <f>IFERROR(VLOOKUP(基本資料填寫!$C$1&amp;"-"&amp;ROW(BL44),基本資料填寫!$C:$DU,COLUMN(基本資料填寫!DK45),0),"")</f>
        <v/>
      </c>
      <c r="BG47" s="115" t="str">
        <f>IFERROR(VLOOKUP(基本資料填寫!$C$1&amp;"-"&amp;ROW(E44),基本資料填寫!$C:$DU,COLUMN(基本資料填寫!M45),0),"")</f>
        <v/>
      </c>
      <c r="BU47" s="115" t="str">
        <f>IFERROR(VLOOKUP(基本資料填寫!$C$1&amp;"-"&amp;ROW(O44),基本資料填寫!$C:$DU,COLUMN(基本資料填寫!W45),0),"")</f>
        <v/>
      </c>
      <c r="BV47" s="99" t="str">
        <f>IFERROR(VLOOKUP(基本資料填寫!$C$1&amp;"-"&amp;ROW(AA44),基本資料填寫!$C:$DU,COLUMN(基本資料填寫!AI45),0),"")</f>
        <v/>
      </c>
    </row>
    <row r="48" spans="1:74" ht="16.2" x14ac:dyDescent="0.3">
      <c r="A48" s="207"/>
      <c r="B48" s="114" t="str">
        <f>IF(I48="","",COUNTA($I$4:I48))</f>
        <v/>
      </c>
      <c r="C48" s="114" t="str">
        <f>IFERROR(VLOOKUP(基本資料填寫!$C$1&amp;"-"&amp;ROW(X45),基本資料填寫!$C:$DU,COLUMN(基本資料填寫!BV46),0),"")</f>
        <v/>
      </c>
      <c r="D48" s="99" t="str">
        <f>IFERROR(VLOOKUP(基本資料填寫!$C$1&amp;"-"&amp;ROW(D45),基本資料填寫!$C:$DU,COLUMN(基本資料填寫!L46),0),"")</f>
        <v/>
      </c>
      <c r="E48" s="115" t="str">
        <f>IFERROR(VLOOKUP(基本資料填寫!$C$1&amp;"-"&amp;ROW(AP45),基本資料填寫!$C:$DU,COLUMN(基本資料填寫!CN46),0),"")</f>
        <v/>
      </c>
      <c r="F48" s="114" t="str">
        <f>IFERROR(VLOOKUP(基本資料填寫!$C$1&amp;"-"&amp;ROW(I45),基本資料填寫!$C:$DU,COLUMN(基本資料填寫!Q46),0),"")</f>
        <v/>
      </c>
      <c r="G48" s="114" t="str">
        <f>IFERROR(VLOOKUP(基本資料填寫!$C$1&amp;"-"&amp;ROW(L45),基本資料填寫!$C:$DU,COLUMN(基本資料填寫!T46),0),"")</f>
        <v/>
      </c>
      <c r="H48" s="114" t="str">
        <f>IFERROR(VLOOKUP(基本資料填寫!$C$1&amp;"-"&amp;ROW(F45),基本資料填寫!$C:$DU,COLUMN(基本資料填寫!N46),0),"")</f>
        <v/>
      </c>
      <c r="I48" s="114" t="str">
        <f>IFERROR(VLOOKUP(基本資料填寫!$C$1&amp;"-"&amp;ROW(G45),基本資料填寫!$C:$DU,COLUMN(基本資料填寫!O46),0),"")</f>
        <v/>
      </c>
      <c r="J48" s="114" t="str">
        <f>IFERROR(VLOOKUP(基本資料填寫!$C$1&amp;"-"&amp;ROW(E45),基本資料填寫!$C:$DU,COLUMN(基本資料填寫!M46),0),"")</f>
        <v/>
      </c>
      <c r="K48" s="99" t="str">
        <f>IFERROR(VLOOKUP(基本資料填寫!$C$1&amp;"-"&amp;ROW(X45),基本資料填寫!$C:$DU,COLUMN(基本資料填寫!AF46),0),"")</f>
        <v/>
      </c>
      <c r="L48" s="115" t="str">
        <f>IFERROR(VLOOKUP(基本資料填寫!$C$1&amp;"-"&amp;ROW(AW45),基本資料填寫!$C:$DU,COLUMN(基本資料填寫!CU46),0),"")</f>
        <v/>
      </c>
      <c r="M48" s="115" t="str">
        <f>IFERROR(VLOOKUP(基本資料填寫!$C$1&amp;"-"&amp;ROW(AU45),基本資料填寫!$C:$DU,COLUMN(基本資料填寫!CS46),0),"")</f>
        <v/>
      </c>
      <c r="N48" s="115" t="str">
        <f>IFERROR(VLOOKUP(基本資料填寫!$C$1&amp;"-"&amp;ROW(AV45),基本資料填寫!$C:$DU,COLUMN(基本資料填寫!CT46),0),"")</f>
        <v/>
      </c>
      <c r="O48" s="115" t="str">
        <f>IFERROR(VLOOKUP(基本資料填寫!$C$1&amp;"-"&amp;ROW(N45),基本資料填寫!$C:$DU,COLUMN(基本資料填寫!V46),0),"")</f>
        <v/>
      </c>
      <c r="P48" s="115" t="str">
        <f>IFERROR(VLOOKUP(基本資料填寫!$C$1&amp;"-"&amp;ROW(AT45),基本資料填寫!$C:$DU,COLUMN(基本資料填寫!CR46),0),"")</f>
        <v/>
      </c>
      <c r="Q48" s="115" t="str">
        <f>IFERROR(VLOOKUP(基本資料填寫!$C$1&amp;"-"&amp;ROW(AQ45),基本資料填寫!$C:$DU,COLUMN(基本資料填寫!CO46),0),"")</f>
        <v/>
      </c>
      <c r="R48" s="99" t="str">
        <f>IFERROR(VLOOKUP(基本資料填寫!$C$1&amp;"-"&amp;ROW(Y45),基本資料填寫!$C:$DU,COLUMN(基本資料填寫!AG46),0),"")</f>
        <v/>
      </c>
      <c r="S48" s="99" t="str">
        <f>IFERROR(VLOOKUP(基本資料填寫!$C$1&amp;"-"&amp;ROW(Z45),基本資料填寫!$C:$DU,COLUMN(基本資料填寫!AH46),0),"")</f>
        <v/>
      </c>
      <c r="AB48" s="115" t="str">
        <f>IFERROR(VLOOKUP(基本資料填寫!$C$1&amp;"-"&amp;ROW(BL45),基本資料填寫!$C:$DU,COLUMN(基本資料填寫!DK46),0),"")</f>
        <v/>
      </c>
      <c r="BG48" s="115" t="str">
        <f>IFERROR(VLOOKUP(基本資料填寫!$C$1&amp;"-"&amp;ROW(E45),基本資料填寫!$C:$DU,COLUMN(基本資料填寫!M46),0),"")</f>
        <v/>
      </c>
      <c r="BU48" s="115" t="str">
        <f>IFERROR(VLOOKUP(基本資料填寫!$C$1&amp;"-"&amp;ROW(O45),基本資料填寫!$C:$DU,COLUMN(基本資料填寫!W46),0),"")</f>
        <v/>
      </c>
      <c r="BV48" s="99" t="str">
        <f>IFERROR(VLOOKUP(基本資料填寫!$C$1&amp;"-"&amp;ROW(AA45),基本資料填寫!$C:$DU,COLUMN(基本資料填寫!AI46),0),"")</f>
        <v/>
      </c>
    </row>
    <row r="49" spans="1:74" ht="16.2" x14ac:dyDescent="0.3">
      <c r="A49" s="207"/>
      <c r="B49" s="114" t="str">
        <f>IF(I49="","",COUNTA($I$4:I49))</f>
        <v/>
      </c>
      <c r="C49" s="114" t="str">
        <f>IFERROR(VLOOKUP(基本資料填寫!$C$1&amp;"-"&amp;ROW(X46),基本資料填寫!$C:$DU,COLUMN(基本資料填寫!BV47),0),"")</f>
        <v/>
      </c>
      <c r="D49" s="99" t="str">
        <f>IFERROR(VLOOKUP(基本資料填寫!$C$1&amp;"-"&amp;ROW(D46),基本資料填寫!$C:$DU,COLUMN(基本資料填寫!L47),0),"")</f>
        <v/>
      </c>
      <c r="E49" s="115" t="str">
        <f>IFERROR(VLOOKUP(基本資料填寫!$C$1&amp;"-"&amp;ROW(AP46),基本資料填寫!$C:$DU,COLUMN(基本資料填寫!CN47),0),"")</f>
        <v/>
      </c>
      <c r="F49" s="114" t="str">
        <f>IFERROR(VLOOKUP(基本資料填寫!$C$1&amp;"-"&amp;ROW(I46),基本資料填寫!$C:$DU,COLUMN(基本資料填寫!Q47),0),"")</f>
        <v/>
      </c>
      <c r="G49" s="114" t="str">
        <f>IFERROR(VLOOKUP(基本資料填寫!$C$1&amp;"-"&amp;ROW(L46),基本資料填寫!$C:$DU,COLUMN(基本資料填寫!T47),0),"")</f>
        <v/>
      </c>
      <c r="H49" s="114" t="str">
        <f>IFERROR(VLOOKUP(基本資料填寫!$C$1&amp;"-"&amp;ROW(F46),基本資料填寫!$C:$DU,COLUMN(基本資料填寫!N47),0),"")</f>
        <v/>
      </c>
      <c r="I49" s="114" t="str">
        <f>IFERROR(VLOOKUP(基本資料填寫!$C$1&amp;"-"&amp;ROW(G46),基本資料填寫!$C:$DU,COLUMN(基本資料填寫!O47),0),"")</f>
        <v/>
      </c>
      <c r="J49" s="114" t="str">
        <f>IFERROR(VLOOKUP(基本資料填寫!$C$1&amp;"-"&amp;ROW(E46),基本資料填寫!$C:$DU,COLUMN(基本資料填寫!M47),0),"")</f>
        <v/>
      </c>
      <c r="K49" s="99" t="str">
        <f>IFERROR(VLOOKUP(基本資料填寫!$C$1&amp;"-"&amp;ROW(X46),基本資料填寫!$C:$DU,COLUMN(基本資料填寫!AF47),0),"")</f>
        <v/>
      </c>
      <c r="L49" s="115" t="str">
        <f>IFERROR(VLOOKUP(基本資料填寫!$C$1&amp;"-"&amp;ROW(AW46),基本資料填寫!$C:$DU,COLUMN(基本資料填寫!CU47),0),"")</f>
        <v/>
      </c>
      <c r="M49" s="115" t="str">
        <f>IFERROR(VLOOKUP(基本資料填寫!$C$1&amp;"-"&amp;ROW(AU46),基本資料填寫!$C:$DU,COLUMN(基本資料填寫!CS47),0),"")</f>
        <v/>
      </c>
      <c r="N49" s="115" t="str">
        <f>IFERROR(VLOOKUP(基本資料填寫!$C$1&amp;"-"&amp;ROW(AV46),基本資料填寫!$C:$DU,COLUMN(基本資料填寫!CT47),0),"")</f>
        <v/>
      </c>
      <c r="O49" s="115" t="str">
        <f>IFERROR(VLOOKUP(基本資料填寫!$C$1&amp;"-"&amp;ROW(N46),基本資料填寫!$C:$DU,COLUMN(基本資料填寫!V47),0),"")</f>
        <v/>
      </c>
      <c r="P49" s="115" t="str">
        <f>IFERROR(VLOOKUP(基本資料填寫!$C$1&amp;"-"&amp;ROW(AT46),基本資料填寫!$C:$DU,COLUMN(基本資料填寫!CR47),0),"")</f>
        <v/>
      </c>
      <c r="Q49" s="115" t="str">
        <f>IFERROR(VLOOKUP(基本資料填寫!$C$1&amp;"-"&amp;ROW(AQ46),基本資料填寫!$C:$DU,COLUMN(基本資料填寫!CO47),0),"")</f>
        <v/>
      </c>
      <c r="R49" s="99" t="str">
        <f>IFERROR(VLOOKUP(基本資料填寫!$C$1&amp;"-"&amp;ROW(Y46),基本資料填寫!$C:$DU,COLUMN(基本資料填寫!AG47),0),"")</f>
        <v/>
      </c>
      <c r="S49" s="99" t="str">
        <f>IFERROR(VLOOKUP(基本資料填寫!$C$1&amp;"-"&amp;ROW(Z46),基本資料填寫!$C:$DU,COLUMN(基本資料填寫!AH47),0),"")</f>
        <v/>
      </c>
      <c r="AB49" s="115" t="str">
        <f>IFERROR(VLOOKUP(基本資料填寫!$C$1&amp;"-"&amp;ROW(BL46),基本資料填寫!$C:$DU,COLUMN(基本資料填寫!DK47),0),"")</f>
        <v/>
      </c>
      <c r="BG49" s="115" t="str">
        <f>IFERROR(VLOOKUP(基本資料填寫!$C$1&amp;"-"&amp;ROW(E46),基本資料填寫!$C:$DU,COLUMN(基本資料填寫!M47),0),"")</f>
        <v/>
      </c>
      <c r="BU49" s="115" t="str">
        <f>IFERROR(VLOOKUP(基本資料填寫!$C$1&amp;"-"&amp;ROW(O46),基本資料填寫!$C:$DU,COLUMN(基本資料填寫!W47),0),"")</f>
        <v/>
      </c>
      <c r="BV49" s="99" t="str">
        <f>IFERROR(VLOOKUP(基本資料填寫!$C$1&amp;"-"&amp;ROW(AA46),基本資料填寫!$C:$DU,COLUMN(基本資料填寫!AI47),0),"")</f>
        <v/>
      </c>
    </row>
    <row r="50" spans="1:74" ht="16.2" x14ac:dyDescent="0.3">
      <c r="A50" s="207"/>
      <c r="B50" s="114" t="str">
        <f>IF(I50="","",COUNTA($I$4:I50))</f>
        <v/>
      </c>
      <c r="C50" s="114" t="str">
        <f>IFERROR(VLOOKUP(基本資料填寫!$C$1&amp;"-"&amp;ROW(X47),基本資料填寫!$C:$DU,COLUMN(基本資料填寫!BV48),0),"")</f>
        <v/>
      </c>
      <c r="D50" s="99" t="str">
        <f>IFERROR(VLOOKUP(基本資料填寫!$C$1&amp;"-"&amp;ROW(D47),基本資料填寫!$C:$DU,COLUMN(基本資料填寫!L48),0),"")</f>
        <v/>
      </c>
      <c r="E50" s="115" t="str">
        <f>IFERROR(VLOOKUP(基本資料填寫!$C$1&amp;"-"&amp;ROW(AP47),基本資料填寫!$C:$DU,COLUMN(基本資料填寫!CN48),0),"")</f>
        <v/>
      </c>
      <c r="F50" s="114" t="str">
        <f>IFERROR(VLOOKUP(基本資料填寫!$C$1&amp;"-"&amp;ROW(I47),基本資料填寫!$C:$DU,COLUMN(基本資料填寫!Q48),0),"")</f>
        <v/>
      </c>
      <c r="G50" s="114" t="str">
        <f>IFERROR(VLOOKUP(基本資料填寫!$C$1&amp;"-"&amp;ROW(L47),基本資料填寫!$C:$DU,COLUMN(基本資料填寫!T48),0),"")</f>
        <v/>
      </c>
      <c r="H50" s="114" t="str">
        <f>IFERROR(VLOOKUP(基本資料填寫!$C$1&amp;"-"&amp;ROW(F47),基本資料填寫!$C:$DU,COLUMN(基本資料填寫!N48),0),"")</f>
        <v/>
      </c>
      <c r="I50" s="114" t="str">
        <f>IFERROR(VLOOKUP(基本資料填寫!$C$1&amp;"-"&amp;ROW(G47),基本資料填寫!$C:$DU,COLUMN(基本資料填寫!O48),0),"")</f>
        <v/>
      </c>
      <c r="J50" s="114" t="str">
        <f>IFERROR(VLOOKUP(基本資料填寫!$C$1&amp;"-"&amp;ROW(E47),基本資料填寫!$C:$DU,COLUMN(基本資料填寫!M48),0),"")</f>
        <v/>
      </c>
      <c r="K50" s="99" t="str">
        <f>IFERROR(VLOOKUP(基本資料填寫!$C$1&amp;"-"&amp;ROW(X47),基本資料填寫!$C:$DU,COLUMN(基本資料填寫!AF48),0),"")</f>
        <v/>
      </c>
      <c r="L50" s="115" t="str">
        <f>IFERROR(VLOOKUP(基本資料填寫!$C$1&amp;"-"&amp;ROW(AW47),基本資料填寫!$C:$DU,COLUMN(基本資料填寫!CU48),0),"")</f>
        <v/>
      </c>
      <c r="M50" s="115" t="str">
        <f>IFERROR(VLOOKUP(基本資料填寫!$C$1&amp;"-"&amp;ROW(AU47),基本資料填寫!$C:$DU,COLUMN(基本資料填寫!CS48),0),"")</f>
        <v/>
      </c>
      <c r="N50" s="115" t="str">
        <f>IFERROR(VLOOKUP(基本資料填寫!$C$1&amp;"-"&amp;ROW(AV47),基本資料填寫!$C:$DU,COLUMN(基本資料填寫!CT48),0),"")</f>
        <v/>
      </c>
      <c r="O50" s="115" t="str">
        <f>IFERROR(VLOOKUP(基本資料填寫!$C$1&amp;"-"&amp;ROW(N47),基本資料填寫!$C:$DU,COLUMN(基本資料填寫!V48),0),"")</f>
        <v/>
      </c>
      <c r="P50" s="115" t="str">
        <f>IFERROR(VLOOKUP(基本資料填寫!$C$1&amp;"-"&amp;ROW(AT47),基本資料填寫!$C:$DU,COLUMN(基本資料填寫!CR48),0),"")</f>
        <v/>
      </c>
      <c r="Q50" s="115" t="str">
        <f>IFERROR(VLOOKUP(基本資料填寫!$C$1&amp;"-"&amp;ROW(AQ47),基本資料填寫!$C:$DU,COLUMN(基本資料填寫!CO48),0),"")</f>
        <v/>
      </c>
      <c r="R50" s="99" t="str">
        <f>IFERROR(VLOOKUP(基本資料填寫!$C$1&amp;"-"&amp;ROW(Y47),基本資料填寫!$C:$DU,COLUMN(基本資料填寫!AG48),0),"")</f>
        <v/>
      </c>
      <c r="S50" s="99" t="str">
        <f>IFERROR(VLOOKUP(基本資料填寫!$C$1&amp;"-"&amp;ROW(Z47),基本資料填寫!$C:$DU,COLUMN(基本資料填寫!AH48),0),"")</f>
        <v/>
      </c>
      <c r="AB50" s="115" t="str">
        <f>IFERROR(VLOOKUP(基本資料填寫!$C$1&amp;"-"&amp;ROW(BL47),基本資料填寫!$C:$DU,COLUMN(基本資料填寫!DK48),0),"")</f>
        <v/>
      </c>
      <c r="BG50" s="115" t="str">
        <f>IFERROR(VLOOKUP(基本資料填寫!$C$1&amp;"-"&amp;ROW(E47),基本資料填寫!$C:$DU,COLUMN(基本資料填寫!M48),0),"")</f>
        <v/>
      </c>
      <c r="BU50" s="115" t="str">
        <f>IFERROR(VLOOKUP(基本資料填寫!$C$1&amp;"-"&amp;ROW(O47),基本資料填寫!$C:$DU,COLUMN(基本資料填寫!W48),0),"")</f>
        <v/>
      </c>
      <c r="BV50" s="99" t="str">
        <f>IFERROR(VLOOKUP(基本資料填寫!$C$1&amp;"-"&amp;ROW(AA47),基本資料填寫!$C:$DU,COLUMN(基本資料填寫!AI48),0),"")</f>
        <v/>
      </c>
    </row>
    <row r="51" spans="1:74" ht="16.2" x14ac:dyDescent="0.3">
      <c r="A51" s="207"/>
      <c r="B51" s="114" t="str">
        <f>IF(I51="","",COUNTA($I$4:I51))</f>
        <v/>
      </c>
      <c r="C51" s="114" t="str">
        <f>IFERROR(VLOOKUP(基本資料填寫!$C$1&amp;"-"&amp;ROW(X48),基本資料填寫!$C:$DU,COLUMN(基本資料填寫!BV49),0),"")</f>
        <v/>
      </c>
      <c r="D51" s="99" t="str">
        <f>IFERROR(VLOOKUP(基本資料填寫!$C$1&amp;"-"&amp;ROW(D48),基本資料填寫!$C:$DU,COLUMN(基本資料填寫!L49),0),"")</f>
        <v/>
      </c>
      <c r="E51" s="115" t="str">
        <f>IFERROR(VLOOKUP(基本資料填寫!$C$1&amp;"-"&amp;ROW(AP48),基本資料填寫!$C:$DU,COLUMN(基本資料填寫!CN49),0),"")</f>
        <v/>
      </c>
      <c r="F51" s="114" t="str">
        <f>IFERROR(VLOOKUP(基本資料填寫!$C$1&amp;"-"&amp;ROW(I48),基本資料填寫!$C:$DU,COLUMN(基本資料填寫!Q49),0),"")</f>
        <v/>
      </c>
      <c r="G51" s="114" t="str">
        <f>IFERROR(VLOOKUP(基本資料填寫!$C$1&amp;"-"&amp;ROW(L48),基本資料填寫!$C:$DU,COLUMN(基本資料填寫!T49),0),"")</f>
        <v/>
      </c>
      <c r="H51" s="114" t="str">
        <f>IFERROR(VLOOKUP(基本資料填寫!$C$1&amp;"-"&amp;ROW(F48),基本資料填寫!$C:$DU,COLUMN(基本資料填寫!N49),0),"")</f>
        <v/>
      </c>
      <c r="I51" s="114" t="str">
        <f>IFERROR(VLOOKUP(基本資料填寫!$C$1&amp;"-"&amp;ROW(G48),基本資料填寫!$C:$DU,COLUMN(基本資料填寫!O49),0),"")</f>
        <v/>
      </c>
      <c r="J51" s="114" t="str">
        <f>IFERROR(VLOOKUP(基本資料填寫!$C$1&amp;"-"&amp;ROW(E48),基本資料填寫!$C:$DU,COLUMN(基本資料填寫!M49),0),"")</f>
        <v/>
      </c>
      <c r="K51" s="99" t="str">
        <f>IFERROR(VLOOKUP(基本資料填寫!$C$1&amp;"-"&amp;ROW(X48),基本資料填寫!$C:$DU,COLUMN(基本資料填寫!AF49),0),"")</f>
        <v/>
      </c>
      <c r="L51" s="115" t="str">
        <f>IFERROR(VLOOKUP(基本資料填寫!$C$1&amp;"-"&amp;ROW(AW48),基本資料填寫!$C:$DU,COLUMN(基本資料填寫!CU49),0),"")</f>
        <v/>
      </c>
      <c r="M51" s="115" t="str">
        <f>IFERROR(VLOOKUP(基本資料填寫!$C$1&amp;"-"&amp;ROW(AU48),基本資料填寫!$C:$DU,COLUMN(基本資料填寫!CS49),0),"")</f>
        <v/>
      </c>
      <c r="N51" s="115" t="str">
        <f>IFERROR(VLOOKUP(基本資料填寫!$C$1&amp;"-"&amp;ROW(AV48),基本資料填寫!$C:$DU,COLUMN(基本資料填寫!CT49),0),"")</f>
        <v/>
      </c>
      <c r="O51" s="115" t="str">
        <f>IFERROR(VLOOKUP(基本資料填寫!$C$1&amp;"-"&amp;ROW(N48),基本資料填寫!$C:$DU,COLUMN(基本資料填寫!V49),0),"")</f>
        <v/>
      </c>
      <c r="P51" s="115" t="str">
        <f>IFERROR(VLOOKUP(基本資料填寫!$C$1&amp;"-"&amp;ROW(AT48),基本資料填寫!$C:$DU,COLUMN(基本資料填寫!CR49),0),"")</f>
        <v/>
      </c>
      <c r="Q51" s="115" t="str">
        <f>IFERROR(VLOOKUP(基本資料填寫!$C$1&amp;"-"&amp;ROW(AQ48),基本資料填寫!$C:$DU,COLUMN(基本資料填寫!CO49),0),"")</f>
        <v/>
      </c>
      <c r="R51" s="99" t="str">
        <f>IFERROR(VLOOKUP(基本資料填寫!$C$1&amp;"-"&amp;ROW(Y48),基本資料填寫!$C:$DU,COLUMN(基本資料填寫!AG49),0),"")</f>
        <v/>
      </c>
      <c r="S51" s="99" t="str">
        <f>IFERROR(VLOOKUP(基本資料填寫!$C$1&amp;"-"&amp;ROW(Z48),基本資料填寫!$C:$DU,COLUMN(基本資料填寫!AH49),0),"")</f>
        <v/>
      </c>
      <c r="AB51" s="115" t="str">
        <f>IFERROR(VLOOKUP(基本資料填寫!$C$1&amp;"-"&amp;ROW(BL48),基本資料填寫!$C:$DU,COLUMN(基本資料填寫!DK49),0),"")</f>
        <v/>
      </c>
      <c r="BG51" s="115" t="str">
        <f>IFERROR(VLOOKUP(基本資料填寫!$C$1&amp;"-"&amp;ROW(E48),基本資料填寫!$C:$DU,COLUMN(基本資料填寫!M49),0),"")</f>
        <v/>
      </c>
      <c r="BU51" s="115" t="str">
        <f>IFERROR(VLOOKUP(基本資料填寫!$C$1&amp;"-"&amp;ROW(O48),基本資料填寫!$C:$DU,COLUMN(基本資料填寫!W49),0),"")</f>
        <v/>
      </c>
      <c r="BV51" s="99" t="str">
        <f>IFERROR(VLOOKUP(基本資料填寫!$C$1&amp;"-"&amp;ROW(AA48),基本資料填寫!$C:$DU,COLUMN(基本資料填寫!AI49),0),"")</f>
        <v/>
      </c>
    </row>
    <row r="52" spans="1:74" ht="16.2" x14ac:dyDescent="0.3">
      <c r="A52" s="207"/>
      <c r="B52" s="114" t="str">
        <f>IF(I52="","",COUNTA($I$4:I52))</f>
        <v/>
      </c>
      <c r="C52" s="114" t="str">
        <f>IFERROR(VLOOKUP(基本資料填寫!$C$1&amp;"-"&amp;ROW(X49),基本資料填寫!$C:$DU,COLUMN(基本資料填寫!BV50),0),"")</f>
        <v/>
      </c>
      <c r="D52" s="99" t="str">
        <f>IFERROR(VLOOKUP(基本資料填寫!$C$1&amp;"-"&amp;ROW(D49),基本資料填寫!$C:$DU,COLUMN(基本資料填寫!L50),0),"")</f>
        <v/>
      </c>
      <c r="E52" s="115" t="str">
        <f>IFERROR(VLOOKUP(基本資料填寫!$C$1&amp;"-"&amp;ROW(AP49),基本資料填寫!$C:$DU,COLUMN(基本資料填寫!CN50),0),"")</f>
        <v/>
      </c>
      <c r="F52" s="114" t="str">
        <f>IFERROR(VLOOKUP(基本資料填寫!$C$1&amp;"-"&amp;ROW(I49),基本資料填寫!$C:$DU,COLUMN(基本資料填寫!Q50),0),"")</f>
        <v/>
      </c>
      <c r="G52" s="114" t="str">
        <f>IFERROR(VLOOKUP(基本資料填寫!$C$1&amp;"-"&amp;ROW(L49),基本資料填寫!$C:$DU,COLUMN(基本資料填寫!T50),0),"")</f>
        <v/>
      </c>
      <c r="H52" s="114" t="str">
        <f>IFERROR(VLOOKUP(基本資料填寫!$C$1&amp;"-"&amp;ROW(F49),基本資料填寫!$C:$DU,COLUMN(基本資料填寫!N50),0),"")</f>
        <v/>
      </c>
      <c r="I52" s="114" t="str">
        <f>IFERROR(VLOOKUP(基本資料填寫!$C$1&amp;"-"&amp;ROW(G49),基本資料填寫!$C:$DU,COLUMN(基本資料填寫!O50),0),"")</f>
        <v/>
      </c>
      <c r="J52" s="114" t="str">
        <f>IFERROR(VLOOKUP(基本資料填寫!$C$1&amp;"-"&amp;ROW(E49),基本資料填寫!$C:$DU,COLUMN(基本資料填寫!M50),0),"")</f>
        <v/>
      </c>
      <c r="K52" s="99" t="str">
        <f>IFERROR(VLOOKUP(基本資料填寫!$C$1&amp;"-"&amp;ROW(X49),基本資料填寫!$C:$DU,COLUMN(基本資料填寫!AF50),0),"")</f>
        <v/>
      </c>
      <c r="L52" s="115" t="str">
        <f>IFERROR(VLOOKUP(基本資料填寫!$C$1&amp;"-"&amp;ROW(AW49),基本資料填寫!$C:$DU,COLUMN(基本資料填寫!CU50),0),"")</f>
        <v/>
      </c>
      <c r="M52" s="115" t="str">
        <f>IFERROR(VLOOKUP(基本資料填寫!$C$1&amp;"-"&amp;ROW(AU49),基本資料填寫!$C:$DU,COLUMN(基本資料填寫!CS50),0),"")</f>
        <v/>
      </c>
      <c r="N52" s="115" t="str">
        <f>IFERROR(VLOOKUP(基本資料填寫!$C$1&amp;"-"&amp;ROW(AV49),基本資料填寫!$C:$DU,COLUMN(基本資料填寫!CT50),0),"")</f>
        <v/>
      </c>
      <c r="O52" s="115" t="str">
        <f>IFERROR(VLOOKUP(基本資料填寫!$C$1&amp;"-"&amp;ROW(N49),基本資料填寫!$C:$DU,COLUMN(基本資料填寫!V50),0),"")</f>
        <v/>
      </c>
      <c r="P52" s="115" t="str">
        <f>IFERROR(VLOOKUP(基本資料填寫!$C$1&amp;"-"&amp;ROW(AT49),基本資料填寫!$C:$DU,COLUMN(基本資料填寫!CR50),0),"")</f>
        <v/>
      </c>
      <c r="Q52" s="115" t="str">
        <f>IFERROR(VLOOKUP(基本資料填寫!$C$1&amp;"-"&amp;ROW(AQ49),基本資料填寫!$C:$DU,COLUMN(基本資料填寫!CO50),0),"")</f>
        <v/>
      </c>
      <c r="R52" s="99" t="str">
        <f>IFERROR(VLOOKUP(基本資料填寫!$C$1&amp;"-"&amp;ROW(Y49),基本資料填寫!$C:$DU,COLUMN(基本資料填寫!AG50),0),"")</f>
        <v/>
      </c>
      <c r="S52" s="99" t="str">
        <f>IFERROR(VLOOKUP(基本資料填寫!$C$1&amp;"-"&amp;ROW(Z49),基本資料填寫!$C:$DU,COLUMN(基本資料填寫!AH50),0),"")</f>
        <v/>
      </c>
      <c r="AB52" s="115" t="str">
        <f>IFERROR(VLOOKUP(基本資料填寫!$C$1&amp;"-"&amp;ROW(BL49),基本資料填寫!$C:$DU,COLUMN(基本資料填寫!DK50),0),"")</f>
        <v/>
      </c>
      <c r="BG52" s="115" t="str">
        <f>IFERROR(VLOOKUP(基本資料填寫!$C$1&amp;"-"&amp;ROW(E49),基本資料填寫!$C:$DU,COLUMN(基本資料填寫!M50),0),"")</f>
        <v/>
      </c>
      <c r="BU52" s="115" t="str">
        <f>IFERROR(VLOOKUP(基本資料填寫!$C$1&amp;"-"&amp;ROW(O49),基本資料填寫!$C:$DU,COLUMN(基本資料填寫!W50),0),"")</f>
        <v/>
      </c>
      <c r="BV52" s="99" t="str">
        <f>IFERROR(VLOOKUP(基本資料填寫!$C$1&amp;"-"&amp;ROW(AA49),基本資料填寫!$C:$DU,COLUMN(基本資料填寫!AI50),0),"")</f>
        <v/>
      </c>
    </row>
    <row r="53" spans="1:74" ht="16.2" x14ac:dyDescent="0.3">
      <c r="A53" s="207"/>
      <c r="B53" s="114" t="str">
        <f>IF(I53="","",COUNTA($I$4:I53))</f>
        <v/>
      </c>
      <c r="C53" s="114" t="str">
        <f>IFERROR(VLOOKUP(基本資料填寫!$C$1&amp;"-"&amp;ROW(X50),基本資料填寫!$C:$DU,COLUMN(基本資料填寫!BV51),0),"")</f>
        <v/>
      </c>
      <c r="D53" s="99" t="str">
        <f>IFERROR(VLOOKUP(基本資料填寫!$C$1&amp;"-"&amp;ROW(D50),基本資料填寫!$C:$DU,COLUMN(基本資料填寫!L51),0),"")</f>
        <v/>
      </c>
      <c r="E53" s="115" t="str">
        <f>IFERROR(VLOOKUP(基本資料填寫!$C$1&amp;"-"&amp;ROW(AP50),基本資料填寫!$C:$DU,COLUMN(基本資料填寫!CN51),0),"")</f>
        <v/>
      </c>
      <c r="F53" s="114" t="str">
        <f>IFERROR(VLOOKUP(基本資料填寫!$C$1&amp;"-"&amp;ROW(I50),基本資料填寫!$C:$DU,COLUMN(基本資料填寫!Q51),0),"")</f>
        <v/>
      </c>
      <c r="G53" s="114" t="str">
        <f>IFERROR(VLOOKUP(基本資料填寫!$C$1&amp;"-"&amp;ROW(L50),基本資料填寫!$C:$DU,COLUMN(基本資料填寫!T51),0),"")</f>
        <v/>
      </c>
      <c r="H53" s="114" t="str">
        <f>IFERROR(VLOOKUP(基本資料填寫!$C$1&amp;"-"&amp;ROW(F50),基本資料填寫!$C:$DU,COLUMN(基本資料填寫!N51),0),"")</f>
        <v/>
      </c>
      <c r="I53" s="114" t="str">
        <f>IFERROR(VLOOKUP(基本資料填寫!$C$1&amp;"-"&amp;ROW(G50),基本資料填寫!$C:$DU,COLUMN(基本資料填寫!O51),0),"")</f>
        <v/>
      </c>
      <c r="J53" s="114" t="str">
        <f>IFERROR(VLOOKUP(基本資料填寫!$C$1&amp;"-"&amp;ROW(E50),基本資料填寫!$C:$DU,COLUMN(基本資料填寫!M51),0),"")</f>
        <v/>
      </c>
      <c r="K53" s="99" t="str">
        <f>IFERROR(VLOOKUP(基本資料填寫!$C$1&amp;"-"&amp;ROW(X50),基本資料填寫!$C:$DU,COLUMN(基本資料填寫!AF51),0),"")</f>
        <v/>
      </c>
      <c r="L53" s="115" t="str">
        <f>IFERROR(VLOOKUP(基本資料填寫!$C$1&amp;"-"&amp;ROW(AW50),基本資料填寫!$C:$DU,COLUMN(基本資料填寫!CU51),0),"")</f>
        <v/>
      </c>
      <c r="M53" s="115" t="str">
        <f>IFERROR(VLOOKUP(基本資料填寫!$C$1&amp;"-"&amp;ROW(AU50),基本資料填寫!$C:$DU,COLUMN(基本資料填寫!CS51),0),"")</f>
        <v/>
      </c>
      <c r="N53" s="115" t="str">
        <f>IFERROR(VLOOKUP(基本資料填寫!$C$1&amp;"-"&amp;ROW(AV50),基本資料填寫!$C:$DU,COLUMN(基本資料填寫!CT51),0),"")</f>
        <v/>
      </c>
      <c r="O53" s="115" t="str">
        <f>IFERROR(VLOOKUP(基本資料填寫!$C$1&amp;"-"&amp;ROW(N50),基本資料填寫!$C:$DU,COLUMN(基本資料填寫!V51),0),"")</f>
        <v/>
      </c>
      <c r="P53" s="115" t="str">
        <f>IFERROR(VLOOKUP(基本資料填寫!$C$1&amp;"-"&amp;ROW(AT50),基本資料填寫!$C:$DU,COLUMN(基本資料填寫!CR51),0),"")</f>
        <v/>
      </c>
      <c r="Q53" s="115" t="str">
        <f>IFERROR(VLOOKUP(基本資料填寫!$C$1&amp;"-"&amp;ROW(AQ50),基本資料填寫!$C:$DU,COLUMN(基本資料填寫!CO51),0),"")</f>
        <v/>
      </c>
      <c r="R53" s="99" t="str">
        <f>IFERROR(VLOOKUP(基本資料填寫!$C$1&amp;"-"&amp;ROW(Y50),基本資料填寫!$C:$DU,COLUMN(基本資料填寫!AG51),0),"")</f>
        <v/>
      </c>
      <c r="S53" s="99" t="str">
        <f>IFERROR(VLOOKUP(基本資料填寫!$C$1&amp;"-"&amp;ROW(Z50),基本資料填寫!$C:$DU,COLUMN(基本資料填寫!AH51),0),"")</f>
        <v/>
      </c>
      <c r="AB53" s="115" t="str">
        <f>IFERROR(VLOOKUP(基本資料填寫!$C$1&amp;"-"&amp;ROW(BL50),基本資料填寫!$C:$DU,COLUMN(基本資料填寫!DK51),0),"")</f>
        <v/>
      </c>
      <c r="BG53" s="115" t="str">
        <f>IFERROR(VLOOKUP(基本資料填寫!$C$1&amp;"-"&amp;ROW(E50),基本資料填寫!$C:$DU,COLUMN(基本資料填寫!M51),0),"")</f>
        <v/>
      </c>
      <c r="BU53" s="115" t="str">
        <f>IFERROR(VLOOKUP(基本資料填寫!$C$1&amp;"-"&amp;ROW(O50),基本資料填寫!$C:$DU,COLUMN(基本資料填寫!W51),0),"")</f>
        <v/>
      </c>
      <c r="BV53" s="99" t="str">
        <f>IFERROR(VLOOKUP(基本資料填寫!$C$1&amp;"-"&amp;ROW(AA50),基本資料填寫!$C:$DU,COLUMN(基本資料填寫!AI51),0),"")</f>
        <v/>
      </c>
    </row>
    <row r="54" spans="1:74" ht="16.2" x14ac:dyDescent="0.3">
      <c r="A54" s="207"/>
      <c r="B54" s="114" t="str">
        <f>IF(I54="","",COUNTA($I$4:I54))</f>
        <v/>
      </c>
      <c r="C54" s="114" t="str">
        <f>IFERROR(VLOOKUP(基本資料填寫!$C$1&amp;"-"&amp;ROW(X51),基本資料填寫!$C:$DU,COLUMN(基本資料填寫!BV52),0),"")</f>
        <v/>
      </c>
      <c r="D54" s="99" t="str">
        <f>IFERROR(VLOOKUP(基本資料填寫!$C$1&amp;"-"&amp;ROW(D51),基本資料填寫!$C:$DU,COLUMN(基本資料填寫!L52),0),"")</f>
        <v/>
      </c>
      <c r="E54" s="115" t="str">
        <f>IFERROR(VLOOKUP(基本資料填寫!$C$1&amp;"-"&amp;ROW(AP51),基本資料填寫!$C:$DU,COLUMN(基本資料填寫!CN52),0),"")</f>
        <v/>
      </c>
      <c r="F54" s="114" t="str">
        <f>IFERROR(VLOOKUP(基本資料填寫!$C$1&amp;"-"&amp;ROW(I51),基本資料填寫!$C:$DU,COLUMN(基本資料填寫!Q52),0),"")</f>
        <v/>
      </c>
      <c r="G54" s="114" t="str">
        <f>IFERROR(VLOOKUP(基本資料填寫!$C$1&amp;"-"&amp;ROW(L51),基本資料填寫!$C:$DU,COLUMN(基本資料填寫!T52),0),"")</f>
        <v/>
      </c>
      <c r="H54" s="114" t="str">
        <f>IFERROR(VLOOKUP(基本資料填寫!$C$1&amp;"-"&amp;ROW(F51),基本資料填寫!$C:$DU,COLUMN(基本資料填寫!N52),0),"")</f>
        <v/>
      </c>
      <c r="I54" s="114" t="str">
        <f>IFERROR(VLOOKUP(基本資料填寫!$C$1&amp;"-"&amp;ROW(G51),基本資料填寫!$C:$DU,COLUMN(基本資料填寫!O52),0),"")</f>
        <v/>
      </c>
      <c r="J54" s="114" t="str">
        <f>IFERROR(VLOOKUP(基本資料填寫!$C$1&amp;"-"&amp;ROW(E51),基本資料填寫!$C:$DU,COLUMN(基本資料填寫!M52),0),"")</f>
        <v/>
      </c>
      <c r="K54" s="99" t="str">
        <f>IFERROR(VLOOKUP(基本資料填寫!$C$1&amp;"-"&amp;ROW(X51),基本資料填寫!$C:$DU,COLUMN(基本資料填寫!AF52),0),"")</f>
        <v/>
      </c>
      <c r="L54" s="115" t="str">
        <f>IFERROR(VLOOKUP(基本資料填寫!$C$1&amp;"-"&amp;ROW(AW51),基本資料填寫!$C:$DU,COLUMN(基本資料填寫!CU52),0),"")</f>
        <v/>
      </c>
      <c r="M54" s="115" t="str">
        <f>IFERROR(VLOOKUP(基本資料填寫!$C$1&amp;"-"&amp;ROW(AU51),基本資料填寫!$C:$DU,COLUMN(基本資料填寫!CS52),0),"")</f>
        <v/>
      </c>
      <c r="N54" s="115" t="str">
        <f>IFERROR(VLOOKUP(基本資料填寫!$C$1&amp;"-"&amp;ROW(AV51),基本資料填寫!$C:$DU,COLUMN(基本資料填寫!CT52),0),"")</f>
        <v/>
      </c>
      <c r="O54" s="115" t="str">
        <f>IFERROR(VLOOKUP(基本資料填寫!$C$1&amp;"-"&amp;ROW(N51),基本資料填寫!$C:$DU,COLUMN(基本資料填寫!V52),0),"")</f>
        <v/>
      </c>
      <c r="P54" s="115" t="str">
        <f>IFERROR(VLOOKUP(基本資料填寫!$C$1&amp;"-"&amp;ROW(AT51),基本資料填寫!$C:$DU,COLUMN(基本資料填寫!CR52),0),"")</f>
        <v/>
      </c>
      <c r="Q54" s="115" t="str">
        <f>IFERROR(VLOOKUP(基本資料填寫!$C$1&amp;"-"&amp;ROW(AQ51),基本資料填寫!$C:$DU,COLUMN(基本資料填寫!CO52),0),"")</f>
        <v/>
      </c>
      <c r="R54" s="99" t="str">
        <f>IFERROR(VLOOKUP(基本資料填寫!$C$1&amp;"-"&amp;ROW(Y51),基本資料填寫!$C:$DU,COLUMN(基本資料填寫!AG52),0),"")</f>
        <v/>
      </c>
      <c r="S54" s="99" t="str">
        <f>IFERROR(VLOOKUP(基本資料填寫!$C$1&amp;"-"&amp;ROW(Z51),基本資料填寫!$C:$DU,COLUMN(基本資料填寫!AH52),0),"")</f>
        <v/>
      </c>
      <c r="AB54" s="115" t="str">
        <f>IFERROR(VLOOKUP(基本資料填寫!$C$1&amp;"-"&amp;ROW(BL51),基本資料填寫!$C:$DU,COLUMN(基本資料填寫!DK52),0),"")</f>
        <v/>
      </c>
      <c r="BG54" s="115" t="str">
        <f>IFERROR(VLOOKUP(基本資料填寫!$C$1&amp;"-"&amp;ROW(E51),基本資料填寫!$C:$DU,COLUMN(基本資料填寫!M52),0),"")</f>
        <v/>
      </c>
      <c r="BU54" s="115" t="str">
        <f>IFERROR(VLOOKUP(基本資料填寫!$C$1&amp;"-"&amp;ROW(O51),基本資料填寫!$C:$DU,COLUMN(基本資料填寫!W52),0),"")</f>
        <v/>
      </c>
      <c r="BV54" s="99" t="str">
        <f>IFERROR(VLOOKUP(基本資料填寫!$C$1&amp;"-"&amp;ROW(AA51),基本資料填寫!$C:$DU,COLUMN(基本資料填寫!AI52),0),"")</f>
        <v/>
      </c>
    </row>
    <row r="55" spans="1:74" ht="16.2" x14ac:dyDescent="0.3">
      <c r="A55" s="207"/>
      <c r="B55" s="114" t="str">
        <f>IF(I55="","",COUNTA($I$4:I55))</f>
        <v/>
      </c>
      <c r="C55" s="114" t="str">
        <f>IFERROR(VLOOKUP(基本資料填寫!$C$1&amp;"-"&amp;ROW(X52),基本資料填寫!$C:$DU,COLUMN(基本資料填寫!BV53),0),"")</f>
        <v/>
      </c>
      <c r="D55" s="99" t="str">
        <f>IFERROR(VLOOKUP(基本資料填寫!$C$1&amp;"-"&amp;ROW(D52),基本資料填寫!$C:$DU,COLUMN(基本資料填寫!L53),0),"")</f>
        <v/>
      </c>
      <c r="E55" s="115" t="str">
        <f>IFERROR(VLOOKUP(基本資料填寫!$C$1&amp;"-"&amp;ROW(AP52),基本資料填寫!$C:$DU,COLUMN(基本資料填寫!CN53),0),"")</f>
        <v/>
      </c>
      <c r="F55" s="114" t="str">
        <f>IFERROR(VLOOKUP(基本資料填寫!$C$1&amp;"-"&amp;ROW(I52),基本資料填寫!$C:$DU,COLUMN(基本資料填寫!Q53),0),"")</f>
        <v/>
      </c>
      <c r="G55" s="114" t="str">
        <f>IFERROR(VLOOKUP(基本資料填寫!$C$1&amp;"-"&amp;ROW(L52),基本資料填寫!$C:$DU,COLUMN(基本資料填寫!T53),0),"")</f>
        <v/>
      </c>
      <c r="H55" s="114" t="str">
        <f>IFERROR(VLOOKUP(基本資料填寫!$C$1&amp;"-"&amp;ROW(F52),基本資料填寫!$C:$DU,COLUMN(基本資料填寫!N53),0),"")</f>
        <v/>
      </c>
      <c r="I55" s="114" t="str">
        <f>IFERROR(VLOOKUP(基本資料填寫!$C$1&amp;"-"&amp;ROW(G52),基本資料填寫!$C:$DU,COLUMN(基本資料填寫!O53),0),"")</f>
        <v/>
      </c>
      <c r="J55" s="114" t="str">
        <f>IFERROR(VLOOKUP(基本資料填寫!$C$1&amp;"-"&amp;ROW(E52),基本資料填寫!$C:$DU,COLUMN(基本資料填寫!M53),0),"")</f>
        <v/>
      </c>
      <c r="K55" s="99" t="str">
        <f>IFERROR(VLOOKUP(基本資料填寫!$C$1&amp;"-"&amp;ROW(X52),基本資料填寫!$C:$DU,COLUMN(基本資料填寫!AF53),0),"")</f>
        <v/>
      </c>
      <c r="L55" s="115" t="str">
        <f>IFERROR(VLOOKUP(基本資料填寫!$C$1&amp;"-"&amp;ROW(AW52),基本資料填寫!$C:$DU,COLUMN(基本資料填寫!CU53),0),"")</f>
        <v/>
      </c>
      <c r="M55" s="115" t="str">
        <f>IFERROR(VLOOKUP(基本資料填寫!$C$1&amp;"-"&amp;ROW(AU52),基本資料填寫!$C:$DU,COLUMN(基本資料填寫!CS53),0),"")</f>
        <v/>
      </c>
      <c r="N55" s="115" t="str">
        <f>IFERROR(VLOOKUP(基本資料填寫!$C$1&amp;"-"&amp;ROW(AV52),基本資料填寫!$C:$DU,COLUMN(基本資料填寫!CT53),0),"")</f>
        <v/>
      </c>
      <c r="O55" s="115" t="str">
        <f>IFERROR(VLOOKUP(基本資料填寫!$C$1&amp;"-"&amp;ROW(N52),基本資料填寫!$C:$DU,COLUMN(基本資料填寫!V53),0),"")</f>
        <v/>
      </c>
      <c r="P55" s="115" t="str">
        <f>IFERROR(VLOOKUP(基本資料填寫!$C$1&amp;"-"&amp;ROW(AT52),基本資料填寫!$C:$DU,COLUMN(基本資料填寫!CR53),0),"")</f>
        <v/>
      </c>
      <c r="Q55" s="115" t="str">
        <f>IFERROR(VLOOKUP(基本資料填寫!$C$1&amp;"-"&amp;ROW(AQ52),基本資料填寫!$C:$DU,COLUMN(基本資料填寫!CO53),0),"")</f>
        <v/>
      </c>
      <c r="R55" s="99" t="str">
        <f>IFERROR(VLOOKUP(基本資料填寫!$C$1&amp;"-"&amp;ROW(Y52),基本資料填寫!$C:$DU,COLUMN(基本資料填寫!AG53),0),"")</f>
        <v/>
      </c>
      <c r="S55" s="99" t="str">
        <f>IFERROR(VLOOKUP(基本資料填寫!$C$1&amp;"-"&amp;ROW(Z52),基本資料填寫!$C:$DU,COLUMN(基本資料填寫!AH53),0),"")</f>
        <v/>
      </c>
      <c r="AB55" s="115" t="str">
        <f>IFERROR(VLOOKUP(基本資料填寫!$C$1&amp;"-"&amp;ROW(BL52),基本資料填寫!$C:$DU,COLUMN(基本資料填寫!DK53),0),"")</f>
        <v/>
      </c>
      <c r="BG55" s="115" t="str">
        <f>IFERROR(VLOOKUP(基本資料填寫!$C$1&amp;"-"&amp;ROW(E52),基本資料填寫!$C:$DU,COLUMN(基本資料填寫!M53),0),"")</f>
        <v/>
      </c>
      <c r="BU55" s="115" t="str">
        <f>IFERROR(VLOOKUP(基本資料填寫!$C$1&amp;"-"&amp;ROW(O52),基本資料填寫!$C:$DU,COLUMN(基本資料填寫!W53),0),"")</f>
        <v/>
      </c>
      <c r="BV55" s="99" t="str">
        <f>IFERROR(VLOOKUP(基本資料填寫!$C$1&amp;"-"&amp;ROW(AA52),基本資料填寫!$C:$DU,COLUMN(基本資料填寫!AI53),0),"")</f>
        <v/>
      </c>
    </row>
    <row r="56" spans="1:74" ht="16.2" x14ac:dyDescent="0.3">
      <c r="A56" s="207"/>
      <c r="B56" s="114" t="str">
        <f>IF(I56="","",COUNTA($I$4:I56))</f>
        <v/>
      </c>
      <c r="C56" s="114" t="str">
        <f>IFERROR(VLOOKUP(基本資料填寫!$C$1&amp;"-"&amp;ROW(X53),基本資料填寫!$C:$DU,COLUMN(基本資料填寫!BV54),0),"")</f>
        <v/>
      </c>
      <c r="D56" s="99" t="str">
        <f>IFERROR(VLOOKUP(基本資料填寫!$C$1&amp;"-"&amp;ROW(D53),基本資料填寫!$C:$DU,COLUMN(基本資料填寫!L54),0),"")</f>
        <v/>
      </c>
      <c r="E56" s="115" t="str">
        <f>IFERROR(VLOOKUP(基本資料填寫!$C$1&amp;"-"&amp;ROW(AP53),基本資料填寫!$C:$DU,COLUMN(基本資料填寫!CN54),0),"")</f>
        <v/>
      </c>
      <c r="F56" s="114" t="str">
        <f>IFERROR(VLOOKUP(基本資料填寫!$C$1&amp;"-"&amp;ROW(I53),基本資料填寫!$C:$DU,COLUMN(基本資料填寫!Q54),0),"")</f>
        <v/>
      </c>
      <c r="G56" s="114" t="str">
        <f>IFERROR(VLOOKUP(基本資料填寫!$C$1&amp;"-"&amp;ROW(L53),基本資料填寫!$C:$DU,COLUMN(基本資料填寫!T54),0),"")</f>
        <v/>
      </c>
      <c r="H56" s="114" t="str">
        <f>IFERROR(VLOOKUP(基本資料填寫!$C$1&amp;"-"&amp;ROW(F53),基本資料填寫!$C:$DU,COLUMN(基本資料填寫!N54),0),"")</f>
        <v/>
      </c>
      <c r="I56" s="114" t="str">
        <f>IFERROR(VLOOKUP(基本資料填寫!$C$1&amp;"-"&amp;ROW(G53),基本資料填寫!$C:$DU,COLUMN(基本資料填寫!O54),0),"")</f>
        <v/>
      </c>
      <c r="J56" s="114" t="str">
        <f>IFERROR(VLOOKUP(基本資料填寫!$C$1&amp;"-"&amp;ROW(E53),基本資料填寫!$C:$DU,COLUMN(基本資料填寫!M54),0),"")</f>
        <v/>
      </c>
      <c r="K56" s="99" t="str">
        <f>IFERROR(VLOOKUP(基本資料填寫!$C$1&amp;"-"&amp;ROW(X53),基本資料填寫!$C:$DU,COLUMN(基本資料填寫!AF54),0),"")</f>
        <v/>
      </c>
      <c r="L56" s="115" t="str">
        <f>IFERROR(VLOOKUP(基本資料填寫!$C$1&amp;"-"&amp;ROW(AW53),基本資料填寫!$C:$DU,COLUMN(基本資料填寫!CU54),0),"")</f>
        <v/>
      </c>
      <c r="M56" s="115" t="str">
        <f>IFERROR(VLOOKUP(基本資料填寫!$C$1&amp;"-"&amp;ROW(AU53),基本資料填寫!$C:$DU,COLUMN(基本資料填寫!CS54),0),"")</f>
        <v/>
      </c>
      <c r="N56" s="115" t="str">
        <f>IFERROR(VLOOKUP(基本資料填寫!$C$1&amp;"-"&amp;ROW(AV53),基本資料填寫!$C:$DU,COLUMN(基本資料填寫!CT54),0),"")</f>
        <v/>
      </c>
      <c r="O56" s="115" t="str">
        <f>IFERROR(VLOOKUP(基本資料填寫!$C$1&amp;"-"&amp;ROW(N53),基本資料填寫!$C:$DU,COLUMN(基本資料填寫!V54),0),"")</f>
        <v/>
      </c>
      <c r="P56" s="115" t="str">
        <f>IFERROR(VLOOKUP(基本資料填寫!$C$1&amp;"-"&amp;ROW(AT53),基本資料填寫!$C:$DU,COLUMN(基本資料填寫!CR54),0),"")</f>
        <v/>
      </c>
      <c r="Q56" s="115" t="str">
        <f>IFERROR(VLOOKUP(基本資料填寫!$C$1&amp;"-"&amp;ROW(AQ53),基本資料填寫!$C:$DU,COLUMN(基本資料填寫!CO54),0),"")</f>
        <v/>
      </c>
      <c r="R56" s="99" t="str">
        <f>IFERROR(VLOOKUP(基本資料填寫!$C$1&amp;"-"&amp;ROW(Y53),基本資料填寫!$C:$DU,COLUMN(基本資料填寫!AG54),0),"")</f>
        <v/>
      </c>
      <c r="S56" s="99" t="str">
        <f>IFERROR(VLOOKUP(基本資料填寫!$C$1&amp;"-"&amp;ROW(Z53),基本資料填寫!$C:$DU,COLUMN(基本資料填寫!AH54),0),"")</f>
        <v/>
      </c>
      <c r="AB56" s="115" t="str">
        <f>IFERROR(VLOOKUP(基本資料填寫!$C$1&amp;"-"&amp;ROW(BL53),基本資料填寫!$C:$DU,COLUMN(基本資料填寫!DK54),0),"")</f>
        <v/>
      </c>
      <c r="BG56" s="115" t="str">
        <f>IFERROR(VLOOKUP(基本資料填寫!$C$1&amp;"-"&amp;ROW(E53),基本資料填寫!$C:$DU,COLUMN(基本資料填寫!M54),0),"")</f>
        <v/>
      </c>
      <c r="BU56" s="115" t="str">
        <f>IFERROR(VLOOKUP(基本資料填寫!$C$1&amp;"-"&amp;ROW(O53),基本資料填寫!$C:$DU,COLUMN(基本資料填寫!W54),0),"")</f>
        <v/>
      </c>
      <c r="BV56" s="99" t="str">
        <f>IFERROR(VLOOKUP(基本資料填寫!$C$1&amp;"-"&amp;ROW(AA53),基本資料填寫!$C:$DU,COLUMN(基本資料填寫!AI54),0),"")</f>
        <v/>
      </c>
    </row>
    <row r="57" spans="1:74" ht="16.2" x14ac:dyDescent="0.3">
      <c r="A57" s="207"/>
      <c r="B57" s="114" t="str">
        <f>IF(I57="","",COUNTA($I$4:I57))</f>
        <v/>
      </c>
      <c r="C57" s="114" t="str">
        <f>IFERROR(VLOOKUP(基本資料填寫!$C$1&amp;"-"&amp;ROW(X54),基本資料填寫!$C:$DU,COLUMN(基本資料填寫!BV55),0),"")</f>
        <v/>
      </c>
      <c r="D57" s="99" t="str">
        <f>IFERROR(VLOOKUP(基本資料填寫!$C$1&amp;"-"&amp;ROW(D54),基本資料填寫!$C:$DU,COLUMN(基本資料填寫!L55),0),"")</f>
        <v/>
      </c>
      <c r="E57" s="115" t="str">
        <f>IFERROR(VLOOKUP(基本資料填寫!$C$1&amp;"-"&amp;ROW(AP54),基本資料填寫!$C:$DU,COLUMN(基本資料填寫!CN55),0),"")</f>
        <v/>
      </c>
      <c r="F57" s="114" t="str">
        <f>IFERROR(VLOOKUP(基本資料填寫!$C$1&amp;"-"&amp;ROW(I54),基本資料填寫!$C:$DU,COLUMN(基本資料填寫!Q55),0),"")</f>
        <v/>
      </c>
      <c r="G57" s="114" t="str">
        <f>IFERROR(VLOOKUP(基本資料填寫!$C$1&amp;"-"&amp;ROW(L54),基本資料填寫!$C:$DU,COLUMN(基本資料填寫!T55),0),"")</f>
        <v/>
      </c>
      <c r="H57" s="114" t="str">
        <f>IFERROR(VLOOKUP(基本資料填寫!$C$1&amp;"-"&amp;ROW(F54),基本資料填寫!$C:$DU,COLUMN(基本資料填寫!N55),0),"")</f>
        <v/>
      </c>
      <c r="I57" s="114" t="str">
        <f>IFERROR(VLOOKUP(基本資料填寫!$C$1&amp;"-"&amp;ROW(G54),基本資料填寫!$C:$DU,COLUMN(基本資料填寫!O55),0),"")</f>
        <v/>
      </c>
      <c r="J57" s="114" t="str">
        <f>IFERROR(VLOOKUP(基本資料填寫!$C$1&amp;"-"&amp;ROW(E54),基本資料填寫!$C:$DU,COLUMN(基本資料填寫!M55),0),"")</f>
        <v/>
      </c>
      <c r="K57" s="99" t="str">
        <f>IFERROR(VLOOKUP(基本資料填寫!$C$1&amp;"-"&amp;ROW(X54),基本資料填寫!$C:$DU,COLUMN(基本資料填寫!AF55),0),"")</f>
        <v/>
      </c>
      <c r="L57" s="115" t="str">
        <f>IFERROR(VLOOKUP(基本資料填寫!$C$1&amp;"-"&amp;ROW(AW54),基本資料填寫!$C:$DU,COLUMN(基本資料填寫!CU55),0),"")</f>
        <v/>
      </c>
      <c r="M57" s="115" t="str">
        <f>IFERROR(VLOOKUP(基本資料填寫!$C$1&amp;"-"&amp;ROW(AU54),基本資料填寫!$C:$DU,COLUMN(基本資料填寫!CS55),0),"")</f>
        <v/>
      </c>
      <c r="N57" s="115" t="str">
        <f>IFERROR(VLOOKUP(基本資料填寫!$C$1&amp;"-"&amp;ROW(AV54),基本資料填寫!$C:$DU,COLUMN(基本資料填寫!CT55),0),"")</f>
        <v/>
      </c>
      <c r="O57" s="115" t="str">
        <f>IFERROR(VLOOKUP(基本資料填寫!$C$1&amp;"-"&amp;ROW(N54),基本資料填寫!$C:$DU,COLUMN(基本資料填寫!V55),0),"")</f>
        <v/>
      </c>
      <c r="P57" s="115" t="str">
        <f>IFERROR(VLOOKUP(基本資料填寫!$C$1&amp;"-"&amp;ROW(AT54),基本資料填寫!$C:$DU,COLUMN(基本資料填寫!CR55),0),"")</f>
        <v/>
      </c>
      <c r="Q57" s="115" t="str">
        <f>IFERROR(VLOOKUP(基本資料填寫!$C$1&amp;"-"&amp;ROW(AQ54),基本資料填寫!$C:$DU,COLUMN(基本資料填寫!CO55),0),"")</f>
        <v/>
      </c>
      <c r="R57" s="99" t="str">
        <f>IFERROR(VLOOKUP(基本資料填寫!$C$1&amp;"-"&amp;ROW(Y54),基本資料填寫!$C:$DU,COLUMN(基本資料填寫!AG55),0),"")</f>
        <v/>
      </c>
      <c r="S57" s="99" t="str">
        <f>IFERROR(VLOOKUP(基本資料填寫!$C$1&amp;"-"&amp;ROW(Z54),基本資料填寫!$C:$DU,COLUMN(基本資料填寫!AH55),0),"")</f>
        <v/>
      </c>
      <c r="AB57" s="115" t="str">
        <f>IFERROR(VLOOKUP(基本資料填寫!$C$1&amp;"-"&amp;ROW(BL54),基本資料填寫!$C:$DU,COLUMN(基本資料填寫!DK55),0),"")</f>
        <v/>
      </c>
      <c r="BG57" s="115" t="str">
        <f>IFERROR(VLOOKUP(基本資料填寫!$C$1&amp;"-"&amp;ROW(E54),基本資料填寫!$C:$DU,COLUMN(基本資料填寫!M55),0),"")</f>
        <v/>
      </c>
      <c r="BU57" s="115" t="str">
        <f>IFERROR(VLOOKUP(基本資料填寫!$C$1&amp;"-"&amp;ROW(O54),基本資料填寫!$C:$DU,COLUMN(基本資料填寫!W55),0),"")</f>
        <v/>
      </c>
      <c r="BV57" s="99" t="str">
        <f>IFERROR(VLOOKUP(基本資料填寫!$C$1&amp;"-"&amp;ROW(AA54),基本資料填寫!$C:$DU,COLUMN(基本資料填寫!AI55),0),"")</f>
        <v/>
      </c>
    </row>
    <row r="58" spans="1:74" ht="16.2" x14ac:dyDescent="0.3">
      <c r="A58" s="207"/>
      <c r="B58" s="114" t="str">
        <f>IF(I58="","",COUNTA($I$4:I58))</f>
        <v/>
      </c>
      <c r="C58" s="114" t="str">
        <f>IFERROR(VLOOKUP(基本資料填寫!$C$1&amp;"-"&amp;ROW(X55),基本資料填寫!$C:$DU,COLUMN(基本資料填寫!BV56),0),"")</f>
        <v/>
      </c>
      <c r="D58" s="99" t="str">
        <f>IFERROR(VLOOKUP(基本資料填寫!$C$1&amp;"-"&amp;ROW(D55),基本資料填寫!$C:$DU,COLUMN(基本資料填寫!L56),0),"")</f>
        <v/>
      </c>
      <c r="E58" s="115" t="str">
        <f>IFERROR(VLOOKUP(基本資料填寫!$C$1&amp;"-"&amp;ROW(AP55),基本資料填寫!$C:$DU,COLUMN(基本資料填寫!CN56),0),"")</f>
        <v/>
      </c>
      <c r="F58" s="114" t="str">
        <f>IFERROR(VLOOKUP(基本資料填寫!$C$1&amp;"-"&amp;ROW(I55),基本資料填寫!$C:$DU,COLUMN(基本資料填寫!Q56),0),"")</f>
        <v/>
      </c>
      <c r="G58" s="114" t="str">
        <f>IFERROR(VLOOKUP(基本資料填寫!$C$1&amp;"-"&amp;ROW(L55),基本資料填寫!$C:$DU,COLUMN(基本資料填寫!T56),0),"")</f>
        <v/>
      </c>
      <c r="H58" s="114" t="str">
        <f>IFERROR(VLOOKUP(基本資料填寫!$C$1&amp;"-"&amp;ROW(F55),基本資料填寫!$C:$DU,COLUMN(基本資料填寫!N56),0),"")</f>
        <v/>
      </c>
      <c r="I58" s="114" t="str">
        <f>IFERROR(VLOOKUP(基本資料填寫!$C$1&amp;"-"&amp;ROW(G55),基本資料填寫!$C:$DU,COLUMN(基本資料填寫!O56),0),"")</f>
        <v/>
      </c>
      <c r="J58" s="114" t="str">
        <f>IFERROR(VLOOKUP(基本資料填寫!$C$1&amp;"-"&amp;ROW(E55),基本資料填寫!$C:$DU,COLUMN(基本資料填寫!M56),0),"")</f>
        <v/>
      </c>
      <c r="K58" s="99" t="str">
        <f>IFERROR(VLOOKUP(基本資料填寫!$C$1&amp;"-"&amp;ROW(X55),基本資料填寫!$C:$DU,COLUMN(基本資料填寫!AF56),0),"")</f>
        <v/>
      </c>
      <c r="L58" s="115" t="str">
        <f>IFERROR(VLOOKUP(基本資料填寫!$C$1&amp;"-"&amp;ROW(AW55),基本資料填寫!$C:$DU,COLUMN(基本資料填寫!CU56),0),"")</f>
        <v/>
      </c>
      <c r="M58" s="115" t="str">
        <f>IFERROR(VLOOKUP(基本資料填寫!$C$1&amp;"-"&amp;ROW(AU55),基本資料填寫!$C:$DU,COLUMN(基本資料填寫!CS56),0),"")</f>
        <v/>
      </c>
      <c r="N58" s="115" t="str">
        <f>IFERROR(VLOOKUP(基本資料填寫!$C$1&amp;"-"&amp;ROW(AV55),基本資料填寫!$C:$DU,COLUMN(基本資料填寫!CT56),0),"")</f>
        <v/>
      </c>
      <c r="O58" s="115" t="str">
        <f>IFERROR(VLOOKUP(基本資料填寫!$C$1&amp;"-"&amp;ROW(N55),基本資料填寫!$C:$DU,COLUMN(基本資料填寫!V56),0),"")</f>
        <v/>
      </c>
      <c r="P58" s="115" t="str">
        <f>IFERROR(VLOOKUP(基本資料填寫!$C$1&amp;"-"&amp;ROW(AT55),基本資料填寫!$C:$DU,COLUMN(基本資料填寫!CR56),0),"")</f>
        <v/>
      </c>
      <c r="Q58" s="115" t="str">
        <f>IFERROR(VLOOKUP(基本資料填寫!$C$1&amp;"-"&amp;ROW(AQ55),基本資料填寫!$C:$DU,COLUMN(基本資料填寫!CO56),0),"")</f>
        <v/>
      </c>
      <c r="R58" s="99" t="str">
        <f>IFERROR(VLOOKUP(基本資料填寫!$C$1&amp;"-"&amp;ROW(Y55),基本資料填寫!$C:$DU,COLUMN(基本資料填寫!AG56),0),"")</f>
        <v/>
      </c>
      <c r="S58" s="99" t="str">
        <f>IFERROR(VLOOKUP(基本資料填寫!$C$1&amp;"-"&amp;ROW(Z55),基本資料填寫!$C:$DU,COLUMN(基本資料填寫!AH56),0),"")</f>
        <v/>
      </c>
      <c r="AB58" s="115" t="str">
        <f>IFERROR(VLOOKUP(基本資料填寫!$C$1&amp;"-"&amp;ROW(BL55),基本資料填寫!$C:$DU,COLUMN(基本資料填寫!DK56),0),"")</f>
        <v/>
      </c>
      <c r="BG58" s="115" t="str">
        <f>IFERROR(VLOOKUP(基本資料填寫!$C$1&amp;"-"&amp;ROW(E55),基本資料填寫!$C:$DU,COLUMN(基本資料填寫!M56),0),"")</f>
        <v/>
      </c>
      <c r="BU58" s="115" t="str">
        <f>IFERROR(VLOOKUP(基本資料填寫!$C$1&amp;"-"&amp;ROW(O55),基本資料填寫!$C:$DU,COLUMN(基本資料填寫!W56),0),"")</f>
        <v/>
      </c>
      <c r="BV58" s="99" t="str">
        <f>IFERROR(VLOOKUP(基本資料填寫!$C$1&amp;"-"&amp;ROW(AA55),基本資料填寫!$C:$DU,COLUMN(基本資料填寫!AI56),0),"")</f>
        <v/>
      </c>
    </row>
    <row r="59" spans="1:74" ht="16.2" x14ac:dyDescent="0.3">
      <c r="A59" s="207"/>
      <c r="B59" s="114" t="str">
        <f>IF(I59="","",COUNTA($I$4:I59))</f>
        <v/>
      </c>
      <c r="C59" s="114" t="str">
        <f>IFERROR(VLOOKUP(基本資料填寫!$C$1&amp;"-"&amp;ROW(X56),基本資料填寫!$C:$DU,COLUMN(基本資料填寫!BV57),0),"")</f>
        <v/>
      </c>
      <c r="D59" s="99" t="str">
        <f>IFERROR(VLOOKUP(基本資料填寫!$C$1&amp;"-"&amp;ROW(D56),基本資料填寫!$C:$DU,COLUMN(基本資料填寫!L57),0),"")</f>
        <v/>
      </c>
      <c r="E59" s="115" t="str">
        <f>IFERROR(VLOOKUP(基本資料填寫!$C$1&amp;"-"&amp;ROW(AP56),基本資料填寫!$C:$DU,COLUMN(基本資料填寫!CN57),0),"")</f>
        <v/>
      </c>
      <c r="F59" s="114" t="str">
        <f>IFERROR(VLOOKUP(基本資料填寫!$C$1&amp;"-"&amp;ROW(I56),基本資料填寫!$C:$DU,COLUMN(基本資料填寫!Q57),0),"")</f>
        <v/>
      </c>
      <c r="G59" s="114" t="str">
        <f>IFERROR(VLOOKUP(基本資料填寫!$C$1&amp;"-"&amp;ROW(L56),基本資料填寫!$C:$DU,COLUMN(基本資料填寫!T57),0),"")</f>
        <v/>
      </c>
      <c r="H59" s="114" t="str">
        <f>IFERROR(VLOOKUP(基本資料填寫!$C$1&amp;"-"&amp;ROW(F56),基本資料填寫!$C:$DU,COLUMN(基本資料填寫!N57),0),"")</f>
        <v/>
      </c>
      <c r="I59" s="114" t="str">
        <f>IFERROR(VLOOKUP(基本資料填寫!$C$1&amp;"-"&amp;ROW(G56),基本資料填寫!$C:$DU,COLUMN(基本資料填寫!O57),0),"")</f>
        <v/>
      </c>
      <c r="J59" s="114" t="str">
        <f>IFERROR(VLOOKUP(基本資料填寫!$C$1&amp;"-"&amp;ROW(E56),基本資料填寫!$C:$DU,COLUMN(基本資料填寫!M57),0),"")</f>
        <v/>
      </c>
      <c r="K59" s="99" t="str">
        <f>IFERROR(VLOOKUP(基本資料填寫!$C$1&amp;"-"&amp;ROW(X56),基本資料填寫!$C:$DU,COLUMN(基本資料填寫!AF57),0),"")</f>
        <v/>
      </c>
      <c r="L59" s="115" t="str">
        <f>IFERROR(VLOOKUP(基本資料填寫!$C$1&amp;"-"&amp;ROW(AW56),基本資料填寫!$C:$DU,COLUMN(基本資料填寫!CU57),0),"")</f>
        <v/>
      </c>
      <c r="M59" s="115" t="str">
        <f>IFERROR(VLOOKUP(基本資料填寫!$C$1&amp;"-"&amp;ROW(AU56),基本資料填寫!$C:$DU,COLUMN(基本資料填寫!CS57),0),"")</f>
        <v/>
      </c>
      <c r="N59" s="115" t="str">
        <f>IFERROR(VLOOKUP(基本資料填寫!$C$1&amp;"-"&amp;ROW(AV56),基本資料填寫!$C:$DU,COLUMN(基本資料填寫!CT57),0),"")</f>
        <v/>
      </c>
      <c r="O59" s="115" t="str">
        <f>IFERROR(VLOOKUP(基本資料填寫!$C$1&amp;"-"&amp;ROW(N56),基本資料填寫!$C:$DU,COLUMN(基本資料填寫!V57),0),"")</f>
        <v/>
      </c>
      <c r="P59" s="115" t="str">
        <f>IFERROR(VLOOKUP(基本資料填寫!$C$1&amp;"-"&amp;ROW(AT56),基本資料填寫!$C:$DU,COLUMN(基本資料填寫!CR57),0),"")</f>
        <v/>
      </c>
      <c r="Q59" s="115" t="str">
        <f>IFERROR(VLOOKUP(基本資料填寫!$C$1&amp;"-"&amp;ROW(AQ56),基本資料填寫!$C:$DU,COLUMN(基本資料填寫!CO57),0),"")</f>
        <v/>
      </c>
      <c r="R59" s="99" t="str">
        <f>IFERROR(VLOOKUP(基本資料填寫!$C$1&amp;"-"&amp;ROW(Y56),基本資料填寫!$C:$DU,COLUMN(基本資料填寫!AG57),0),"")</f>
        <v/>
      </c>
      <c r="S59" s="99" t="str">
        <f>IFERROR(VLOOKUP(基本資料填寫!$C$1&amp;"-"&amp;ROW(Z56),基本資料填寫!$C:$DU,COLUMN(基本資料填寫!AH57),0),"")</f>
        <v/>
      </c>
      <c r="AB59" s="115" t="str">
        <f>IFERROR(VLOOKUP(基本資料填寫!$C$1&amp;"-"&amp;ROW(BL56),基本資料填寫!$C:$DU,COLUMN(基本資料填寫!DK57),0),"")</f>
        <v/>
      </c>
      <c r="BG59" s="115" t="str">
        <f>IFERROR(VLOOKUP(基本資料填寫!$C$1&amp;"-"&amp;ROW(E56),基本資料填寫!$C:$DU,COLUMN(基本資料填寫!M57),0),"")</f>
        <v/>
      </c>
      <c r="BU59" s="115" t="str">
        <f>IFERROR(VLOOKUP(基本資料填寫!$C$1&amp;"-"&amp;ROW(O56),基本資料填寫!$C:$DU,COLUMN(基本資料填寫!W57),0),"")</f>
        <v/>
      </c>
      <c r="BV59" s="99" t="str">
        <f>IFERROR(VLOOKUP(基本資料填寫!$C$1&amp;"-"&amp;ROW(AA56),基本資料填寫!$C:$DU,COLUMN(基本資料填寫!AI57),0),"")</f>
        <v/>
      </c>
    </row>
    <row r="60" spans="1:74" ht="16.2" x14ac:dyDescent="0.3">
      <c r="A60" s="207"/>
      <c r="B60" s="114" t="str">
        <f>IF(I60="","",COUNTA($I$4:I60))</f>
        <v/>
      </c>
      <c r="C60" s="114" t="str">
        <f>IFERROR(VLOOKUP(基本資料填寫!$C$1&amp;"-"&amp;ROW(X57),基本資料填寫!$C:$DU,COLUMN(基本資料填寫!BV58),0),"")</f>
        <v/>
      </c>
      <c r="D60" s="99" t="str">
        <f>IFERROR(VLOOKUP(基本資料填寫!$C$1&amp;"-"&amp;ROW(D57),基本資料填寫!$C:$DU,COLUMN(基本資料填寫!L58),0),"")</f>
        <v/>
      </c>
      <c r="E60" s="115" t="str">
        <f>IFERROR(VLOOKUP(基本資料填寫!$C$1&amp;"-"&amp;ROW(AP57),基本資料填寫!$C:$DU,COLUMN(基本資料填寫!CN58),0),"")</f>
        <v/>
      </c>
      <c r="F60" s="114" t="str">
        <f>IFERROR(VLOOKUP(基本資料填寫!$C$1&amp;"-"&amp;ROW(I57),基本資料填寫!$C:$DU,COLUMN(基本資料填寫!Q58),0),"")</f>
        <v/>
      </c>
      <c r="G60" s="114" t="str">
        <f>IFERROR(VLOOKUP(基本資料填寫!$C$1&amp;"-"&amp;ROW(L57),基本資料填寫!$C:$DU,COLUMN(基本資料填寫!T58),0),"")</f>
        <v/>
      </c>
      <c r="H60" s="114" t="str">
        <f>IFERROR(VLOOKUP(基本資料填寫!$C$1&amp;"-"&amp;ROW(F57),基本資料填寫!$C:$DU,COLUMN(基本資料填寫!N58),0),"")</f>
        <v/>
      </c>
      <c r="I60" s="114" t="str">
        <f>IFERROR(VLOOKUP(基本資料填寫!$C$1&amp;"-"&amp;ROW(G57),基本資料填寫!$C:$DU,COLUMN(基本資料填寫!O58),0),"")</f>
        <v/>
      </c>
      <c r="J60" s="114" t="str">
        <f>IFERROR(VLOOKUP(基本資料填寫!$C$1&amp;"-"&amp;ROW(E57),基本資料填寫!$C:$DU,COLUMN(基本資料填寫!M58),0),"")</f>
        <v/>
      </c>
      <c r="K60" s="99" t="str">
        <f>IFERROR(VLOOKUP(基本資料填寫!$C$1&amp;"-"&amp;ROW(X57),基本資料填寫!$C:$DU,COLUMN(基本資料填寫!AF58),0),"")</f>
        <v/>
      </c>
      <c r="L60" s="115" t="str">
        <f>IFERROR(VLOOKUP(基本資料填寫!$C$1&amp;"-"&amp;ROW(AW57),基本資料填寫!$C:$DU,COLUMN(基本資料填寫!CU58),0),"")</f>
        <v/>
      </c>
      <c r="M60" s="115" t="str">
        <f>IFERROR(VLOOKUP(基本資料填寫!$C$1&amp;"-"&amp;ROW(AU57),基本資料填寫!$C:$DU,COLUMN(基本資料填寫!CS58),0),"")</f>
        <v/>
      </c>
      <c r="N60" s="115" t="str">
        <f>IFERROR(VLOOKUP(基本資料填寫!$C$1&amp;"-"&amp;ROW(AV57),基本資料填寫!$C:$DU,COLUMN(基本資料填寫!CT58),0),"")</f>
        <v/>
      </c>
      <c r="O60" s="115" t="str">
        <f>IFERROR(VLOOKUP(基本資料填寫!$C$1&amp;"-"&amp;ROW(N57),基本資料填寫!$C:$DU,COLUMN(基本資料填寫!V58),0),"")</f>
        <v/>
      </c>
      <c r="P60" s="115" t="str">
        <f>IFERROR(VLOOKUP(基本資料填寫!$C$1&amp;"-"&amp;ROW(AT57),基本資料填寫!$C:$DU,COLUMN(基本資料填寫!CR58),0),"")</f>
        <v/>
      </c>
      <c r="Q60" s="115" t="str">
        <f>IFERROR(VLOOKUP(基本資料填寫!$C$1&amp;"-"&amp;ROW(AQ57),基本資料填寫!$C:$DU,COLUMN(基本資料填寫!CO58),0),"")</f>
        <v/>
      </c>
      <c r="R60" s="99" t="str">
        <f>IFERROR(VLOOKUP(基本資料填寫!$C$1&amp;"-"&amp;ROW(Y57),基本資料填寫!$C:$DU,COLUMN(基本資料填寫!AG58),0),"")</f>
        <v/>
      </c>
      <c r="S60" s="99" t="str">
        <f>IFERROR(VLOOKUP(基本資料填寫!$C$1&amp;"-"&amp;ROW(Z57),基本資料填寫!$C:$DU,COLUMN(基本資料填寫!AH58),0),"")</f>
        <v/>
      </c>
      <c r="AB60" s="115" t="str">
        <f>IFERROR(VLOOKUP(基本資料填寫!$C$1&amp;"-"&amp;ROW(BL57),基本資料填寫!$C:$DU,COLUMN(基本資料填寫!DK58),0),"")</f>
        <v/>
      </c>
      <c r="BG60" s="115" t="str">
        <f>IFERROR(VLOOKUP(基本資料填寫!$C$1&amp;"-"&amp;ROW(E57),基本資料填寫!$C:$DU,COLUMN(基本資料填寫!M58),0),"")</f>
        <v/>
      </c>
      <c r="BU60" s="115" t="str">
        <f>IFERROR(VLOOKUP(基本資料填寫!$C$1&amp;"-"&amp;ROW(O57),基本資料填寫!$C:$DU,COLUMN(基本資料填寫!W58),0),"")</f>
        <v/>
      </c>
      <c r="BV60" s="99" t="str">
        <f>IFERROR(VLOOKUP(基本資料填寫!$C$1&amp;"-"&amp;ROW(AA57),基本資料填寫!$C:$DU,COLUMN(基本資料填寫!AI58),0),"")</f>
        <v/>
      </c>
    </row>
    <row r="61" spans="1:74" ht="16.2" x14ac:dyDescent="0.3">
      <c r="A61" s="207"/>
      <c r="B61" s="114" t="str">
        <f>IF(I61="","",COUNTA($I$4:I61))</f>
        <v/>
      </c>
      <c r="C61" s="114" t="str">
        <f>IFERROR(VLOOKUP(基本資料填寫!$C$1&amp;"-"&amp;ROW(X58),基本資料填寫!$C:$DU,COLUMN(基本資料填寫!BV59),0),"")</f>
        <v/>
      </c>
      <c r="D61" s="99" t="str">
        <f>IFERROR(VLOOKUP(基本資料填寫!$C$1&amp;"-"&amp;ROW(D58),基本資料填寫!$C:$DU,COLUMN(基本資料填寫!L59),0),"")</f>
        <v/>
      </c>
      <c r="E61" s="115" t="str">
        <f>IFERROR(VLOOKUP(基本資料填寫!$C$1&amp;"-"&amp;ROW(AP58),基本資料填寫!$C:$DU,COLUMN(基本資料填寫!CN59),0),"")</f>
        <v/>
      </c>
      <c r="F61" s="114" t="str">
        <f>IFERROR(VLOOKUP(基本資料填寫!$C$1&amp;"-"&amp;ROW(I58),基本資料填寫!$C:$DU,COLUMN(基本資料填寫!Q59),0),"")</f>
        <v/>
      </c>
      <c r="G61" s="114" t="str">
        <f>IFERROR(VLOOKUP(基本資料填寫!$C$1&amp;"-"&amp;ROW(L58),基本資料填寫!$C:$DU,COLUMN(基本資料填寫!T59),0),"")</f>
        <v/>
      </c>
      <c r="H61" s="114" t="str">
        <f>IFERROR(VLOOKUP(基本資料填寫!$C$1&amp;"-"&amp;ROW(F58),基本資料填寫!$C:$DU,COLUMN(基本資料填寫!N59),0),"")</f>
        <v/>
      </c>
      <c r="I61" s="114" t="str">
        <f>IFERROR(VLOOKUP(基本資料填寫!$C$1&amp;"-"&amp;ROW(G58),基本資料填寫!$C:$DU,COLUMN(基本資料填寫!O59),0),"")</f>
        <v/>
      </c>
      <c r="J61" s="114" t="str">
        <f>IFERROR(VLOOKUP(基本資料填寫!$C$1&amp;"-"&amp;ROW(E58),基本資料填寫!$C:$DU,COLUMN(基本資料填寫!M59),0),"")</f>
        <v/>
      </c>
      <c r="K61" s="99" t="str">
        <f>IFERROR(VLOOKUP(基本資料填寫!$C$1&amp;"-"&amp;ROW(X58),基本資料填寫!$C:$DU,COLUMN(基本資料填寫!AF59),0),"")</f>
        <v/>
      </c>
      <c r="L61" s="115" t="str">
        <f>IFERROR(VLOOKUP(基本資料填寫!$C$1&amp;"-"&amp;ROW(AW58),基本資料填寫!$C:$DU,COLUMN(基本資料填寫!CU59),0),"")</f>
        <v/>
      </c>
      <c r="M61" s="115" t="str">
        <f>IFERROR(VLOOKUP(基本資料填寫!$C$1&amp;"-"&amp;ROW(AU58),基本資料填寫!$C:$DU,COLUMN(基本資料填寫!CS59),0),"")</f>
        <v/>
      </c>
      <c r="N61" s="115" t="str">
        <f>IFERROR(VLOOKUP(基本資料填寫!$C$1&amp;"-"&amp;ROW(AV58),基本資料填寫!$C:$DU,COLUMN(基本資料填寫!CT59),0),"")</f>
        <v/>
      </c>
      <c r="O61" s="115" t="str">
        <f>IFERROR(VLOOKUP(基本資料填寫!$C$1&amp;"-"&amp;ROW(N58),基本資料填寫!$C:$DU,COLUMN(基本資料填寫!V59),0),"")</f>
        <v/>
      </c>
      <c r="P61" s="115" t="str">
        <f>IFERROR(VLOOKUP(基本資料填寫!$C$1&amp;"-"&amp;ROW(AT58),基本資料填寫!$C:$DU,COLUMN(基本資料填寫!CR59),0),"")</f>
        <v/>
      </c>
      <c r="Q61" s="115" t="str">
        <f>IFERROR(VLOOKUP(基本資料填寫!$C$1&amp;"-"&amp;ROW(AQ58),基本資料填寫!$C:$DU,COLUMN(基本資料填寫!CO59),0),"")</f>
        <v/>
      </c>
      <c r="R61" s="99" t="str">
        <f>IFERROR(VLOOKUP(基本資料填寫!$C$1&amp;"-"&amp;ROW(Y58),基本資料填寫!$C:$DU,COLUMN(基本資料填寫!AG59),0),"")</f>
        <v/>
      </c>
      <c r="S61" s="99" t="str">
        <f>IFERROR(VLOOKUP(基本資料填寫!$C$1&amp;"-"&amp;ROW(Z58),基本資料填寫!$C:$DU,COLUMN(基本資料填寫!AH59),0),"")</f>
        <v/>
      </c>
      <c r="AB61" s="115" t="str">
        <f>IFERROR(VLOOKUP(基本資料填寫!$C$1&amp;"-"&amp;ROW(BL58),基本資料填寫!$C:$DU,COLUMN(基本資料填寫!DK59),0),"")</f>
        <v/>
      </c>
      <c r="BG61" s="115" t="str">
        <f>IFERROR(VLOOKUP(基本資料填寫!$C$1&amp;"-"&amp;ROW(E58),基本資料填寫!$C:$DU,COLUMN(基本資料填寫!M59),0),"")</f>
        <v/>
      </c>
      <c r="BU61" s="115" t="str">
        <f>IFERROR(VLOOKUP(基本資料填寫!$C$1&amp;"-"&amp;ROW(O58),基本資料填寫!$C:$DU,COLUMN(基本資料填寫!W59),0),"")</f>
        <v/>
      </c>
      <c r="BV61" s="99" t="str">
        <f>IFERROR(VLOOKUP(基本資料填寫!$C$1&amp;"-"&amp;ROW(AA58),基本資料填寫!$C:$DU,COLUMN(基本資料填寫!AI59),0),"")</f>
        <v/>
      </c>
    </row>
    <row r="62" spans="1:74" ht="16.2" x14ac:dyDescent="0.3">
      <c r="A62" s="207"/>
      <c r="B62" s="114" t="str">
        <f>IF(I62="","",COUNTA($I$4:I62))</f>
        <v/>
      </c>
      <c r="C62" s="114" t="str">
        <f>IFERROR(VLOOKUP(基本資料填寫!$C$1&amp;"-"&amp;ROW(X59),基本資料填寫!$C:$DU,COLUMN(基本資料填寫!BV60),0),"")</f>
        <v/>
      </c>
      <c r="D62" s="99" t="str">
        <f>IFERROR(VLOOKUP(基本資料填寫!$C$1&amp;"-"&amp;ROW(D59),基本資料填寫!$C:$DU,COLUMN(基本資料填寫!L60),0),"")</f>
        <v/>
      </c>
      <c r="E62" s="115" t="str">
        <f>IFERROR(VLOOKUP(基本資料填寫!$C$1&amp;"-"&amp;ROW(AP59),基本資料填寫!$C:$DU,COLUMN(基本資料填寫!CN60),0),"")</f>
        <v/>
      </c>
      <c r="F62" s="114" t="str">
        <f>IFERROR(VLOOKUP(基本資料填寫!$C$1&amp;"-"&amp;ROW(I59),基本資料填寫!$C:$DU,COLUMN(基本資料填寫!Q60),0),"")</f>
        <v/>
      </c>
      <c r="G62" s="114" t="str">
        <f>IFERROR(VLOOKUP(基本資料填寫!$C$1&amp;"-"&amp;ROW(L59),基本資料填寫!$C:$DU,COLUMN(基本資料填寫!T60),0),"")</f>
        <v/>
      </c>
      <c r="H62" s="114" t="str">
        <f>IFERROR(VLOOKUP(基本資料填寫!$C$1&amp;"-"&amp;ROW(F59),基本資料填寫!$C:$DU,COLUMN(基本資料填寫!N60),0),"")</f>
        <v/>
      </c>
      <c r="I62" s="114" t="str">
        <f>IFERROR(VLOOKUP(基本資料填寫!$C$1&amp;"-"&amp;ROW(G59),基本資料填寫!$C:$DU,COLUMN(基本資料填寫!O60),0),"")</f>
        <v/>
      </c>
      <c r="J62" s="114" t="str">
        <f>IFERROR(VLOOKUP(基本資料填寫!$C$1&amp;"-"&amp;ROW(E59),基本資料填寫!$C:$DU,COLUMN(基本資料填寫!M60),0),"")</f>
        <v/>
      </c>
      <c r="K62" s="99" t="str">
        <f>IFERROR(VLOOKUP(基本資料填寫!$C$1&amp;"-"&amp;ROW(X59),基本資料填寫!$C:$DU,COLUMN(基本資料填寫!AF60),0),"")</f>
        <v/>
      </c>
      <c r="L62" s="115" t="str">
        <f>IFERROR(VLOOKUP(基本資料填寫!$C$1&amp;"-"&amp;ROW(AW59),基本資料填寫!$C:$DU,COLUMN(基本資料填寫!CU60),0),"")</f>
        <v/>
      </c>
      <c r="M62" s="115" t="str">
        <f>IFERROR(VLOOKUP(基本資料填寫!$C$1&amp;"-"&amp;ROW(AU59),基本資料填寫!$C:$DU,COLUMN(基本資料填寫!CS60),0),"")</f>
        <v/>
      </c>
      <c r="N62" s="115" t="str">
        <f>IFERROR(VLOOKUP(基本資料填寫!$C$1&amp;"-"&amp;ROW(AV59),基本資料填寫!$C:$DU,COLUMN(基本資料填寫!CT60),0),"")</f>
        <v/>
      </c>
      <c r="O62" s="115" t="str">
        <f>IFERROR(VLOOKUP(基本資料填寫!$C$1&amp;"-"&amp;ROW(N59),基本資料填寫!$C:$DU,COLUMN(基本資料填寫!V60),0),"")</f>
        <v/>
      </c>
      <c r="P62" s="115" t="str">
        <f>IFERROR(VLOOKUP(基本資料填寫!$C$1&amp;"-"&amp;ROW(AT59),基本資料填寫!$C:$DU,COLUMN(基本資料填寫!CR60),0),"")</f>
        <v/>
      </c>
      <c r="Q62" s="115" t="str">
        <f>IFERROR(VLOOKUP(基本資料填寫!$C$1&amp;"-"&amp;ROW(AQ59),基本資料填寫!$C:$DU,COLUMN(基本資料填寫!CO60),0),"")</f>
        <v/>
      </c>
      <c r="R62" s="99" t="str">
        <f>IFERROR(VLOOKUP(基本資料填寫!$C$1&amp;"-"&amp;ROW(Y59),基本資料填寫!$C:$DU,COLUMN(基本資料填寫!AG60),0),"")</f>
        <v/>
      </c>
      <c r="S62" s="99" t="str">
        <f>IFERROR(VLOOKUP(基本資料填寫!$C$1&amp;"-"&amp;ROW(Z59),基本資料填寫!$C:$DU,COLUMN(基本資料填寫!AH60),0),"")</f>
        <v/>
      </c>
      <c r="AB62" s="115" t="str">
        <f>IFERROR(VLOOKUP(基本資料填寫!$C$1&amp;"-"&amp;ROW(BL59),基本資料填寫!$C:$DU,COLUMN(基本資料填寫!DK60),0),"")</f>
        <v/>
      </c>
      <c r="BG62" s="115" t="str">
        <f>IFERROR(VLOOKUP(基本資料填寫!$C$1&amp;"-"&amp;ROW(E59),基本資料填寫!$C:$DU,COLUMN(基本資料填寫!M60),0),"")</f>
        <v/>
      </c>
      <c r="BU62" s="115" t="str">
        <f>IFERROR(VLOOKUP(基本資料填寫!$C$1&amp;"-"&amp;ROW(O59),基本資料填寫!$C:$DU,COLUMN(基本資料填寫!W60),0),"")</f>
        <v/>
      </c>
      <c r="BV62" s="99" t="str">
        <f>IFERROR(VLOOKUP(基本資料填寫!$C$1&amp;"-"&amp;ROW(AA59),基本資料填寫!$C:$DU,COLUMN(基本資料填寫!AI60),0),"")</f>
        <v/>
      </c>
    </row>
    <row r="63" spans="1:74" ht="16.2" x14ac:dyDescent="0.3">
      <c r="A63" s="207"/>
      <c r="B63" s="114" t="str">
        <f>IF(I63="","",COUNTA($I$4:I63))</f>
        <v/>
      </c>
      <c r="C63" s="114" t="str">
        <f>IFERROR(VLOOKUP(基本資料填寫!$C$1&amp;"-"&amp;ROW(X60),基本資料填寫!$C:$DU,COLUMN(基本資料填寫!BV61),0),"")</f>
        <v/>
      </c>
      <c r="D63" s="99" t="str">
        <f>IFERROR(VLOOKUP(基本資料填寫!$C$1&amp;"-"&amp;ROW(D60),基本資料填寫!$C:$DU,COLUMN(基本資料填寫!L61),0),"")</f>
        <v/>
      </c>
      <c r="E63" s="115" t="str">
        <f>IFERROR(VLOOKUP(基本資料填寫!$C$1&amp;"-"&amp;ROW(AP60),基本資料填寫!$C:$DU,COLUMN(基本資料填寫!CN61),0),"")</f>
        <v/>
      </c>
      <c r="F63" s="114" t="str">
        <f>IFERROR(VLOOKUP(基本資料填寫!$C$1&amp;"-"&amp;ROW(I60),基本資料填寫!$C:$DU,COLUMN(基本資料填寫!Q61),0),"")</f>
        <v/>
      </c>
      <c r="G63" s="114" t="str">
        <f>IFERROR(VLOOKUP(基本資料填寫!$C$1&amp;"-"&amp;ROW(L60),基本資料填寫!$C:$DU,COLUMN(基本資料填寫!T61),0),"")</f>
        <v/>
      </c>
      <c r="H63" s="114" t="str">
        <f>IFERROR(VLOOKUP(基本資料填寫!$C$1&amp;"-"&amp;ROW(F60),基本資料填寫!$C:$DU,COLUMN(基本資料填寫!N61),0),"")</f>
        <v/>
      </c>
      <c r="I63" s="114" t="str">
        <f>IFERROR(VLOOKUP(基本資料填寫!$C$1&amp;"-"&amp;ROW(G60),基本資料填寫!$C:$DU,COLUMN(基本資料填寫!O61),0),"")</f>
        <v/>
      </c>
      <c r="J63" s="114" t="str">
        <f>IFERROR(VLOOKUP(基本資料填寫!$C$1&amp;"-"&amp;ROW(E60),基本資料填寫!$C:$DU,COLUMN(基本資料填寫!M61),0),"")</f>
        <v/>
      </c>
      <c r="K63" s="99" t="str">
        <f>IFERROR(VLOOKUP(基本資料填寫!$C$1&amp;"-"&amp;ROW(X60),基本資料填寫!$C:$DU,COLUMN(基本資料填寫!AF61),0),"")</f>
        <v/>
      </c>
      <c r="L63" s="115" t="str">
        <f>IFERROR(VLOOKUP(基本資料填寫!$C$1&amp;"-"&amp;ROW(AW60),基本資料填寫!$C:$DU,COLUMN(基本資料填寫!CU61),0),"")</f>
        <v/>
      </c>
      <c r="M63" s="115" t="str">
        <f>IFERROR(VLOOKUP(基本資料填寫!$C$1&amp;"-"&amp;ROW(AU60),基本資料填寫!$C:$DU,COLUMN(基本資料填寫!CS61),0),"")</f>
        <v/>
      </c>
      <c r="N63" s="115" t="str">
        <f>IFERROR(VLOOKUP(基本資料填寫!$C$1&amp;"-"&amp;ROW(AV60),基本資料填寫!$C:$DU,COLUMN(基本資料填寫!CT61),0),"")</f>
        <v/>
      </c>
      <c r="O63" s="115" t="str">
        <f>IFERROR(VLOOKUP(基本資料填寫!$C$1&amp;"-"&amp;ROW(N60),基本資料填寫!$C:$DU,COLUMN(基本資料填寫!V61),0),"")</f>
        <v/>
      </c>
      <c r="P63" s="115" t="str">
        <f>IFERROR(VLOOKUP(基本資料填寫!$C$1&amp;"-"&amp;ROW(AT60),基本資料填寫!$C:$DU,COLUMN(基本資料填寫!CR61),0),"")</f>
        <v/>
      </c>
      <c r="Q63" s="115" t="str">
        <f>IFERROR(VLOOKUP(基本資料填寫!$C$1&amp;"-"&amp;ROW(AQ60),基本資料填寫!$C:$DU,COLUMN(基本資料填寫!CO61),0),"")</f>
        <v/>
      </c>
      <c r="R63" s="99" t="str">
        <f>IFERROR(VLOOKUP(基本資料填寫!$C$1&amp;"-"&amp;ROW(Y60),基本資料填寫!$C:$DU,COLUMN(基本資料填寫!AG61),0),"")</f>
        <v/>
      </c>
      <c r="S63" s="99" t="str">
        <f>IFERROR(VLOOKUP(基本資料填寫!$C$1&amp;"-"&amp;ROW(Z60),基本資料填寫!$C:$DU,COLUMN(基本資料填寫!AH61),0),"")</f>
        <v/>
      </c>
      <c r="AB63" s="115" t="str">
        <f>IFERROR(VLOOKUP(基本資料填寫!$C$1&amp;"-"&amp;ROW(BL60),基本資料填寫!$C:$DU,COLUMN(基本資料填寫!DK61),0),"")</f>
        <v/>
      </c>
      <c r="BG63" s="115" t="str">
        <f>IFERROR(VLOOKUP(基本資料填寫!$C$1&amp;"-"&amp;ROW(E60),基本資料填寫!$C:$DU,COLUMN(基本資料填寫!M61),0),"")</f>
        <v/>
      </c>
      <c r="BU63" s="115" t="str">
        <f>IFERROR(VLOOKUP(基本資料填寫!$C$1&amp;"-"&amp;ROW(O60),基本資料填寫!$C:$DU,COLUMN(基本資料填寫!W61),0),"")</f>
        <v/>
      </c>
      <c r="BV63" s="99" t="str">
        <f>IFERROR(VLOOKUP(基本資料填寫!$C$1&amp;"-"&amp;ROW(AA60),基本資料填寫!$C:$DU,COLUMN(基本資料填寫!AI61),0),"")</f>
        <v/>
      </c>
    </row>
    <row r="64" spans="1:74" ht="16.2" x14ac:dyDescent="0.3">
      <c r="A64" s="207"/>
      <c r="B64" s="114" t="str">
        <f>IF(I64="","",COUNTA($I$4:I64))</f>
        <v/>
      </c>
      <c r="C64" s="114" t="str">
        <f>IFERROR(VLOOKUP(基本資料填寫!$C$1&amp;"-"&amp;ROW(X61),基本資料填寫!$C:$DU,COLUMN(基本資料填寫!BV62),0),"")</f>
        <v/>
      </c>
      <c r="D64" s="99" t="str">
        <f>IFERROR(VLOOKUP(基本資料填寫!$C$1&amp;"-"&amp;ROW(D61),基本資料填寫!$C:$DU,COLUMN(基本資料填寫!L62),0),"")</f>
        <v/>
      </c>
      <c r="E64" s="115" t="str">
        <f>IFERROR(VLOOKUP(基本資料填寫!$C$1&amp;"-"&amp;ROW(AP61),基本資料填寫!$C:$DU,COLUMN(基本資料填寫!CN62),0),"")</f>
        <v/>
      </c>
      <c r="F64" s="114" t="str">
        <f>IFERROR(VLOOKUP(基本資料填寫!$C$1&amp;"-"&amp;ROW(I61),基本資料填寫!$C:$DU,COLUMN(基本資料填寫!Q62),0),"")</f>
        <v/>
      </c>
      <c r="G64" s="114" t="str">
        <f>IFERROR(VLOOKUP(基本資料填寫!$C$1&amp;"-"&amp;ROW(L61),基本資料填寫!$C:$DU,COLUMN(基本資料填寫!T62),0),"")</f>
        <v/>
      </c>
      <c r="H64" s="114" t="str">
        <f>IFERROR(VLOOKUP(基本資料填寫!$C$1&amp;"-"&amp;ROW(F61),基本資料填寫!$C:$DU,COLUMN(基本資料填寫!N62),0),"")</f>
        <v/>
      </c>
      <c r="I64" s="114" t="str">
        <f>IFERROR(VLOOKUP(基本資料填寫!$C$1&amp;"-"&amp;ROW(G61),基本資料填寫!$C:$DU,COLUMN(基本資料填寫!O62),0),"")</f>
        <v/>
      </c>
      <c r="J64" s="114" t="str">
        <f>IFERROR(VLOOKUP(基本資料填寫!$C$1&amp;"-"&amp;ROW(E61),基本資料填寫!$C:$DU,COLUMN(基本資料填寫!M62),0),"")</f>
        <v/>
      </c>
      <c r="K64" s="99" t="str">
        <f>IFERROR(VLOOKUP(基本資料填寫!$C$1&amp;"-"&amp;ROW(X61),基本資料填寫!$C:$DU,COLUMN(基本資料填寫!AF62),0),"")</f>
        <v/>
      </c>
      <c r="L64" s="115" t="str">
        <f>IFERROR(VLOOKUP(基本資料填寫!$C$1&amp;"-"&amp;ROW(AW61),基本資料填寫!$C:$DU,COLUMN(基本資料填寫!CU62),0),"")</f>
        <v/>
      </c>
      <c r="M64" s="115" t="str">
        <f>IFERROR(VLOOKUP(基本資料填寫!$C$1&amp;"-"&amp;ROW(AU61),基本資料填寫!$C:$DU,COLUMN(基本資料填寫!CS62),0),"")</f>
        <v/>
      </c>
      <c r="N64" s="115" t="str">
        <f>IFERROR(VLOOKUP(基本資料填寫!$C$1&amp;"-"&amp;ROW(AV61),基本資料填寫!$C:$DU,COLUMN(基本資料填寫!CT62),0),"")</f>
        <v/>
      </c>
      <c r="O64" s="115" t="str">
        <f>IFERROR(VLOOKUP(基本資料填寫!$C$1&amp;"-"&amp;ROW(N61),基本資料填寫!$C:$DU,COLUMN(基本資料填寫!V62),0),"")</f>
        <v/>
      </c>
      <c r="P64" s="115" t="str">
        <f>IFERROR(VLOOKUP(基本資料填寫!$C$1&amp;"-"&amp;ROW(AT61),基本資料填寫!$C:$DU,COLUMN(基本資料填寫!CR62),0),"")</f>
        <v/>
      </c>
      <c r="Q64" s="115" t="str">
        <f>IFERROR(VLOOKUP(基本資料填寫!$C$1&amp;"-"&amp;ROW(AQ61),基本資料填寫!$C:$DU,COLUMN(基本資料填寫!CO62),0),"")</f>
        <v/>
      </c>
      <c r="R64" s="99" t="str">
        <f>IFERROR(VLOOKUP(基本資料填寫!$C$1&amp;"-"&amp;ROW(Y61),基本資料填寫!$C:$DU,COLUMN(基本資料填寫!AG62),0),"")</f>
        <v/>
      </c>
      <c r="S64" s="99" t="str">
        <f>IFERROR(VLOOKUP(基本資料填寫!$C$1&amp;"-"&amp;ROW(Z61),基本資料填寫!$C:$DU,COLUMN(基本資料填寫!AH62),0),"")</f>
        <v/>
      </c>
      <c r="AB64" s="115" t="str">
        <f>IFERROR(VLOOKUP(基本資料填寫!$C$1&amp;"-"&amp;ROW(BL61),基本資料填寫!$C:$DU,COLUMN(基本資料填寫!DK62),0),"")</f>
        <v/>
      </c>
      <c r="BG64" s="115" t="str">
        <f>IFERROR(VLOOKUP(基本資料填寫!$C$1&amp;"-"&amp;ROW(E61),基本資料填寫!$C:$DU,COLUMN(基本資料填寫!M62),0),"")</f>
        <v/>
      </c>
      <c r="BU64" s="115" t="str">
        <f>IFERROR(VLOOKUP(基本資料填寫!$C$1&amp;"-"&amp;ROW(O61),基本資料填寫!$C:$DU,COLUMN(基本資料填寫!W62),0),"")</f>
        <v/>
      </c>
      <c r="BV64" s="99" t="str">
        <f>IFERROR(VLOOKUP(基本資料填寫!$C$1&amp;"-"&amp;ROW(AA61),基本資料填寫!$C:$DU,COLUMN(基本資料填寫!AI62),0),"")</f>
        <v/>
      </c>
    </row>
    <row r="65" spans="1:74" ht="16.2" x14ac:dyDescent="0.3">
      <c r="A65" s="207"/>
      <c r="B65" s="114" t="str">
        <f>IF(I65="","",COUNTA($I$4:I65))</f>
        <v/>
      </c>
      <c r="C65" s="114" t="str">
        <f>IFERROR(VLOOKUP(基本資料填寫!$C$1&amp;"-"&amp;ROW(X62),基本資料填寫!$C:$DU,COLUMN(基本資料填寫!BV63),0),"")</f>
        <v/>
      </c>
      <c r="D65" s="99" t="str">
        <f>IFERROR(VLOOKUP(基本資料填寫!$C$1&amp;"-"&amp;ROW(D62),基本資料填寫!$C:$DU,COLUMN(基本資料填寫!L63),0),"")</f>
        <v/>
      </c>
      <c r="E65" s="115" t="str">
        <f>IFERROR(VLOOKUP(基本資料填寫!$C$1&amp;"-"&amp;ROW(AP62),基本資料填寫!$C:$DU,COLUMN(基本資料填寫!CN63),0),"")</f>
        <v/>
      </c>
      <c r="F65" s="114" t="str">
        <f>IFERROR(VLOOKUP(基本資料填寫!$C$1&amp;"-"&amp;ROW(I62),基本資料填寫!$C:$DU,COLUMN(基本資料填寫!Q63),0),"")</f>
        <v/>
      </c>
      <c r="G65" s="114" t="str">
        <f>IFERROR(VLOOKUP(基本資料填寫!$C$1&amp;"-"&amp;ROW(L62),基本資料填寫!$C:$DU,COLUMN(基本資料填寫!T63),0),"")</f>
        <v/>
      </c>
      <c r="H65" s="114" t="str">
        <f>IFERROR(VLOOKUP(基本資料填寫!$C$1&amp;"-"&amp;ROW(F62),基本資料填寫!$C:$DU,COLUMN(基本資料填寫!N63),0),"")</f>
        <v/>
      </c>
      <c r="I65" s="114" t="str">
        <f>IFERROR(VLOOKUP(基本資料填寫!$C$1&amp;"-"&amp;ROW(G62),基本資料填寫!$C:$DU,COLUMN(基本資料填寫!O63),0),"")</f>
        <v/>
      </c>
      <c r="J65" s="114" t="str">
        <f>IFERROR(VLOOKUP(基本資料填寫!$C$1&amp;"-"&amp;ROW(E62),基本資料填寫!$C:$DU,COLUMN(基本資料填寫!M63),0),"")</f>
        <v/>
      </c>
      <c r="K65" s="99" t="str">
        <f>IFERROR(VLOOKUP(基本資料填寫!$C$1&amp;"-"&amp;ROW(X62),基本資料填寫!$C:$DU,COLUMN(基本資料填寫!AF63),0),"")</f>
        <v/>
      </c>
      <c r="L65" s="115" t="str">
        <f>IFERROR(VLOOKUP(基本資料填寫!$C$1&amp;"-"&amp;ROW(AW62),基本資料填寫!$C:$DU,COLUMN(基本資料填寫!CU63),0),"")</f>
        <v/>
      </c>
      <c r="M65" s="115" t="str">
        <f>IFERROR(VLOOKUP(基本資料填寫!$C$1&amp;"-"&amp;ROW(AU62),基本資料填寫!$C:$DU,COLUMN(基本資料填寫!CS63),0),"")</f>
        <v/>
      </c>
      <c r="N65" s="115" t="str">
        <f>IFERROR(VLOOKUP(基本資料填寫!$C$1&amp;"-"&amp;ROW(AV62),基本資料填寫!$C:$DU,COLUMN(基本資料填寫!CT63),0),"")</f>
        <v/>
      </c>
      <c r="O65" s="115" t="str">
        <f>IFERROR(VLOOKUP(基本資料填寫!$C$1&amp;"-"&amp;ROW(N62),基本資料填寫!$C:$DU,COLUMN(基本資料填寫!V63),0),"")</f>
        <v/>
      </c>
      <c r="P65" s="115" t="str">
        <f>IFERROR(VLOOKUP(基本資料填寫!$C$1&amp;"-"&amp;ROW(AT62),基本資料填寫!$C:$DU,COLUMN(基本資料填寫!CR63),0),"")</f>
        <v/>
      </c>
      <c r="Q65" s="115" t="str">
        <f>IFERROR(VLOOKUP(基本資料填寫!$C$1&amp;"-"&amp;ROW(AQ62),基本資料填寫!$C:$DU,COLUMN(基本資料填寫!CO63),0),"")</f>
        <v/>
      </c>
      <c r="R65" s="99" t="str">
        <f>IFERROR(VLOOKUP(基本資料填寫!$C$1&amp;"-"&amp;ROW(Y62),基本資料填寫!$C:$DU,COLUMN(基本資料填寫!AG63),0),"")</f>
        <v/>
      </c>
      <c r="S65" s="99" t="str">
        <f>IFERROR(VLOOKUP(基本資料填寫!$C$1&amp;"-"&amp;ROW(Z62),基本資料填寫!$C:$DU,COLUMN(基本資料填寫!AH63),0),"")</f>
        <v/>
      </c>
      <c r="AB65" s="115" t="str">
        <f>IFERROR(VLOOKUP(基本資料填寫!$C$1&amp;"-"&amp;ROW(BL62),基本資料填寫!$C:$DU,COLUMN(基本資料填寫!DK63),0),"")</f>
        <v/>
      </c>
      <c r="BG65" s="115" t="str">
        <f>IFERROR(VLOOKUP(基本資料填寫!$C$1&amp;"-"&amp;ROW(E62),基本資料填寫!$C:$DU,COLUMN(基本資料填寫!M63),0),"")</f>
        <v/>
      </c>
      <c r="BU65" s="115" t="str">
        <f>IFERROR(VLOOKUP(基本資料填寫!$C$1&amp;"-"&amp;ROW(O62),基本資料填寫!$C:$DU,COLUMN(基本資料填寫!W63),0),"")</f>
        <v/>
      </c>
      <c r="BV65" s="99" t="str">
        <f>IFERROR(VLOOKUP(基本資料填寫!$C$1&amp;"-"&amp;ROW(AA62),基本資料填寫!$C:$DU,COLUMN(基本資料填寫!AI63),0),"")</f>
        <v/>
      </c>
    </row>
    <row r="66" spans="1:74" ht="16.2" x14ac:dyDescent="0.3">
      <c r="A66" s="207"/>
      <c r="B66" s="114" t="str">
        <f>IF(I66="","",COUNTA($I$4:I66))</f>
        <v/>
      </c>
      <c r="C66" s="114" t="str">
        <f>IFERROR(VLOOKUP(基本資料填寫!$C$1&amp;"-"&amp;ROW(X63),基本資料填寫!$C:$DU,COLUMN(基本資料填寫!BV64),0),"")</f>
        <v/>
      </c>
      <c r="D66" s="99" t="str">
        <f>IFERROR(VLOOKUP(基本資料填寫!$C$1&amp;"-"&amp;ROW(D63),基本資料填寫!$C:$DU,COLUMN(基本資料填寫!L64),0),"")</f>
        <v/>
      </c>
      <c r="E66" s="115" t="str">
        <f>IFERROR(VLOOKUP(基本資料填寫!$C$1&amp;"-"&amp;ROW(AP63),基本資料填寫!$C:$DU,COLUMN(基本資料填寫!CN64),0),"")</f>
        <v/>
      </c>
      <c r="F66" s="114" t="str">
        <f>IFERROR(VLOOKUP(基本資料填寫!$C$1&amp;"-"&amp;ROW(I63),基本資料填寫!$C:$DU,COLUMN(基本資料填寫!Q64),0),"")</f>
        <v/>
      </c>
      <c r="G66" s="114" t="str">
        <f>IFERROR(VLOOKUP(基本資料填寫!$C$1&amp;"-"&amp;ROW(L63),基本資料填寫!$C:$DU,COLUMN(基本資料填寫!T64),0),"")</f>
        <v/>
      </c>
      <c r="H66" s="114" t="str">
        <f>IFERROR(VLOOKUP(基本資料填寫!$C$1&amp;"-"&amp;ROW(F63),基本資料填寫!$C:$DU,COLUMN(基本資料填寫!N64),0),"")</f>
        <v/>
      </c>
      <c r="I66" s="114" t="str">
        <f>IFERROR(VLOOKUP(基本資料填寫!$C$1&amp;"-"&amp;ROW(G63),基本資料填寫!$C:$DU,COLUMN(基本資料填寫!O64),0),"")</f>
        <v/>
      </c>
      <c r="J66" s="114" t="str">
        <f>IFERROR(VLOOKUP(基本資料填寫!$C$1&amp;"-"&amp;ROW(E63),基本資料填寫!$C:$DU,COLUMN(基本資料填寫!M64),0),"")</f>
        <v/>
      </c>
      <c r="K66" s="99" t="str">
        <f>IFERROR(VLOOKUP(基本資料填寫!$C$1&amp;"-"&amp;ROW(X63),基本資料填寫!$C:$DU,COLUMN(基本資料填寫!AF64),0),"")</f>
        <v/>
      </c>
      <c r="L66" s="115" t="str">
        <f>IFERROR(VLOOKUP(基本資料填寫!$C$1&amp;"-"&amp;ROW(AW63),基本資料填寫!$C:$DU,COLUMN(基本資料填寫!CU64),0),"")</f>
        <v/>
      </c>
      <c r="M66" s="115" t="str">
        <f>IFERROR(VLOOKUP(基本資料填寫!$C$1&amp;"-"&amp;ROW(AU63),基本資料填寫!$C:$DU,COLUMN(基本資料填寫!CS64),0),"")</f>
        <v/>
      </c>
      <c r="N66" s="115" t="str">
        <f>IFERROR(VLOOKUP(基本資料填寫!$C$1&amp;"-"&amp;ROW(AV63),基本資料填寫!$C:$DU,COLUMN(基本資料填寫!CT64),0),"")</f>
        <v/>
      </c>
      <c r="O66" s="115" t="str">
        <f>IFERROR(VLOOKUP(基本資料填寫!$C$1&amp;"-"&amp;ROW(N63),基本資料填寫!$C:$DU,COLUMN(基本資料填寫!V64),0),"")</f>
        <v/>
      </c>
      <c r="P66" s="115" t="str">
        <f>IFERROR(VLOOKUP(基本資料填寫!$C$1&amp;"-"&amp;ROW(AT63),基本資料填寫!$C:$DU,COLUMN(基本資料填寫!CR64),0),"")</f>
        <v/>
      </c>
      <c r="Q66" s="115" t="str">
        <f>IFERROR(VLOOKUP(基本資料填寫!$C$1&amp;"-"&amp;ROW(AQ63),基本資料填寫!$C:$DU,COLUMN(基本資料填寫!CO64),0),"")</f>
        <v/>
      </c>
      <c r="R66" s="99" t="str">
        <f>IFERROR(VLOOKUP(基本資料填寫!$C$1&amp;"-"&amp;ROW(Y63),基本資料填寫!$C:$DU,COLUMN(基本資料填寫!AG64),0),"")</f>
        <v/>
      </c>
      <c r="S66" s="99" t="str">
        <f>IFERROR(VLOOKUP(基本資料填寫!$C$1&amp;"-"&amp;ROW(Z63),基本資料填寫!$C:$DU,COLUMN(基本資料填寫!AH64),0),"")</f>
        <v/>
      </c>
      <c r="AB66" s="115" t="str">
        <f>IFERROR(VLOOKUP(基本資料填寫!$C$1&amp;"-"&amp;ROW(BL63),基本資料填寫!$C:$DU,COLUMN(基本資料填寫!DK64),0),"")</f>
        <v/>
      </c>
      <c r="BG66" s="115" t="str">
        <f>IFERROR(VLOOKUP(基本資料填寫!$C$1&amp;"-"&amp;ROW(E63),基本資料填寫!$C:$DU,COLUMN(基本資料填寫!M64),0),"")</f>
        <v/>
      </c>
      <c r="BU66" s="115" t="str">
        <f>IFERROR(VLOOKUP(基本資料填寫!$C$1&amp;"-"&amp;ROW(O63),基本資料填寫!$C:$DU,COLUMN(基本資料填寫!W64),0),"")</f>
        <v/>
      </c>
      <c r="BV66" s="99" t="str">
        <f>IFERROR(VLOOKUP(基本資料填寫!$C$1&amp;"-"&amp;ROW(AA63),基本資料填寫!$C:$DU,COLUMN(基本資料填寫!AI64),0),"")</f>
        <v/>
      </c>
    </row>
    <row r="67" spans="1:74" ht="16.2" x14ac:dyDescent="0.3">
      <c r="A67" s="207"/>
      <c r="B67" s="114" t="str">
        <f>IF(I67="","",COUNTA($I$4:I67))</f>
        <v/>
      </c>
      <c r="C67" s="114" t="str">
        <f>IFERROR(VLOOKUP(基本資料填寫!$C$1&amp;"-"&amp;ROW(X64),基本資料填寫!$C:$DU,COLUMN(基本資料填寫!BV65),0),"")</f>
        <v/>
      </c>
      <c r="D67" s="99" t="str">
        <f>IFERROR(VLOOKUP(基本資料填寫!$C$1&amp;"-"&amp;ROW(D64),基本資料填寫!$C:$DU,COLUMN(基本資料填寫!L65),0),"")</f>
        <v/>
      </c>
      <c r="E67" s="115" t="str">
        <f>IFERROR(VLOOKUP(基本資料填寫!$C$1&amp;"-"&amp;ROW(AP64),基本資料填寫!$C:$DU,COLUMN(基本資料填寫!CN65),0),"")</f>
        <v/>
      </c>
      <c r="F67" s="114" t="str">
        <f>IFERROR(VLOOKUP(基本資料填寫!$C$1&amp;"-"&amp;ROW(I64),基本資料填寫!$C:$DU,COLUMN(基本資料填寫!Q65),0),"")</f>
        <v/>
      </c>
      <c r="G67" s="114" t="str">
        <f>IFERROR(VLOOKUP(基本資料填寫!$C$1&amp;"-"&amp;ROW(L64),基本資料填寫!$C:$DU,COLUMN(基本資料填寫!T65),0),"")</f>
        <v/>
      </c>
      <c r="H67" s="114" t="str">
        <f>IFERROR(VLOOKUP(基本資料填寫!$C$1&amp;"-"&amp;ROW(F64),基本資料填寫!$C:$DU,COLUMN(基本資料填寫!N65),0),"")</f>
        <v/>
      </c>
      <c r="I67" s="114" t="str">
        <f>IFERROR(VLOOKUP(基本資料填寫!$C$1&amp;"-"&amp;ROW(G64),基本資料填寫!$C:$DU,COLUMN(基本資料填寫!O65),0),"")</f>
        <v/>
      </c>
      <c r="J67" s="114" t="str">
        <f>IFERROR(VLOOKUP(基本資料填寫!$C$1&amp;"-"&amp;ROW(E64),基本資料填寫!$C:$DU,COLUMN(基本資料填寫!M65),0),"")</f>
        <v/>
      </c>
      <c r="K67" s="99" t="str">
        <f>IFERROR(VLOOKUP(基本資料填寫!$C$1&amp;"-"&amp;ROW(X64),基本資料填寫!$C:$DU,COLUMN(基本資料填寫!AF65),0),"")</f>
        <v/>
      </c>
      <c r="L67" s="115" t="str">
        <f>IFERROR(VLOOKUP(基本資料填寫!$C$1&amp;"-"&amp;ROW(AW64),基本資料填寫!$C:$DU,COLUMN(基本資料填寫!CU65),0),"")</f>
        <v/>
      </c>
      <c r="M67" s="115" t="str">
        <f>IFERROR(VLOOKUP(基本資料填寫!$C$1&amp;"-"&amp;ROW(AU64),基本資料填寫!$C:$DU,COLUMN(基本資料填寫!CS65),0),"")</f>
        <v/>
      </c>
      <c r="N67" s="115" t="str">
        <f>IFERROR(VLOOKUP(基本資料填寫!$C$1&amp;"-"&amp;ROW(AV64),基本資料填寫!$C:$DU,COLUMN(基本資料填寫!CT65),0),"")</f>
        <v/>
      </c>
      <c r="O67" s="115" t="str">
        <f>IFERROR(VLOOKUP(基本資料填寫!$C$1&amp;"-"&amp;ROW(N64),基本資料填寫!$C:$DU,COLUMN(基本資料填寫!V65),0),"")</f>
        <v/>
      </c>
      <c r="P67" s="115" t="str">
        <f>IFERROR(VLOOKUP(基本資料填寫!$C$1&amp;"-"&amp;ROW(AT64),基本資料填寫!$C:$DU,COLUMN(基本資料填寫!CR65),0),"")</f>
        <v/>
      </c>
      <c r="Q67" s="115" t="str">
        <f>IFERROR(VLOOKUP(基本資料填寫!$C$1&amp;"-"&amp;ROW(AQ64),基本資料填寫!$C:$DU,COLUMN(基本資料填寫!CO65),0),"")</f>
        <v/>
      </c>
      <c r="R67" s="99" t="str">
        <f>IFERROR(VLOOKUP(基本資料填寫!$C$1&amp;"-"&amp;ROW(Y64),基本資料填寫!$C:$DU,COLUMN(基本資料填寫!AG65),0),"")</f>
        <v/>
      </c>
      <c r="S67" s="99" t="str">
        <f>IFERROR(VLOOKUP(基本資料填寫!$C$1&amp;"-"&amp;ROW(Z64),基本資料填寫!$C:$DU,COLUMN(基本資料填寫!AH65),0),"")</f>
        <v/>
      </c>
      <c r="AB67" s="115" t="str">
        <f>IFERROR(VLOOKUP(基本資料填寫!$C$1&amp;"-"&amp;ROW(BL64),基本資料填寫!$C:$DU,COLUMN(基本資料填寫!DK65),0),"")</f>
        <v/>
      </c>
      <c r="BG67" s="115" t="str">
        <f>IFERROR(VLOOKUP(基本資料填寫!$C$1&amp;"-"&amp;ROW(E64),基本資料填寫!$C:$DU,COLUMN(基本資料填寫!M65),0),"")</f>
        <v/>
      </c>
      <c r="BU67" s="115" t="str">
        <f>IFERROR(VLOOKUP(基本資料填寫!$C$1&amp;"-"&amp;ROW(O64),基本資料填寫!$C:$DU,COLUMN(基本資料填寫!W65),0),"")</f>
        <v/>
      </c>
      <c r="BV67" s="99" t="str">
        <f>IFERROR(VLOOKUP(基本資料填寫!$C$1&amp;"-"&amp;ROW(AA64),基本資料填寫!$C:$DU,COLUMN(基本資料填寫!AI65),0),"")</f>
        <v/>
      </c>
    </row>
    <row r="68" spans="1:74" ht="16.2" x14ac:dyDescent="0.3">
      <c r="A68" s="207"/>
      <c r="B68" s="114" t="str">
        <f>IF(I68="","",COUNTA($I$4:I68))</f>
        <v/>
      </c>
      <c r="C68" s="114" t="str">
        <f>IFERROR(VLOOKUP(基本資料填寫!$C$1&amp;"-"&amp;ROW(X65),基本資料填寫!$C:$DU,COLUMN(基本資料填寫!BV66),0),"")</f>
        <v/>
      </c>
      <c r="D68" s="99" t="str">
        <f>IFERROR(VLOOKUP(基本資料填寫!$C$1&amp;"-"&amp;ROW(D65),基本資料填寫!$C:$DU,COLUMN(基本資料填寫!L66),0),"")</f>
        <v/>
      </c>
      <c r="E68" s="115" t="str">
        <f>IFERROR(VLOOKUP(基本資料填寫!$C$1&amp;"-"&amp;ROW(AP65),基本資料填寫!$C:$DU,COLUMN(基本資料填寫!CN66),0),"")</f>
        <v/>
      </c>
      <c r="F68" s="114" t="str">
        <f>IFERROR(VLOOKUP(基本資料填寫!$C$1&amp;"-"&amp;ROW(I65),基本資料填寫!$C:$DU,COLUMN(基本資料填寫!Q66),0),"")</f>
        <v/>
      </c>
      <c r="G68" s="114" t="str">
        <f>IFERROR(VLOOKUP(基本資料填寫!$C$1&amp;"-"&amp;ROW(L65),基本資料填寫!$C:$DU,COLUMN(基本資料填寫!T66),0),"")</f>
        <v/>
      </c>
      <c r="H68" s="114" t="str">
        <f>IFERROR(VLOOKUP(基本資料填寫!$C$1&amp;"-"&amp;ROW(F65),基本資料填寫!$C:$DU,COLUMN(基本資料填寫!N66),0),"")</f>
        <v/>
      </c>
      <c r="I68" s="114" t="str">
        <f>IFERROR(VLOOKUP(基本資料填寫!$C$1&amp;"-"&amp;ROW(G65),基本資料填寫!$C:$DU,COLUMN(基本資料填寫!O66),0),"")</f>
        <v/>
      </c>
      <c r="J68" s="114" t="str">
        <f>IFERROR(VLOOKUP(基本資料填寫!$C$1&amp;"-"&amp;ROW(E65),基本資料填寫!$C:$DU,COLUMN(基本資料填寫!M66),0),"")</f>
        <v/>
      </c>
      <c r="K68" s="99" t="str">
        <f>IFERROR(VLOOKUP(基本資料填寫!$C$1&amp;"-"&amp;ROW(X65),基本資料填寫!$C:$DU,COLUMN(基本資料填寫!AF66),0),"")</f>
        <v/>
      </c>
      <c r="L68" s="115" t="str">
        <f>IFERROR(VLOOKUP(基本資料填寫!$C$1&amp;"-"&amp;ROW(AW65),基本資料填寫!$C:$DU,COLUMN(基本資料填寫!CU66),0),"")</f>
        <v/>
      </c>
      <c r="M68" s="115" t="str">
        <f>IFERROR(VLOOKUP(基本資料填寫!$C$1&amp;"-"&amp;ROW(AU65),基本資料填寫!$C:$DU,COLUMN(基本資料填寫!CS66),0),"")</f>
        <v/>
      </c>
      <c r="N68" s="115" t="str">
        <f>IFERROR(VLOOKUP(基本資料填寫!$C$1&amp;"-"&amp;ROW(AV65),基本資料填寫!$C:$DU,COLUMN(基本資料填寫!CT66),0),"")</f>
        <v/>
      </c>
      <c r="O68" s="115" t="str">
        <f>IFERROR(VLOOKUP(基本資料填寫!$C$1&amp;"-"&amp;ROW(N65),基本資料填寫!$C:$DU,COLUMN(基本資料填寫!V66),0),"")</f>
        <v/>
      </c>
      <c r="P68" s="115" t="str">
        <f>IFERROR(VLOOKUP(基本資料填寫!$C$1&amp;"-"&amp;ROW(AT65),基本資料填寫!$C:$DU,COLUMN(基本資料填寫!CR66),0),"")</f>
        <v/>
      </c>
      <c r="Q68" s="115" t="str">
        <f>IFERROR(VLOOKUP(基本資料填寫!$C$1&amp;"-"&amp;ROW(AQ65),基本資料填寫!$C:$DU,COLUMN(基本資料填寫!CO66),0),"")</f>
        <v/>
      </c>
      <c r="R68" s="99" t="str">
        <f>IFERROR(VLOOKUP(基本資料填寫!$C$1&amp;"-"&amp;ROW(Y65),基本資料填寫!$C:$DU,COLUMN(基本資料填寫!AG66),0),"")</f>
        <v/>
      </c>
      <c r="S68" s="99" t="str">
        <f>IFERROR(VLOOKUP(基本資料填寫!$C$1&amp;"-"&amp;ROW(Z65),基本資料填寫!$C:$DU,COLUMN(基本資料填寫!AH66),0),"")</f>
        <v/>
      </c>
      <c r="AB68" s="115" t="str">
        <f>IFERROR(VLOOKUP(基本資料填寫!$C$1&amp;"-"&amp;ROW(BL65),基本資料填寫!$C:$DU,COLUMN(基本資料填寫!DK66),0),"")</f>
        <v/>
      </c>
      <c r="BG68" s="115" t="str">
        <f>IFERROR(VLOOKUP(基本資料填寫!$C$1&amp;"-"&amp;ROW(E65),基本資料填寫!$C:$DU,COLUMN(基本資料填寫!M66),0),"")</f>
        <v/>
      </c>
      <c r="BU68" s="115" t="str">
        <f>IFERROR(VLOOKUP(基本資料填寫!$C$1&amp;"-"&amp;ROW(O65),基本資料填寫!$C:$DU,COLUMN(基本資料填寫!W66),0),"")</f>
        <v/>
      </c>
      <c r="BV68" s="99" t="str">
        <f>IFERROR(VLOOKUP(基本資料填寫!$C$1&amp;"-"&amp;ROW(AA65),基本資料填寫!$C:$DU,COLUMN(基本資料填寫!AI66),0),"")</f>
        <v/>
      </c>
    </row>
    <row r="69" spans="1:74" ht="16.2" x14ac:dyDescent="0.3">
      <c r="A69" s="207"/>
      <c r="B69" s="114" t="str">
        <f>IF(I69="","",COUNTA($I$4:I69))</f>
        <v/>
      </c>
      <c r="C69" s="114" t="str">
        <f>IFERROR(VLOOKUP(基本資料填寫!$C$1&amp;"-"&amp;ROW(X66),基本資料填寫!$C:$DU,COLUMN(基本資料填寫!BV67),0),"")</f>
        <v/>
      </c>
      <c r="D69" s="99" t="str">
        <f>IFERROR(VLOOKUP(基本資料填寫!$C$1&amp;"-"&amp;ROW(D66),基本資料填寫!$C:$DU,COLUMN(基本資料填寫!L67),0),"")</f>
        <v/>
      </c>
      <c r="E69" s="115" t="str">
        <f>IFERROR(VLOOKUP(基本資料填寫!$C$1&amp;"-"&amp;ROW(AP66),基本資料填寫!$C:$DU,COLUMN(基本資料填寫!CN67),0),"")</f>
        <v/>
      </c>
      <c r="F69" s="114" t="str">
        <f>IFERROR(VLOOKUP(基本資料填寫!$C$1&amp;"-"&amp;ROW(I66),基本資料填寫!$C:$DU,COLUMN(基本資料填寫!Q67),0),"")</f>
        <v/>
      </c>
      <c r="G69" s="114" t="str">
        <f>IFERROR(VLOOKUP(基本資料填寫!$C$1&amp;"-"&amp;ROW(L66),基本資料填寫!$C:$DU,COLUMN(基本資料填寫!T67),0),"")</f>
        <v/>
      </c>
      <c r="H69" s="114" t="str">
        <f>IFERROR(VLOOKUP(基本資料填寫!$C$1&amp;"-"&amp;ROW(F66),基本資料填寫!$C:$DU,COLUMN(基本資料填寫!N67),0),"")</f>
        <v/>
      </c>
      <c r="I69" s="114" t="str">
        <f>IFERROR(VLOOKUP(基本資料填寫!$C$1&amp;"-"&amp;ROW(G66),基本資料填寫!$C:$DU,COLUMN(基本資料填寫!O67),0),"")</f>
        <v/>
      </c>
      <c r="J69" s="114" t="str">
        <f>IFERROR(VLOOKUP(基本資料填寫!$C$1&amp;"-"&amp;ROW(E66),基本資料填寫!$C:$DU,COLUMN(基本資料填寫!M67),0),"")</f>
        <v/>
      </c>
      <c r="K69" s="99" t="str">
        <f>IFERROR(VLOOKUP(基本資料填寫!$C$1&amp;"-"&amp;ROW(X66),基本資料填寫!$C:$DU,COLUMN(基本資料填寫!AF67),0),"")</f>
        <v/>
      </c>
      <c r="L69" s="115" t="str">
        <f>IFERROR(VLOOKUP(基本資料填寫!$C$1&amp;"-"&amp;ROW(AW66),基本資料填寫!$C:$DU,COLUMN(基本資料填寫!CU67),0),"")</f>
        <v/>
      </c>
      <c r="M69" s="115" t="str">
        <f>IFERROR(VLOOKUP(基本資料填寫!$C$1&amp;"-"&amp;ROW(AU66),基本資料填寫!$C:$DU,COLUMN(基本資料填寫!CS67),0),"")</f>
        <v/>
      </c>
      <c r="N69" s="115" t="str">
        <f>IFERROR(VLOOKUP(基本資料填寫!$C$1&amp;"-"&amp;ROW(AV66),基本資料填寫!$C:$DU,COLUMN(基本資料填寫!CT67),0),"")</f>
        <v/>
      </c>
      <c r="O69" s="115" t="str">
        <f>IFERROR(VLOOKUP(基本資料填寫!$C$1&amp;"-"&amp;ROW(N66),基本資料填寫!$C:$DU,COLUMN(基本資料填寫!V67),0),"")</f>
        <v/>
      </c>
      <c r="P69" s="115" t="str">
        <f>IFERROR(VLOOKUP(基本資料填寫!$C$1&amp;"-"&amp;ROW(AT66),基本資料填寫!$C:$DU,COLUMN(基本資料填寫!CR67),0),"")</f>
        <v/>
      </c>
      <c r="Q69" s="115" t="str">
        <f>IFERROR(VLOOKUP(基本資料填寫!$C$1&amp;"-"&amp;ROW(AQ66),基本資料填寫!$C:$DU,COLUMN(基本資料填寫!CO67),0),"")</f>
        <v/>
      </c>
      <c r="R69" s="99" t="str">
        <f>IFERROR(VLOOKUP(基本資料填寫!$C$1&amp;"-"&amp;ROW(Y66),基本資料填寫!$C:$DU,COLUMN(基本資料填寫!AG67),0),"")</f>
        <v/>
      </c>
      <c r="S69" s="99" t="str">
        <f>IFERROR(VLOOKUP(基本資料填寫!$C$1&amp;"-"&amp;ROW(Z66),基本資料填寫!$C:$DU,COLUMN(基本資料填寫!AH67),0),"")</f>
        <v/>
      </c>
      <c r="AB69" s="115" t="str">
        <f>IFERROR(VLOOKUP(基本資料填寫!$C$1&amp;"-"&amp;ROW(BL66),基本資料填寫!$C:$DU,COLUMN(基本資料填寫!DK67),0),"")</f>
        <v/>
      </c>
      <c r="BG69" s="115" t="str">
        <f>IFERROR(VLOOKUP(基本資料填寫!$C$1&amp;"-"&amp;ROW(E66),基本資料填寫!$C:$DU,COLUMN(基本資料填寫!M67),0),"")</f>
        <v/>
      </c>
      <c r="BU69" s="115" t="str">
        <f>IFERROR(VLOOKUP(基本資料填寫!$C$1&amp;"-"&amp;ROW(O66),基本資料填寫!$C:$DU,COLUMN(基本資料填寫!W67),0),"")</f>
        <v/>
      </c>
      <c r="BV69" s="99" t="str">
        <f>IFERROR(VLOOKUP(基本資料填寫!$C$1&amp;"-"&amp;ROW(AA66),基本資料填寫!$C:$DU,COLUMN(基本資料填寫!AI67),0),"")</f>
        <v/>
      </c>
    </row>
    <row r="70" spans="1:74" ht="16.2" x14ac:dyDescent="0.3">
      <c r="A70" s="207"/>
      <c r="B70" s="114" t="str">
        <f>IF(I70="","",COUNTA($I$4:I70))</f>
        <v/>
      </c>
      <c r="C70" s="114" t="str">
        <f>IFERROR(VLOOKUP(基本資料填寫!$C$1&amp;"-"&amp;ROW(X67),基本資料填寫!$C:$DU,COLUMN(基本資料填寫!BV68),0),"")</f>
        <v/>
      </c>
      <c r="D70" s="99" t="str">
        <f>IFERROR(VLOOKUP(基本資料填寫!$C$1&amp;"-"&amp;ROW(D67),基本資料填寫!$C:$DU,COLUMN(基本資料填寫!L68),0),"")</f>
        <v/>
      </c>
      <c r="E70" s="115" t="str">
        <f>IFERROR(VLOOKUP(基本資料填寫!$C$1&amp;"-"&amp;ROW(AP67),基本資料填寫!$C:$DU,COLUMN(基本資料填寫!CN68),0),"")</f>
        <v/>
      </c>
      <c r="F70" s="114" t="str">
        <f>IFERROR(VLOOKUP(基本資料填寫!$C$1&amp;"-"&amp;ROW(I67),基本資料填寫!$C:$DU,COLUMN(基本資料填寫!Q68),0),"")</f>
        <v/>
      </c>
      <c r="G70" s="114" t="str">
        <f>IFERROR(VLOOKUP(基本資料填寫!$C$1&amp;"-"&amp;ROW(L67),基本資料填寫!$C:$DU,COLUMN(基本資料填寫!T68),0),"")</f>
        <v/>
      </c>
      <c r="H70" s="114" t="str">
        <f>IFERROR(VLOOKUP(基本資料填寫!$C$1&amp;"-"&amp;ROW(F67),基本資料填寫!$C:$DU,COLUMN(基本資料填寫!N68),0),"")</f>
        <v/>
      </c>
      <c r="I70" s="114" t="str">
        <f>IFERROR(VLOOKUP(基本資料填寫!$C$1&amp;"-"&amp;ROW(G67),基本資料填寫!$C:$DU,COLUMN(基本資料填寫!O68),0),"")</f>
        <v/>
      </c>
      <c r="J70" s="114" t="str">
        <f>IFERROR(VLOOKUP(基本資料填寫!$C$1&amp;"-"&amp;ROW(E67),基本資料填寫!$C:$DU,COLUMN(基本資料填寫!M68),0),"")</f>
        <v/>
      </c>
      <c r="K70" s="99" t="str">
        <f>IFERROR(VLOOKUP(基本資料填寫!$C$1&amp;"-"&amp;ROW(X67),基本資料填寫!$C:$DU,COLUMN(基本資料填寫!AF68),0),"")</f>
        <v/>
      </c>
      <c r="L70" s="115" t="str">
        <f>IFERROR(VLOOKUP(基本資料填寫!$C$1&amp;"-"&amp;ROW(AW67),基本資料填寫!$C:$DU,COLUMN(基本資料填寫!CU68),0),"")</f>
        <v/>
      </c>
      <c r="M70" s="115" t="str">
        <f>IFERROR(VLOOKUP(基本資料填寫!$C$1&amp;"-"&amp;ROW(AU67),基本資料填寫!$C:$DU,COLUMN(基本資料填寫!CS68),0),"")</f>
        <v/>
      </c>
      <c r="N70" s="115" t="str">
        <f>IFERROR(VLOOKUP(基本資料填寫!$C$1&amp;"-"&amp;ROW(AV67),基本資料填寫!$C:$DU,COLUMN(基本資料填寫!CT68),0),"")</f>
        <v/>
      </c>
      <c r="O70" s="115" t="str">
        <f>IFERROR(VLOOKUP(基本資料填寫!$C$1&amp;"-"&amp;ROW(N67),基本資料填寫!$C:$DU,COLUMN(基本資料填寫!V68),0),"")</f>
        <v/>
      </c>
      <c r="P70" s="115" t="str">
        <f>IFERROR(VLOOKUP(基本資料填寫!$C$1&amp;"-"&amp;ROW(AT67),基本資料填寫!$C:$DU,COLUMN(基本資料填寫!CR68),0),"")</f>
        <v/>
      </c>
      <c r="Q70" s="115" t="str">
        <f>IFERROR(VLOOKUP(基本資料填寫!$C$1&amp;"-"&amp;ROW(AQ67),基本資料填寫!$C:$DU,COLUMN(基本資料填寫!CO68),0),"")</f>
        <v/>
      </c>
      <c r="R70" s="99" t="str">
        <f>IFERROR(VLOOKUP(基本資料填寫!$C$1&amp;"-"&amp;ROW(Y67),基本資料填寫!$C:$DU,COLUMN(基本資料填寫!AG68),0),"")</f>
        <v/>
      </c>
      <c r="S70" s="99" t="str">
        <f>IFERROR(VLOOKUP(基本資料填寫!$C$1&amp;"-"&amp;ROW(Z67),基本資料填寫!$C:$DU,COLUMN(基本資料填寫!AH68),0),"")</f>
        <v/>
      </c>
      <c r="AB70" s="115" t="str">
        <f>IFERROR(VLOOKUP(基本資料填寫!$C$1&amp;"-"&amp;ROW(BL67),基本資料填寫!$C:$DU,COLUMN(基本資料填寫!DK68),0),"")</f>
        <v/>
      </c>
      <c r="BG70" s="115" t="str">
        <f>IFERROR(VLOOKUP(基本資料填寫!$C$1&amp;"-"&amp;ROW(E67),基本資料填寫!$C:$DU,COLUMN(基本資料填寫!M68),0),"")</f>
        <v/>
      </c>
      <c r="BU70" s="115" t="str">
        <f>IFERROR(VLOOKUP(基本資料填寫!$C$1&amp;"-"&amp;ROW(O67),基本資料填寫!$C:$DU,COLUMN(基本資料填寫!W68),0),"")</f>
        <v/>
      </c>
      <c r="BV70" s="99" t="str">
        <f>IFERROR(VLOOKUP(基本資料填寫!$C$1&amp;"-"&amp;ROW(AA67),基本資料填寫!$C:$DU,COLUMN(基本資料填寫!AI68),0),"")</f>
        <v/>
      </c>
    </row>
    <row r="71" spans="1:74" ht="16.2" x14ac:dyDescent="0.3">
      <c r="A71" s="207"/>
      <c r="B71" s="114" t="str">
        <f>IF(I71="","",COUNTA($I$4:I71))</f>
        <v/>
      </c>
      <c r="C71" s="114" t="str">
        <f>IFERROR(VLOOKUP(基本資料填寫!$C$1&amp;"-"&amp;ROW(X68),基本資料填寫!$C:$DU,COLUMN(基本資料填寫!BV69),0),"")</f>
        <v/>
      </c>
      <c r="D71" s="99" t="str">
        <f>IFERROR(VLOOKUP(基本資料填寫!$C$1&amp;"-"&amp;ROW(D68),基本資料填寫!$C:$DU,COLUMN(基本資料填寫!L69),0),"")</f>
        <v/>
      </c>
      <c r="E71" s="115" t="str">
        <f>IFERROR(VLOOKUP(基本資料填寫!$C$1&amp;"-"&amp;ROW(AP68),基本資料填寫!$C:$DU,COLUMN(基本資料填寫!CN69),0),"")</f>
        <v/>
      </c>
      <c r="F71" s="114" t="str">
        <f>IFERROR(VLOOKUP(基本資料填寫!$C$1&amp;"-"&amp;ROW(I68),基本資料填寫!$C:$DU,COLUMN(基本資料填寫!Q69),0),"")</f>
        <v/>
      </c>
      <c r="G71" s="114" t="str">
        <f>IFERROR(VLOOKUP(基本資料填寫!$C$1&amp;"-"&amp;ROW(L68),基本資料填寫!$C:$DU,COLUMN(基本資料填寫!T69),0),"")</f>
        <v/>
      </c>
      <c r="H71" s="114" t="str">
        <f>IFERROR(VLOOKUP(基本資料填寫!$C$1&amp;"-"&amp;ROW(F68),基本資料填寫!$C:$DU,COLUMN(基本資料填寫!N69),0),"")</f>
        <v/>
      </c>
      <c r="I71" s="114" t="str">
        <f>IFERROR(VLOOKUP(基本資料填寫!$C$1&amp;"-"&amp;ROW(G68),基本資料填寫!$C:$DU,COLUMN(基本資料填寫!O69),0),"")</f>
        <v/>
      </c>
      <c r="J71" s="114" t="str">
        <f>IFERROR(VLOOKUP(基本資料填寫!$C$1&amp;"-"&amp;ROW(E68),基本資料填寫!$C:$DU,COLUMN(基本資料填寫!M69),0),"")</f>
        <v/>
      </c>
      <c r="K71" s="99" t="str">
        <f>IFERROR(VLOOKUP(基本資料填寫!$C$1&amp;"-"&amp;ROW(X68),基本資料填寫!$C:$DU,COLUMN(基本資料填寫!AF69),0),"")</f>
        <v/>
      </c>
      <c r="L71" s="115" t="str">
        <f>IFERROR(VLOOKUP(基本資料填寫!$C$1&amp;"-"&amp;ROW(AW68),基本資料填寫!$C:$DU,COLUMN(基本資料填寫!CU69),0),"")</f>
        <v/>
      </c>
      <c r="M71" s="115" t="str">
        <f>IFERROR(VLOOKUP(基本資料填寫!$C$1&amp;"-"&amp;ROW(AU68),基本資料填寫!$C:$DU,COLUMN(基本資料填寫!CS69),0),"")</f>
        <v/>
      </c>
      <c r="N71" s="115" t="str">
        <f>IFERROR(VLOOKUP(基本資料填寫!$C$1&amp;"-"&amp;ROW(AV68),基本資料填寫!$C:$DU,COLUMN(基本資料填寫!CT69),0),"")</f>
        <v/>
      </c>
      <c r="O71" s="115" t="str">
        <f>IFERROR(VLOOKUP(基本資料填寫!$C$1&amp;"-"&amp;ROW(N68),基本資料填寫!$C:$DU,COLUMN(基本資料填寫!V69),0),"")</f>
        <v/>
      </c>
      <c r="P71" s="115" t="str">
        <f>IFERROR(VLOOKUP(基本資料填寫!$C$1&amp;"-"&amp;ROW(AT68),基本資料填寫!$C:$DU,COLUMN(基本資料填寫!CR69),0),"")</f>
        <v/>
      </c>
      <c r="Q71" s="115" t="str">
        <f>IFERROR(VLOOKUP(基本資料填寫!$C$1&amp;"-"&amp;ROW(AQ68),基本資料填寫!$C:$DU,COLUMN(基本資料填寫!CO69),0),"")</f>
        <v/>
      </c>
      <c r="R71" s="99" t="str">
        <f>IFERROR(VLOOKUP(基本資料填寫!$C$1&amp;"-"&amp;ROW(Y68),基本資料填寫!$C:$DU,COLUMN(基本資料填寫!AG69),0),"")</f>
        <v/>
      </c>
      <c r="S71" s="99" t="str">
        <f>IFERROR(VLOOKUP(基本資料填寫!$C$1&amp;"-"&amp;ROW(Z68),基本資料填寫!$C:$DU,COLUMN(基本資料填寫!AH69),0),"")</f>
        <v/>
      </c>
      <c r="AB71" s="115" t="str">
        <f>IFERROR(VLOOKUP(基本資料填寫!$C$1&amp;"-"&amp;ROW(BL68),基本資料填寫!$C:$DU,COLUMN(基本資料填寫!DK69),0),"")</f>
        <v/>
      </c>
      <c r="BG71" s="115" t="str">
        <f>IFERROR(VLOOKUP(基本資料填寫!$C$1&amp;"-"&amp;ROW(E68),基本資料填寫!$C:$DU,COLUMN(基本資料填寫!M69),0),"")</f>
        <v/>
      </c>
      <c r="BU71" s="115" t="str">
        <f>IFERROR(VLOOKUP(基本資料填寫!$C$1&amp;"-"&amp;ROW(O68),基本資料填寫!$C:$DU,COLUMN(基本資料填寫!W69),0),"")</f>
        <v/>
      </c>
      <c r="BV71" s="99" t="str">
        <f>IFERROR(VLOOKUP(基本資料填寫!$C$1&amp;"-"&amp;ROW(AA68),基本資料填寫!$C:$DU,COLUMN(基本資料填寫!AI69),0),"")</f>
        <v/>
      </c>
    </row>
    <row r="72" spans="1:74" ht="16.2" x14ac:dyDescent="0.3">
      <c r="A72" s="207"/>
      <c r="B72" s="114" t="str">
        <f>IF(I72="","",COUNTA($I$4:I72))</f>
        <v/>
      </c>
      <c r="C72" s="114" t="str">
        <f>IFERROR(VLOOKUP(基本資料填寫!$C$1&amp;"-"&amp;ROW(X69),基本資料填寫!$C:$DU,COLUMN(基本資料填寫!BV70),0),"")</f>
        <v/>
      </c>
      <c r="D72" s="99" t="str">
        <f>IFERROR(VLOOKUP(基本資料填寫!$C$1&amp;"-"&amp;ROW(D69),基本資料填寫!$C:$DU,COLUMN(基本資料填寫!L70),0),"")</f>
        <v/>
      </c>
      <c r="E72" s="115" t="str">
        <f>IFERROR(VLOOKUP(基本資料填寫!$C$1&amp;"-"&amp;ROW(AP69),基本資料填寫!$C:$DU,COLUMN(基本資料填寫!CN70),0),"")</f>
        <v/>
      </c>
      <c r="F72" s="114" t="str">
        <f>IFERROR(VLOOKUP(基本資料填寫!$C$1&amp;"-"&amp;ROW(I69),基本資料填寫!$C:$DU,COLUMN(基本資料填寫!Q70),0),"")</f>
        <v/>
      </c>
      <c r="G72" s="114" t="str">
        <f>IFERROR(VLOOKUP(基本資料填寫!$C$1&amp;"-"&amp;ROW(L69),基本資料填寫!$C:$DU,COLUMN(基本資料填寫!T70),0),"")</f>
        <v/>
      </c>
      <c r="H72" s="114" t="str">
        <f>IFERROR(VLOOKUP(基本資料填寫!$C$1&amp;"-"&amp;ROW(F69),基本資料填寫!$C:$DU,COLUMN(基本資料填寫!N70),0),"")</f>
        <v/>
      </c>
      <c r="I72" s="114" t="str">
        <f>IFERROR(VLOOKUP(基本資料填寫!$C$1&amp;"-"&amp;ROW(G69),基本資料填寫!$C:$DU,COLUMN(基本資料填寫!O70),0),"")</f>
        <v/>
      </c>
      <c r="J72" s="114" t="str">
        <f>IFERROR(VLOOKUP(基本資料填寫!$C$1&amp;"-"&amp;ROW(E69),基本資料填寫!$C:$DU,COLUMN(基本資料填寫!M70),0),"")</f>
        <v/>
      </c>
      <c r="K72" s="99" t="str">
        <f>IFERROR(VLOOKUP(基本資料填寫!$C$1&amp;"-"&amp;ROW(X69),基本資料填寫!$C:$DU,COLUMN(基本資料填寫!AF70),0),"")</f>
        <v/>
      </c>
      <c r="L72" s="115" t="str">
        <f>IFERROR(VLOOKUP(基本資料填寫!$C$1&amp;"-"&amp;ROW(AW69),基本資料填寫!$C:$DU,COLUMN(基本資料填寫!CU70),0),"")</f>
        <v/>
      </c>
      <c r="M72" s="115" t="str">
        <f>IFERROR(VLOOKUP(基本資料填寫!$C$1&amp;"-"&amp;ROW(AU69),基本資料填寫!$C:$DU,COLUMN(基本資料填寫!CS70),0),"")</f>
        <v/>
      </c>
      <c r="N72" s="115" t="str">
        <f>IFERROR(VLOOKUP(基本資料填寫!$C$1&amp;"-"&amp;ROW(AV69),基本資料填寫!$C:$DU,COLUMN(基本資料填寫!CT70),0),"")</f>
        <v/>
      </c>
      <c r="O72" s="115" t="str">
        <f>IFERROR(VLOOKUP(基本資料填寫!$C$1&amp;"-"&amp;ROW(N69),基本資料填寫!$C:$DU,COLUMN(基本資料填寫!V70),0),"")</f>
        <v/>
      </c>
      <c r="P72" s="115" t="str">
        <f>IFERROR(VLOOKUP(基本資料填寫!$C$1&amp;"-"&amp;ROW(AT69),基本資料填寫!$C:$DU,COLUMN(基本資料填寫!CR70),0),"")</f>
        <v/>
      </c>
      <c r="Q72" s="115" t="str">
        <f>IFERROR(VLOOKUP(基本資料填寫!$C$1&amp;"-"&amp;ROW(AQ69),基本資料填寫!$C:$DU,COLUMN(基本資料填寫!CO70),0),"")</f>
        <v/>
      </c>
      <c r="R72" s="99" t="str">
        <f>IFERROR(VLOOKUP(基本資料填寫!$C$1&amp;"-"&amp;ROW(Y69),基本資料填寫!$C:$DU,COLUMN(基本資料填寫!AG70),0),"")</f>
        <v/>
      </c>
      <c r="S72" s="99" t="str">
        <f>IFERROR(VLOOKUP(基本資料填寫!$C$1&amp;"-"&amp;ROW(Z69),基本資料填寫!$C:$DU,COLUMN(基本資料填寫!AH70),0),"")</f>
        <v/>
      </c>
      <c r="AB72" s="115" t="str">
        <f>IFERROR(VLOOKUP(基本資料填寫!$C$1&amp;"-"&amp;ROW(BL69),基本資料填寫!$C:$DU,COLUMN(基本資料填寫!DK70),0),"")</f>
        <v/>
      </c>
      <c r="BG72" s="115" t="str">
        <f>IFERROR(VLOOKUP(基本資料填寫!$C$1&amp;"-"&amp;ROW(E69),基本資料填寫!$C:$DU,COLUMN(基本資料填寫!M70),0),"")</f>
        <v/>
      </c>
      <c r="BU72" s="115" t="str">
        <f>IFERROR(VLOOKUP(基本資料填寫!$C$1&amp;"-"&amp;ROW(O69),基本資料填寫!$C:$DU,COLUMN(基本資料填寫!W70),0),"")</f>
        <v/>
      </c>
      <c r="BV72" s="99" t="str">
        <f>IFERROR(VLOOKUP(基本資料填寫!$C$1&amp;"-"&amp;ROW(AA69),基本資料填寫!$C:$DU,COLUMN(基本資料填寫!AI70),0),"")</f>
        <v/>
      </c>
    </row>
    <row r="73" spans="1:74" ht="16.2" x14ac:dyDescent="0.3">
      <c r="A73" s="207"/>
      <c r="B73" s="114" t="str">
        <f>IF(I73="","",COUNTA($I$4:I73))</f>
        <v/>
      </c>
      <c r="C73" s="114" t="str">
        <f>IFERROR(VLOOKUP(基本資料填寫!$C$1&amp;"-"&amp;ROW(X70),基本資料填寫!$C:$DU,COLUMN(基本資料填寫!BV71),0),"")</f>
        <v/>
      </c>
      <c r="D73" s="99" t="str">
        <f>IFERROR(VLOOKUP(基本資料填寫!$C$1&amp;"-"&amp;ROW(D70),基本資料填寫!$C:$DU,COLUMN(基本資料填寫!L71),0),"")</f>
        <v/>
      </c>
      <c r="E73" s="115" t="str">
        <f>IFERROR(VLOOKUP(基本資料填寫!$C$1&amp;"-"&amp;ROW(AP70),基本資料填寫!$C:$DU,COLUMN(基本資料填寫!CN71),0),"")</f>
        <v/>
      </c>
      <c r="F73" s="114" t="str">
        <f>IFERROR(VLOOKUP(基本資料填寫!$C$1&amp;"-"&amp;ROW(I70),基本資料填寫!$C:$DU,COLUMN(基本資料填寫!Q71),0),"")</f>
        <v/>
      </c>
      <c r="G73" s="114" t="str">
        <f>IFERROR(VLOOKUP(基本資料填寫!$C$1&amp;"-"&amp;ROW(L70),基本資料填寫!$C:$DU,COLUMN(基本資料填寫!T71),0),"")</f>
        <v/>
      </c>
      <c r="H73" s="114" t="str">
        <f>IFERROR(VLOOKUP(基本資料填寫!$C$1&amp;"-"&amp;ROW(F70),基本資料填寫!$C:$DU,COLUMN(基本資料填寫!N71),0),"")</f>
        <v/>
      </c>
      <c r="I73" s="114" t="str">
        <f>IFERROR(VLOOKUP(基本資料填寫!$C$1&amp;"-"&amp;ROW(G70),基本資料填寫!$C:$DU,COLUMN(基本資料填寫!O71),0),"")</f>
        <v/>
      </c>
      <c r="J73" s="114" t="str">
        <f>IFERROR(VLOOKUP(基本資料填寫!$C$1&amp;"-"&amp;ROW(E70),基本資料填寫!$C:$DU,COLUMN(基本資料填寫!M71),0),"")</f>
        <v/>
      </c>
      <c r="K73" s="99" t="str">
        <f>IFERROR(VLOOKUP(基本資料填寫!$C$1&amp;"-"&amp;ROW(X70),基本資料填寫!$C:$DU,COLUMN(基本資料填寫!AF71),0),"")</f>
        <v/>
      </c>
      <c r="L73" s="115" t="str">
        <f>IFERROR(VLOOKUP(基本資料填寫!$C$1&amp;"-"&amp;ROW(AW70),基本資料填寫!$C:$DU,COLUMN(基本資料填寫!CU71),0),"")</f>
        <v/>
      </c>
      <c r="M73" s="115" t="str">
        <f>IFERROR(VLOOKUP(基本資料填寫!$C$1&amp;"-"&amp;ROW(AU70),基本資料填寫!$C:$DU,COLUMN(基本資料填寫!CS71),0),"")</f>
        <v/>
      </c>
      <c r="N73" s="115" t="str">
        <f>IFERROR(VLOOKUP(基本資料填寫!$C$1&amp;"-"&amp;ROW(AV70),基本資料填寫!$C:$DU,COLUMN(基本資料填寫!CT71),0),"")</f>
        <v/>
      </c>
      <c r="O73" s="115" t="str">
        <f>IFERROR(VLOOKUP(基本資料填寫!$C$1&amp;"-"&amp;ROW(N70),基本資料填寫!$C:$DU,COLUMN(基本資料填寫!V71),0),"")</f>
        <v/>
      </c>
      <c r="P73" s="115" t="str">
        <f>IFERROR(VLOOKUP(基本資料填寫!$C$1&amp;"-"&amp;ROW(AT70),基本資料填寫!$C:$DU,COLUMN(基本資料填寫!CR71),0),"")</f>
        <v/>
      </c>
      <c r="Q73" s="115" t="str">
        <f>IFERROR(VLOOKUP(基本資料填寫!$C$1&amp;"-"&amp;ROW(AQ70),基本資料填寫!$C:$DU,COLUMN(基本資料填寫!CO71),0),"")</f>
        <v/>
      </c>
      <c r="R73" s="99" t="str">
        <f>IFERROR(VLOOKUP(基本資料填寫!$C$1&amp;"-"&amp;ROW(Y70),基本資料填寫!$C:$DU,COLUMN(基本資料填寫!AG71),0),"")</f>
        <v/>
      </c>
      <c r="S73" s="99" t="str">
        <f>IFERROR(VLOOKUP(基本資料填寫!$C$1&amp;"-"&amp;ROW(Z70),基本資料填寫!$C:$DU,COLUMN(基本資料填寫!AH71),0),"")</f>
        <v/>
      </c>
      <c r="AB73" s="115" t="str">
        <f>IFERROR(VLOOKUP(基本資料填寫!$C$1&amp;"-"&amp;ROW(BL70),基本資料填寫!$C:$DU,COLUMN(基本資料填寫!DK71),0),"")</f>
        <v/>
      </c>
      <c r="BG73" s="115" t="str">
        <f>IFERROR(VLOOKUP(基本資料填寫!$C$1&amp;"-"&amp;ROW(E70),基本資料填寫!$C:$DU,COLUMN(基本資料填寫!M71),0),"")</f>
        <v/>
      </c>
      <c r="BU73" s="115" t="str">
        <f>IFERROR(VLOOKUP(基本資料填寫!$C$1&amp;"-"&amp;ROW(O70),基本資料填寫!$C:$DU,COLUMN(基本資料填寫!W71),0),"")</f>
        <v/>
      </c>
      <c r="BV73" s="99" t="str">
        <f>IFERROR(VLOOKUP(基本資料填寫!$C$1&amp;"-"&amp;ROW(AA70),基本資料填寫!$C:$DU,COLUMN(基本資料填寫!AI71),0),"")</f>
        <v/>
      </c>
    </row>
    <row r="74" spans="1:74" ht="16.2" x14ac:dyDescent="0.3">
      <c r="A74" s="207"/>
      <c r="B74" s="114" t="str">
        <f>IF(I74="","",COUNTA($I$4:I74))</f>
        <v/>
      </c>
      <c r="C74" s="114" t="str">
        <f>IFERROR(VLOOKUP(基本資料填寫!$C$1&amp;"-"&amp;ROW(X71),基本資料填寫!$C:$DU,COLUMN(基本資料填寫!BV72),0),"")</f>
        <v/>
      </c>
      <c r="D74" s="99" t="str">
        <f>IFERROR(VLOOKUP(基本資料填寫!$C$1&amp;"-"&amp;ROW(D71),基本資料填寫!$C:$DU,COLUMN(基本資料填寫!L72),0),"")</f>
        <v/>
      </c>
      <c r="E74" s="115" t="str">
        <f>IFERROR(VLOOKUP(基本資料填寫!$C$1&amp;"-"&amp;ROW(AP71),基本資料填寫!$C:$DU,COLUMN(基本資料填寫!CN72),0),"")</f>
        <v/>
      </c>
      <c r="F74" s="114" t="str">
        <f>IFERROR(VLOOKUP(基本資料填寫!$C$1&amp;"-"&amp;ROW(I71),基本資料填寫!$C:$DU,COLUMN(基本資料填寫!Q72),0),"")</f>
        <v/>
      </c>
      <c r="G74" s="114" t="str">
        <f>IFERROR(VLOOKUP(基本資料填寫!$C$1&amp;"-"&amp;ROW(L71),基本資料填寫!$C:$DU,COLUMN(基本資料填寫!T72),0),"")</f>
        <v/>
      </c>
      <c r="H74" s="114" t="str">
        <f>IFERROR(VLOOKUP(基本資料填寫!$C$1&amp;"-"&amp;ROW(F71),基本資料填寫!$C:$DU,COLUMN(基本資料填寫!N72),0),"")</f>
        <v/>
      </c>
      <c r="I74" s="114" t="str">
        <f>IFERROR(VLOOKUP(基本資料填寫!$C$1&amp;"-"&amp;ROW(G71),基本資料填寫!$C:$DU,COLUMN(基本資料填寫!O72),0),"")</f>
        <v/>
      </c>
      <c r="J74" s="114" t="str">
        <f>IFERROR(VLOOKUP(基本資料填寫!$C$1&amp;"-"&amp;ROW(E71),基本資料填寫!$C:$DU,COLUMN(基本資料填寫!M72),0),"")</f>
        <v/>
      </c>
      <c r="K74" s="99" t="str">
        <f>IFERROR(VLOOKUP(基本資料填寫!$C$1&amp;"-"&amp;ROW(X71),基本資料填寫!$C:$DU,COLUMN(基本資料填寫!AF72),0),"")</f>
        <v/>
      </c>
      <c r="L74" s="115" t="str">
        <f>IFERROR(VLOOKUP(基本資料填寫!$C$1&amp;"-"&amp;ROW(AW71),基本資料填寫!$C:$DU,COLUMN(基本資料填寫!CU72),0),"")</f>
        <v/>
      </c>
      <c r="M74" s="115" t="str">
        <f>IFERROR(VLOOKUP(基本資料填寫!$C$1&amp;"-"&amp;ROW(AU71),基本資料填寫!$C:$DU,COLUMN(基本資料填寫!CS72),0),"")</f>
        <v/>
      </c>
      <c r="N74" s="115" t="str">
        <f>IFERROR(VLOOKUP(基本資料填寫!$C$1&amp;"-"&amp;ROW(AV71),基本資料填寫!$C:$DU,COLUMN(基本資料填寫!CT72),0),"")</f>
        <v/>
      </c>
      <c r="O74" s="115" t="str">
        <f>IFERROR(VLOOKUP(基本資料填寫!$C$1&amp;"-"&amp;ROW(N71),基本資料填寫!$C:$DU,COLUMN(基本資料填寫!V72),0),"")</f>
        <v/>
      </c>
      <c r="P74" s="115" t="str">
        <f>IFERROR(VLOOKUP(基本資料填寫!$C$1&amp;"-"&amp;ROW(AT71),基本資料填寫!$C:$DU,COLUMN(基本資料填寫!CR72),0),"")</f>
        <v/>
      </c>
      <c r="Q74" s="115" t="str">
        <f>IFERROR(VLOOKUP(基本資料填寫!$C$1&amp;"-"&amp;ROW(AQ71),基本資料填寫!$C:$DU,COLUMN(基本資料填寫!CO72),0),"")</f>
        <v/>
      </c>
      <c r="R74" s="99" t="str">
        <f>IFERROR(VLOOKUP(基本資料填寫!$C$1&amp;"-"&amp;ROW(Y71),基本資料填寫!$C:$DU,COLUMN(基本資料填寫!AG72),0),"")</f>
        <v/>
      </c>
      <c r="S74" s="99" t="str">
        <f>IFERROR(VLOOKUP(基本資料填寫!$C$1&amp;"-"&amp;ROW(Z71),基本資料填寫!$C:$DU,COLUMN(基本資料填寫!AH72),0),"")</f>
        <v/>
      </c>
      <c r="AB74" s="115" t="str">
        <f>IFERROR(VLOOKUP(基本資料填寫!$C$1&amp;"-"&amp;ROW(BL71),基本資料填寫!$C:$DU,COLUMN(基本資料填寫!DK72),0),"")</f>
        <v/>
      </c>
      <c r="BG74" s="115" t="str">
        <f>IFERROR(VLOOKUP(基本資料填寫!$C$1&amp;"-"&amp;ROW(E71),基本資料填寫!$C:$DU,COLUMN(基本資料填寫!M72),0),"")</f>
        <v/>
      </c>
      <c r="BU74" s="115" t="str">
        <f>IFERROR(VLOOKUP(基本資料填寫!$C$1&amp;"-"&amp;ROW(O71),基本資料填寫!$C:$DU,COLUMN(基本資料填寫!W72),0),"")</f>
        <v/>
      </c>
      <c r="BV74" s="99" t="str">
        <f>IFERROR(VLOOKUP(基本資料填寫!$C$1&amp;"-"&amp;ROW(AA71),基本資料填寫!$C:$DU,COLUMN(基本資料填寫!AI72),0),"")</f>
        <v/>
      </c>
    </row>
    <row r="75" spans="1:74" ht="16.2" x14ac:dyDescent="0.3">
      <c r="A75" s="207"/>
      <c r="B75" s="114" t="str">
        <f>IF(I75="","",COUNTA($I$4:I75))</f>
        <v/>
      </c>
      <c r="C75" s="114" t="str">
        <f>IFERROR(VLOOKUP(基本資料填寫!$C$1&amp;"-"&amp;ROW(X72),基本資料填寫!$C:$DU,COLUMN(基本資料填寫!BV73),0),"")</f>
        <v/>
      </c>
      <c r="D75" s="99" t="str">
        <f>IFERROR(VLOOKUP(基本資料填寫!$C$1&amp;"-"&amp;ROW(D72),基本資料填寫!$C:$DU,COLUMN(基本資料填寫!L73),0),"")</f>
        <v/>
      </c>
      <c r="E75" s="115" t="str">
        <f>IFERROR(VLOOKUP(基本資料填寫!$C$1&amp;"-"&amp;ROW(AP72),基本資料填寫!$C:$DU,COLUMN(基本資料填寫!CN73),0),"")</f>
        <v/>
      </c>
      <c r="F75" s="114" t="str">
        <f>IFERROR(VLOOKUP(基本資料填寫!$C$1&amp;"-"&amp;ROW(I72),基本資料填寫!$C:$DU,COLUMN(基本資料填寫!Q73),0),"")</f>
        <v/>
      </c>
      <c r="G75" s="114" t="str">
        <f>IFERROR(VLOOKUP(基本資料填寫!$C$1&amp;"-"&amp;ROW(L72),基本資料填寫!$C:$DU,COLUMN(基本資料填寫!T73),0),"")</f>
        <v/>
      </c>
      <c r="H75" s="114" t="str">
        <f>IFERROR(VLOOKUP(基本資料填寫!$C$1&amp;"-"&amp;ROW(F72),基本資料填寫!$C:$DU,COLUMN(基本資料填寫!N73),0),"")</f>
        <v/>
      </c>
      <c r="I75" s="114" t="str">
        <f>IFERROR(VLOOKUP(基本資料填寫!$C$1&amp;"-"&amp;ROW(G72),基本資料填寫!$C:$DU,COLUMN(基本資料填寫!O73),0),"")</f>
        <v/>
      </c>
      <c r="J75" s="114" t="str">
        <f>IFERROR(VLOOKUP(基本資料填寫!$C$1&amp;"-"&amp;ROW(E72),基本資料填寫!$C:$DU,COLUMN(基本資料填寫!M73),0),"")</f>
        <v/>
      </c>
      <c r="K75" s="99" t="str">
        <f>IFERROR(VLOOKUP(基本資料填寫!$C$1&amp;"-"&amp;ROW(X72),基本資料填寫!$C:$DU,COLUMN(基本資料填寫!AF73),0),"")</f>
        <v/>
      </c>
      <c r="L75" s="115" t="str">
        <f>IFERROR(VLOOKUP(基本資料填寫!$C$1&amp;"-"&amp;ROW(AW72),基本資料填寫!$C:$DU,COLUMN(基本資料填寫!CU73),0),"")</f>
        <v/>
      </c>
      <c r="M75" s="115" t="str">
        <f>IFERROR(VLOOKUP(基本資料填寫!$C$1&amp;"-"&amp;ROW(AU72),基本資料填寫!$C:$DU,COLUMN(基本資料填寫!CS73),0),"")</f>
        <v/>
      </c>
      <c r="N75" s="115" t="str">
        <f>IFERROR(VLOOKUP(基本資料填寫!$C$1&amp;"-"&amp;ROW(AV72),基本資料填寫!$C:$DU,COLUMN(基本資料填寫!CT73),0),"")</f>
        <v/>
      </c>
      <c r="O75" s="115" t="str">
        <f>IFERROR(VLOOKUP(基本資料填寫!$C$1&amp;"-"&amp;ROW(N72),基本資料填寫!$C:$DU,COLUMN(基本資料填寫!V73),0),"")</f>
        <v/>
      </c>
      <c r="P75" s="115" t="str">
        <f>IFERROR(VLOOKUP(基本資料填寫!$C$1&amp;"-"&amp;ROW(AT72),基本資料填寫!$C:$DU,COLUMN(基本資料填寫!CR73),0),"")</f>
        <v/>
      </c>
      <c r="Q75" s="115" t="str">
        <f>IFERROR(VLOOKUP(基本資料填寫!$C$1&amp;"-"&amp;ROW(AQ72),基本資料填寫!$C:$DU,COLUMN(基本資料填寫!CO73),0),"")</f>
        <v/>
      </c>
      <c r="R75" s="99" t="str">
        <f>IFERROR(VLOOKUP(基本資料填寫!$C$1&amp;"-"&amp;ROW(Y72),基本資料填寫!$C:$DU,COLUMN(基本資料填寫!AG73),0),"")</f>
        <v/>
      </c>
      <c r="S75" s="99" t="str">
        <f>IFERROR(VLOOKUP(基本資料填寫!$C$1&amp;"-"&amp;ROW(Z72),基本資料填寫!$C:$DU,COLUMN(基本資料填寫!AH73),0),"")</f>
        <v/>
      </c>
      <c r="AB75" s="115" t="str">
        <f>IFERROR(VLOOKUP(基本資料填寫!$C$1&amp;"-"&amp;ROW(BL72),基本資料填寫!$C:$DU,COLUMN(基本資料填寫!DK73),0),"")</f>
        <v/>
      </c>
      <c r="BG75" s="115" t="str">
        <f>IFERROR(VLOOKUP(基本資料填寫!$C$1&amp;"-"&amp;ROW(E72),基本資料填寫!$C:$DU,COLUMN(基本資料填寫!M73),0),"")</f>
        <v/>
      </c>
      <c r="BU75" s="115" t="str">
        <f>IFERROR(VLOOKUP(基本資料填寫!$C$1&amp;"-"&amp;ROW(O72),基本資料填寫!$C:$DU,COLUMN(基本資料填寫!W73),0),"")</f>
        <v/>
      </c>
      <c r="BV75" s="99" t="str">
        <f>IFERROR(VLOOKUP(基本資料填寫!$C$1&amp;"-"&amp;ROW(AA72),基本資料填寫!$C:$DU,COLUMN(基本資料填寫!AI73),0),"")</f>
        <v/>
      </c>
    </row>
    <row r="76" spans="1:74" ht="16.2" x14ac:dyDescent="0.3">
      <c r="A76" s="207"/>
      <c r="B76" s="114" t="str">
        <f>IF(I76="","",COUNTA($I$4:I76))</f>
        <v/>
      </c>
      <c r="C76" s="114" t="str">
        <f>IFERROR(VLOOKUP(基本資料填寫!$C$1&amp;"-"&amp;ROW(X73),基本資料填寫!$C:$DU,COLUMN(基本資料填寫!BV74),0),"")</f>
        <v/>
      </c>
      <c r="D76" s="99" t="str">
        <f>IFERROR(VLOOKUP(基本資料填寫!$C$1&amp;"-"&amp;ROW(D73),基本資料填寫!$C:$DU,COLUMN(基本資料填寫!L74),0),"")</f>
        <v/>
      </c>
      <c r="E76" s="115" t="str">
        <f>IFERROR(VLOOKUP(基本資料填寫!$C$1&amp;"-"&amp;ROW(AP73),基本資料填寫!$C:$DU,COLUMN(基本資料填寫!CN74),0),"")</f>
        <v/>
      </c>
      <c r="F76" s="114" t="str">
        <f>IFERROR(VLOOKUP(基本資料填寫!$C$1&amp;"-"&amp;ROW(I73),基本資料填寫!$C:$DU,COLUMN(基本資料填寫!Q74),0),"")</f>
        <v/>
      </c>
      <c r="G76" s="114" t="str">
        <f>IFERROR(VLOOKUP(基本資料填寫!$C$1&amp;"-"&amp;ROW(L73),基本資料填寫!$C:$DU,COLUMN(基本資料填寫!T74),0),"")</f>
        <v/>
      </c>
      <c r="H76" s="114" t="str">
        <f>IFERROR(VLOOKUP(基本資料填寫!$C$1&amp;"-"&amp;ROW(F73),基本資料填寫!$C:$DU,COLUMN(基本資料填寫!N74),0),"")</f>
        <v/>
      </c>
      <c r="I76" s="114" t="str">
        <f>IFERROR(VLOOKUP(基本資料填寫!$C$1&amp;"-"&amp;ROW(G73),基本資料填寫!$C:$DU,COLUMN(基本資料填寫!O74),0),"")</f>
        <v/>
      </c>
      <c r="J76" s="114" t="str">
        <f>IFERROR(VLOOKUP(基本資料填寫!$C$1&amp;"-"&amp;ROW(E73),基本資料填寫!$C:$DU,COLUMN(基本資料填寫!M74),0),"")</f>
        <v/>
      </c>
      <c r="K76" s="99" t="str">
        <f>IFERROR(VLOOKUP(基本資料填寫!$C$1&amp;"-"&amp;ROW(X73),基本資料填寫!$C:$DU,COLUMN(基本資料填寫!AF74),0),"")</f>
        <v/>
      </c>
      <c r="L76" s="115" t="str">
        <f>IFERROR(VLOOKUP(基本資料填寫!$C$1&amp;"-"&amp;ROW(AW73),基本資料填寫!$C:$DU,COLUMN(基本資料填寫!CU74),0),"")</f>
        <v/>
      </c>
      <c r="M76" s="115" t="str">
        <f>IFERROR(VLOOKUP(基本資料填寫!$C$1&amp;"-"&amp;ROW(AU73),基本資料填寫!$C:$DU,COLUMN(基本資料填寫!CS74),0),"")</f>
        <v/>
      </c>
      <c r="N76" s="115" t="str">
        <f>IFERROR(VLOOKUP(基本資料填寫!$C$1&amp;"-"&amp;ROW(AV73),基本資料填寫!$C:$DU,COLUMN(基本資料填寫!CT74),0),"")</f>
        <v/>
      </c>
      <c r="O76" s="115" t="str">
        <f>IFERROR(VLOOKUP(基本資料填寫!$C$1&amp;"-"&amp;ROW(N73),基本資料填寫!$C:$DU,COLUMN(基本資料填寫!V74),0),"")</f>
        <v/>
      </c>
      <c r="P76" s="115" t="str">
        <f>IFERROR(VLOOKUP(基本資料填寫!$C$1&amp;"-"&amp;ROW(AT73),基本資料填寫!$C:$DU,COLUMN(基本資料填寫!CR74),0),"")</f>
        <v/>
      </c>
      <c r="Q76" s="115" t="str">
        <f>IFERROR(VLOOKUP(基本資料填寫!$C$1&amp;"-"&amp;ROW(AQ73),基本資料填寫!$C:$DU,COLUMN(基本資料填寫!CO74),0),"")</f>
        <v/>
      </c>
      <c r="R76" s="99" t="str">
        <f>IFERROR(VLOOKUP(基本資料填寫!$C$1&amp;"-"&amp;ROW(Y73),基本資料填寫!$C:$DU,COLUMN(基本資料填寫!AG74),0),"")</f>
        <v/>
      </c>
      <c r="S76" s="99" t="str">
        <f>IFERROR(VLOOKUP(基本資料填寫!$C$1&amp;"-"&amp;ROW(Z73),基本資料填寫!$C:$DU,COLUMN(基本資料填寫!AH74),0),"")</f>
        <v/>
      </c>
      <c r="AB76" s="115" t="str">
        <f>IFERROR(VLOOKUP(基本資料填寫!$C$1&amp;"-"&amp;ROW(BL73),基本資料填寫!$C:$DU,COLUMN(基本資料填寫!DK74),0),"")</f>
        <v/>
      </c>
      <c r="BG76" s="115" t="str">
        <f>IFERROR(VLOOKUP(基本資料填寫!$C$1&amp;"-"&amp;ROW(E73),基本資料填寫!$C:$DU,COLUMN(基本資料填寫!M74),0),"")</f>
        <v/>
      </c>
      <c r="BU76" s="115" t="str">
        <f>IFERROR(VLOOKUP(基本資料填寫!$C$1&amp;"-"&amp;ROW(O73),基本資料填寫!$C:$DU,COLUMN(基本資料填寫!W74),0),"")</f>
        <v/>
      </c>
      <c r="BV76" s="99" t="str">
        <f>IFERROR(VLOOKUP(基本資料填寫!$C$1&amp;"-"&amp;ROW(AA73),基本資料填寫!$C:$DU,COLUMN(基本資料填寫!AI74),0),"")</f>
        <v/>
      </c>
    </row>
    <row r="77" spans="1:74" ht="16.2" x14ac:dyDescent="0.3">
      <c r="A77" s="207"/>
      <c r="B77" s="114" t="str">
        <f>IF(I77="","",COUNTA($I$4:I77))</f>
        <v/>
      </c>
      <c r="C77" s="114" t="str">
        <f>IFERROR(VLOOKUP(基本資料填寫!$C$1&amp;"-"&amp;ROW(X74),基本資料填寫!$C:$DU,COLUMN(基本資料填寫!BV75),0),"")</f>
        <v/>
      </c>
      <c r="D77" s="99" t="str">
        <f>IFERROR(VLOOKUP(基本資料填寫!$C$1&amp;"-"&amp;ROW(D74),基本資料填寫!$C:$DU,COLUMN(基本資料填寫!L75),0),"")</f>
        <v/>
      </c>
      <c r="E77" s="115" t="str">
        <f>IFERROR(VLOOKUP(基本資料填寫!$C$1&amp;"-"&amp;ROW(AP74),基本資料填寫!$C:$DU,COLUMN(基本資料填寫!CN75),0),"")</f>
        <v/>
      </c>
      <c r="F77" s="114" t="str">
        <f>IFERROR(VLOOKUP(基本資料填寫!$C$1&amp;"-"&amp;ROW(I74),基本資料填寫!$C:$DU,COLUMN(基本資料填寫!Q75),0),"")</f>
        <v/>
      </c>
      <c r="G77" s="114" t="str">
        <f>IFERROR(VLOOKUP(基本資料填寫!$C$1&amp;"-"&amp;ROW(L74),基本資料填寫!$C:$DU,COLUMN(基本資料填寫!T75),0),"")</f>
        <v/>
      </c>
      <c r="H77" s="114" t="str">
        <f>IFERROR(VLOOKUP(基本資料填寫!$C$1&amp;"-"&amp;ROW(F74),基本資料填寫!$C:$DU,COLUMN(基本資料填寫!N75),0),"")</f>
        <v/>
      </c>
      <c r="I77" s="114" t="str">
        <f>IFERROR(VLOOKUP(基本資料填寫!$C$1&amp;"-"&amp;ROW(G74),基本資料填寫!$C:$DU,COLUMN(基本資料填寫!O75),0),"")</f>
        <v/>
      </c>
      <c r="J77" s="114" t="str">
        <f>IFERROR(VLOOKUP(基本資料填寫!$C$1&amp;"-"&amp;ROW(E74),基本資料填寫!$C:$DU,COLUMN(基本資料填寫!M75),0),"")</f>
        <v/>
      </c>
      <c r="K77" s="99" t="str">
        <f>IFERROR(VLOOKUP(基本資料填寫!$C$1&amp;"-"&amp;ROW(X74),基本資料填寫!$C:$DU,COLUMN(基本資料填寫!AF75),0),"")</f>
        <v/>
      </c>
      <c r="L77" s="115" t="str">
        <f>IFERROR(VLOOKUP(基本資料填寫!$C$1&amp;"-"&amp;ROW(AW74),基本資料填寫!$C:$DU,COLUMN(基本資料填寫!CU75),0),"")</f>
        <v/>
      </c>
      <c r="M77" s="115" t="str">
        <f>IFERROR(VLOOKUP(基本資料填寫!$C$1&amp;"-"&amp;ROW(AU74),基本資料填寫!$C:$DU,COLUMN(基本資料填寫!CS75),0),"")</f>
        <v/>
      </c>
      <c r="N77" s="115" t="str">
        <f>IFERROR(VLOOKUP(基本資料填寫!$C$1&amp;"-"&amp;ROW(AV74),基本資料填寫!$C:$DU,COLUMN(基本資料填寫!CT75),0),"")</f>
        <v/>
      </c>
      <c r="O77" s="115" t="str">
        <f>IFERROR(VLOOKUP(基本資料填寫!$C$1&amp;"-"&amp;ROW(N74),基本資料填寫!$C:$DU,COLUMN(基本資料填寫!V75),0),"")</f>
        <v/>
      </c>
      <c r="P77" s="115" t="str">
        <f>IFERROR(VLOOKUP(基本資料填寫!$C$1&amp;"-"&amp;ROW(AT74),基本資料填寫!$C:$DU,COLUMN(基本資料填寫!CR75),0),"")</f>
        <v/>
      </c>
      <c r="Q77" s="115" t="str">
        <f>IFERROR(VLOOKUP(基本資料填寫!$C$1&amp;"-"&amp;ROW(AQ74),基本資料填寫!$C:$DU,COLUMN(基本資料填寫!CO75),0),"")</f>
        <v/>
      </c>
      <c r="R77" s="99" t="str">
        <f>IFERROR(VLOOKUP(基本資料填寫!$C$1&amp;"-"&amp;ROW(Y74),基本資料填寫!$C:$DU,COLUMN(基本資料填寫!AG75),0),"")</f>
        <v/>
      </c>
      <c r="S77" s="99" t="str">
        <f>IFERROR(VLOOKUP(基本資料填寫!$C$1&amp;"-"&amp;ROW(Z74),基本資料填寫!$C:$DU,COLUMN(基本資料填寫!AH75),0),"")</f>
        <v/>
      </c>
      <c r="AB77" s="115" t="str">
        <f>IFERROR(VLOOKUP(基本資料填寫!$C$1&amp;"-"&amp;ROW(BL74),基本資料填寫!$C:$DU,COLUMN(基本資料填寫!DK75),0),"")</f>
        <v/>
      </c>
      <c r="BG77" s="115" t="str">
        <f>IFERROR(VLOOKUP(基本資料填寫!$C$1&amp;"-"&amp;ROW(E74),基本資料填寫!$C:$DU,COLUMN(基本資料填寫!M75),0),"")</f>
        <v/>
      </c>
      <c r="BU77" s="115" t="str">
        <f>IFERROR(VLOOKUP(基本資料填寫!$C$1&amp;"-"&amp;ROW(O74),基本資料填寫!$C:$DU,COLUMN(基本資料填寫!W75),0),"")</f>
        <v/>
      </c>
      <c r="BV77" s="99" t="str">
        <f>IFERROR(VLOOKUP(基本資料填寫!$C$1&amp;"-"&amp;ROW(AA74),基本資料填寫!$C:$DU,COLUMN(基本資料填寫!AI75),0),"")</f>
        <v/>
      </c>
    </row>
    <row r="78" spans="1:74" ht="16.2" x14ac:dyDescent="0.3">
      <c r="A78" s="207"/>
      <c r="B78" s="114" t="str">
        <f>IF(I78="","",COUNTA($I$4:I78))</f>
        <v/>
      </c>
      <c r="C78" s="114" t="str">
        <f>IFERROR(VLOOKUP(基本資料填寫!$C$1&amp;"-"&amp;ROW(X75),基本資料填寫!$C:$DU,COLUMN(基本資料填寫!BV76),0),"")</f>
        <v/>
      </c>
      <c r="D78" s="99" t="str">
        <f>IFERROR(VLOOKUP(基本資料填寫!$C$1&amp;"-"&amp;ROW(D75),基本資料填寫!$C:$DU,COLUMN(基本資料填寫!L76),0),"")</f>
        <v/>
      </c>
      <c r="E78" s="115" t="str">
        <f>IFERROR(VLOOKUP(基本資料填寫!$C$1&amp;"-"&amp;ROW(AP75),基本資料填寫!$C:$DU,COLUMN(基本資料填寫!CN76),0),"")</f>
        <v/>
      </c>
      <c r="F78" s="114" t="str">
        <f>IFERROR(VLOOKUP(基本資料填寫!$C$1&amp;"-"&amp;ROW(I75),基本資料填寫!$C:$DU,COLUMN(基本資料填寫!Q76),0),"")</f>
        <v/>
      </c>
      <c r="G78" s="114" t="str">
        <f>IFERROR(VLOOKUP(基本資料填寫!$C$1&amp;"-"&amp;ROW(L75),基本資料填寫!$C:$DU,COLUMN(基本資料填寫!T76),0),"")</f>
        <v/>
      </c>
      <c r="H78" s="114" t="str">
        <f>IFERROR(VLOOKUP(基本資料填寫!$C$1&amp;"-"&amp;ROW(F75),基本資料填寫!$C:$DU,COLUMN(基本資料填寫!N76),0),"")</f>
        <v/>
      </c>
      <c r="I78" s="114" t="str">
        <f>IFERROR(VLOOKUP(基本資料填寫!$C$1&amp;"-"&amp;ROW(G75),基本資料填寫!$C:$DU,COLUMN(基本資料填寫!O76),0),"")</f>
        <v/>
      </c>
      <c r="J78" s="114" t="str">
        <f>IFERROR(VLOOKUP(基本資料填寫!$C$1&amp;"-"&amp;ROW(E75),基本資料填寫!$C:$DU,COLUMN(基本資料填寫!M76),0),"")</f>
        <v/>
      </c>
      <c r="K78" s="99" t="str">
        <f>IFERROR(VLOOKUP(基本資料填寫!$C$1&amp;"-"&amp;ROW(X75),基本資料填寫!$C:$DU,COLUMN(基本資料填寫!AF76),0),"")</f>
        <v/>
      </c>
      <c r="L78" s="115" t="str">
        <f>IFERROR(VLOOKUP(基本資料填寫!$C$1&amp;"-"&amp;ROW(AW75),基本資料填寫!$C:$DU,COLUMN(基本資料填寫!CU76),0),"")</f>
        <v/>
      </c>
      <c r="M78" s="115" t="str">
        <f>IFERROR(VLOOKUP(基本資料填寫!$C$1&amp;"-"&amp;ROW(AU75),基本資料填寫!$C:$DU,COLUMN(基本資料填寫!CS76),0),"")</f>
        <v/>
      </c>
      <c r="N78" s="115" t="str">
        <f>IFERROR(VLOOKUP(基本資料填寫!$C$1&amp;"-"&amp;ROW(AV75),基本資料填寫!$C:$DU,COLUMN(基本資料填寫!CT76),0),"")</f>
        <v/>
      </c>
      <c r="O78" s="115" t="str">
        <f>IFERROR(VLOOKUP(基本資料填寫!$C$1&amp;"-"&amp;ROW(N75),基本資料填寫!$C:$DU,COLUMN(基本資料填寫!V76),0),"")</f>
        <v/>
      </c>
      <c r="P78" s="115" t="str">
        <f>IFERROR(VLOOKUP(基本資料填寫!$C$1&amp;"-"&amp;ROW(AT75),基本資料填寫!$C:$DU,COLUMN(基本資料填寫!CR76),0),"")</f>
        <v/>
      </c>
      <c r="Q78" s="115" t="str">
        <f>IFERROR(VLOOKUP(基本資料填寫!$C$1&amp;"-"&amp;ROW(AQ75),基本資料填寫!$C:$DU,COLUMN(基本資料填寫!CO76),0),"")</f>
        <v/>
      </c>
      <c r="R78" s="99" t="str">
        <f>IFERROR(VLOOKUP(基本資料填寫!$C$1&amp;"-"&amp;ROW(Y75),基本資料填寫!$C:$DU,COLUMN(基本資料填寫!AG76),0),"")</f>
        <v/>
      </c>
      <c r="S78" s="99" t="str">
        <f>IFERROR(VLOOKUP(基本資料填寫!$C$1&amp;"-"&amp;ROW(Z75),基本資料填寫!$C:$DU,COLUMN(基本資料填寫!AH76),0),"")</f>
        <v/>
      </c>
      <c r="AB78" s="115" t="str">
        <f>IFERROR(VLOOKUP(基本資料填寫!$C$1&amp;"-"&amp;ROW(BL75),基本資料填寫!$C:$DU,COLUMN(基本資料填寫!DK76),0),"")</f>
        <v/>
      </c>
      <c r="BG78" s="115" t="str">
        <f>IFERROR(VLOOKUP(基本資料填寫!$C$1&amp;"-"&amp;ROW(E75),基本資料填寫!$C:$DU,COLUMN(基本資料填寫!M76),0),"")</f>
        <v/>
      </c>
      <c r="BU78" s="115" t="str">
        <f>IFERROR(VLOOKUP(基本資料填寫!$C$1&amp;"-"&amp;ROW(O75),基本資料填寫!$C:$DU,COLUMN(基本資料填寫!W76),0),"")</f>
        <v/>
      </c>
      <c r="BV78" s="99" t="str">
        <f>IFERROR(VLOOKUP(基本資料填寫!$C$1&amp;"-"&amp;ROW(AA75),基本資料填寫!$C:$DU,COLUMN(基本資料填寫!AI76),0),"")</f>
        <v/>
      </c>
    </row>
    <row r="79" spans="1:74" ht="16.2" x14ac:dyDescent="0.3">
      <c r="A79" s="207"/>
      <c r="B79" s="114" t="str">
        <f>IF(I79="","",COUNTA($I$4:I79))</f>
        <v/>
      </c>
      <c r="C79" s="114" t="str">
        <f>IFERROR(VLOOKUP(基本資料填寫!$C$1&amp;"-"&amp;ROW(X76),基本資料填寫!$C:$DU,COLUMN(基本資料填寫!BV77),0),"")</f>
        <v/>
      </c>
      <c r="D79" s="99" t="str">
        <f>IFERROR(VLOOKUP(基本資料填寫!$C$1&amp;"-"&amp;ROW(D76),基本資料填寫!$C:$DU,COLUMN(基本資料填寫!L77),0),"")</f>
        <v/>
      </c>
      <c r="E79" s="115" t="str">
        <f>IFERROR(VLOOKUP(基本資料填寫!$C$1&amp;"-"&amp;ROW(AP76),基本資料填寫!$C:$DU,COLUMN(基本資料填寫!CN77),0),"")</f>
        <v/>
      </c>
      <c r="F79" s="114" t="str">
        <f>IFERROR(VLOOKUP(基本資料填寫!$C$1&amp;"-"&amp;ROW(I76),基本資料填寫!$C:$DU,COLUMN(基本資料填寫!Q77),0),"")</f>
        <v/>
      </c>
      <c r="G79" s="114" t="str">
        <f>IFERROR(VLOOKUP(基本資料填寫!$C$1&amp;"-"&amp;ROW(L76),基本資料填寫!$C:$DU,COLUMN(基本資料填寫!T77),0),"")</f>
        <v/>
      </c>
      <c r="H79" s="114" t="str">
        <f>IFERROR(VLOOKUP(基本資料填寫!$C$1&amp;"-"&amp;ROW(F76),基本資料填寫!$C:$DU,COLUMN(基本資料填寫!N77),0),"")</f>
        <v/>
      </c>
      <c r="I79" s="114" t="str">
        <f>IFERROR(VLOOKUP(基本資料填寫!$C$1&amp;"-"&amp;ROW(G76),基本資料填寫!$C:$DU,COLUMN(基本資料填寫!O77),0),"")</f>
        <v/>
      </c>
      <c r="J79" s="114" t="str">
        <f>IFERROR(VLOOKUP(基本資料填寫!$C$1&amp;"-"&amp;ROW(E76),基本資料填寫!$C:$DU,COLUMN(基本資料填寫!M77),0),"")</f>
        <v/>
      </c>
      <c r="K79" s="99" t="str">
        <f>IFERROR(VLOOKUP(基本資料填寫!$C$1&amp;"-"&amp;ROW(X76),基本資料填寫!$C:$DU,COLUMN(基本資料填寫!AF77),0),"")</f>
        <v/>
      </c>
      <c r="L79" s="115" t="str">
        <f>IFERROR(VLOOKUP(基本資料填寫!$C$1&amp;"-"&amp;ROW(AW76),基本資料填寫!$C:$DU,COLUMN(基本資料填寫!CU77),0),"")</f>
        <v/>
      </c>
      <c r="M79" s="115" t="str">
        <f>IFERROR(VLOOKUP(基本資料填寫!$C$1&amp;"-"&amp;ROW(AU76),基本資料填寫!$C:$DU,COLUMN(基本資料填寫!CS77),0),"")</f>
        <v/>
      </c>
      <c r="N79" s="115" t="str">
        <f>IFERROR(VLOOKUP(基本資料填寫!$C$1&amp;"-"&amp;ROW(AV76),基本資料填寫!$C:$DU,COLUMN(基本資料填寫!CT77),0),"")</f>
        <v/>
      </c>
      <c r="O79" s="115" t="str">
        <f>IFERROR(VLOOKUP(基本資料填寫!$C$1&amp;"-"&amp;ROW(N76),基本資料填寫!$C:$DU,COLUMN(基本資料填寫!V77),0),"")</f>
        <v/>
      </c>
      <c r="P79" s="115" t="str">
        <f>IFERROR(VLOOKUP(基本資料填寫!$C$1&amp;"-"&amp;ROW(AT76),基本資料填寫!$C:$DU,COLUMN(基本資料填寫!CR77),0),"")</f>
        <v/>
      </c>
      <c r="Q79" s="115" t="str">
        <f>IFERROR(VLOOKUP(基本資料填寫!$C$1&amp;"-"&amp;ROW(AQ76),基本資料填寫!$C:$DU,COLUMN(基本資料填寫!CO77),0),"")</f>
        <v/>
      </c>
      <c r="R79" s="99" t="str">
        <f>IFERROR(VLOOKUP(基本資料填寫!$C$1&amp;"-"&amp;ROW(Y76),基本資料填寫!$C:$DU,COLUMN(基本資料填寫!AG77),0),"")</f>
        <v/>
      </c>
      <c r="S79" s="99" t="str">
        <f>IFERROR(VLOOKUP(基本資料填寫!$C$1&amp;"-"&amp;ROW(Z76),基本資料填寫!$C:$DU,COLUMN(基本資料填寫!AH77),0),"")</f>
        <v/>
      </c>
      <c r="AB79" s="115" t="str">
        <f>IFERROR(VLOOKUP(基本資料填寫!$C$1&amp;"-"&amp;ROW(BL76),基本資料填寫!$C:$DU,COLUMN(基本資料填寫!DK77),0),"")</f>
        <v/>
      </c>
      <c r="BG79" s="115" t="str">
        <f>IFERROR(VLOOKUP(基本資料填寫!$C$1&amp;"-"&amp;ROW(E76),基本資料填寫!$C:$DU,COLUMN(基本資料填寫!M77),0),"")</f>
        <v/>
      </c>
      <c r="BU79" s="115" t="str">
        <f>IFERROR(VLOOKUP(基本資料填寫!$C$1&amp;"-"&amp;ROW(O76),基本資料填寫!$C:$DU,COLUMN(基本資料填寫!W77),0),"")</f>
        <v/>
      </c>
      <c r="BV79" s="99" t="str">
        <f>IFERROR(VLOOKUP(基本資料填寫!$C$1&amp;"-"&amp;ROW(AA76),基本資料填寫!$C:$DU,COLUMN(基本資料填寫!AI77),0),"")</f>
        <v/>
      </c>
    </row>
    <row r="80" spans="1:74" ht="16.2" x14ac:dyDescent="0.3">
      <c r="A80" s="207"/>
      <c r="B80" s="114" t="str">
        <f>IF(I80="","",COUNTA($I$4:I80))</f>
        <v/>
      </c>
      <c r="C80" s="114" t="str">
        <f>IFERROR(VLOOKUP(基本資料填寫!$C$1&amp;"-"&amp;ROW(X77),基本資料填寫!$C:$DU,COLUMN(基本資料填寫!BV78),0),"")</f>
        <v/>
      </c>
      <c r="D80" s="99" t="str">
        <f>IFERROR(VLOOKUP(基本資料填寫!$C$1&amp;"-"&amp;ROW(D77),基本資料填寫!$C:$DU,COLUMN(基本資料填寫!L78),0),"")</f>
        <v/>
      </c>
      <c r="E80" s="115" t="str">
        <f>IFERROR(VLOOKUP(基本資料填寫!$C$1&amp;"-"&amp;ROW(AP77),基本資料填寫!$C:$DU,COLUMN(基本資料填寫!CN78),0),"")</f>
        <v/>
      </c>
      <c r="F80" s="114" t="str">
        <f>IFERROR(VLOOKUP(基本資料填寫!$C$1&amp;"-"&amp;ROW(I77),基本資料填寫!$C:$DU,COLUMN(基本資料填寫!Q78),0),"")</f>
        <v/>
      </c>
      <c r="G80" s="114" t="str">
        <f>IFERROR(VLOOKUP(基本資料填寫!$C$1&amp;"-"&amp;ROW(L77),基本資料填寫!$C:$DU,COLUMN(基本資料填寫!T78),0),"")</f>
        <v/>
      </c>
      <c r="H80" s="114" t="str">
        <f>IFERROR(VLOOKUP(基本資料填寫!$C$1&amp;"-"&amp;ROW(F77),基本資料填寫!$C:$DU,COLUMN(基本資料填寫!N78),0),"")</f>
        <v/>
      </c>
      <c r="I80" s="114" t="str">
        <f>IFERROR(VLOOKUP(基本資料填寫!$C$1&amp;"-"&amp;ROW(G77),基本資料填寫!$C:$DU,COLUMN(基本資料填寫!O78),0),"")</f>
        <v/>
      </c>
      <c r="J80" s="114" t="str">
        <f>IFERROR(VLOOKUP(基本資料填寫!$C$1&amp;"-"&amp;ROW(E77),基本資料填寫!$C:$DU,COLUMN(基本資料填寫!M78),0),"")</f>
        <v/>
      </c>
      <c r="K80" s="99" t="str">
        <f>IFERROR(VLOOKUP(基本資料填寫!$C$1&amp;"-"&amp;ROW(X77),基本資料填寫!$C:$DU,COLUMN(基本資料填寫!AF78),0),"")</f>
        <v/>
      </c>
      <c r="L80" s="115" t="str">
        <f>IFERROR(VLOOKUP(基本資料填寫!$C$1&amp;"-"&amp;ROW(AW77),基本資料填寫!$C:$DU,COLUMN(基本資料填寫!CU78),0),"")</f>
        <v/>
      </c>
      <c r="M80" s="115" t="str">
        <f>IFERROR(VLOOKUP(基本資料填寫!$C$1&amp;"-"&amp;ROW(AU77),基本資料填寫!$C:$DU,COLUMN(基本資料填寫!CS78),0),"")</f>
        <v/>
      </c>
      <c r="N80" s="115" t="str">
        <f>IFERROR(VLOOKUP(基本資料填寫!$C$1&amp;"-"&amp;ROW(AV77),基本資料填寫!$C:$DU,COLUMN(基本資料填寫!CT78),0),"")</f>
        <v/>
      </c>
      <c r="O80" s="115" t="str">
        <f>IFERROR(VLOOKUP(基本資料填寫!$C$1&amp;"-"&amp;ROW(N77),基本資料填寫!$C:$DU,COLUMN(基本資料填寫!V78),0),"")</f>
        <v/>
      </c>
      <c r="P80" s="115" t="str">
        <f>IFERROR(VLOOKUP(基本資料填寫!$C$1&amp;"-"&amp;ROW(AT77),基本資料填寫!$C:$DU,COLUMN(基本資料填寫!CR78),0),"")</f>
        <v/>
      </c>
      <c r="Q80" s="115" t="str">
        <f>IFERROR(VLOOKUP(基本資料填寫!$C$1&amp;"-"&amp;ROW(AQ77),基本資料填寫!$C:$DU,COLUMN(基本資料填寫!CO78),0),"")</f>
        <v/>
      </c>
      <c r="R80" s="99" t="str">
        <f>IFERROR(VLOOKUP(基本資料填寫!$C$1&amp;"-"&amp;ROW(Y77),基本資料填寫!$C:$DU,COLUMN(基本資料填寫!AG78),0),"")</f>
        <v/>
      </c>
      <c r="S80" s="99" t="str">
        <f>IFERROR(VLOOKUP(基本資料填寫!$C$1&amp;"-"&amp;ROW(Z77),基本資料填寫!$C:$DU,COLUMN(基本資料填寫!AH78),0),"")</f>
        <v/>
      </c>
      <c r="AB80" s="115" t="str">
        <f>IFERROR(VLOOKUP(基本資料填寫!$C$1&amp;"-"&amp;ROW(BL77),基本資料填寫!$C:$DU,COLUMN(基本資料填寫!DK78),0),"")</f>
        <v/>
      </c>
      <c r="BG80" s="115" t="str">
        <f>IFERROR(VLOOKUP(基本資料填寫!$C$1&amp;"-"&amp;ROW(E77),基本資料填寫!$C:$DU,COLUMN(基本資料填寫!M78),0),"")</f>
        <v/>
      </c>
      <c r="BU80" s="115" t="str">
        <f>IFERROR(VLOOKUP(基本資料填寫!$C$1&amp;"-"&amp;ROW(O77),基本資料填寫!$C:$DU,COLUMN(基本資料填寫!W78),0),"")</f>
        <v/>
      </c>
      <c r="BV80" s="99" t="str">
        <f>IFERROR(VLOOKUP(基本資料填寫!$C$1&amp;"-"&amp;ROW(AA77),基本資料填寫!$C:$DU,COLUMN(基本資料填寫!AI78),0),"")</f>
        <v/>
      </c>
    </row>
    <row r="81" spans="1:74" ht="16.2" x14ac:dyDescent="0.3">
      <c r="A81" s="207"/>
      <c r="B81" s="114" t="str">
        <f>IF(I81="","",COUNTA($I$4:I81))</f>
        <v/>
      </c>
      <c r="C81" s="114" t="str">
        <f>IFERROR(VLOOKUP(基本資料填寫!$C$1&amp;"-"&amp;ROW(X78),基本資料填寫!$C:$DU,COLUMN(基本資料填寫!BV79),0),"")</f>
        <v/>
      </c>
      <c r="D81" s="99" t="str">
        <f>IFERROR(VLOOKUP(基本資料填寫!$C$1&amp;"-"&amp;ROW(D78),基本資料填寫!$C:$DU,COLUMN(基本資料填寫!L79),0),"")</f>
        <v/>
      </c>
      <c r="E81" s="115" t="str">
        <f>IFERROR(VLOOKUP(基本資料填寫!$C$1&amp;"-"&amp;ROW(AP78),基本資料填寫!$C:$DU,COLUMN(基本資料填寫!CN79),0),"")</f>
        <v/>
      </c>
      <c r="F81" s="114" t="str">
        <f>IFERROR(VLOOKUP(基本資料填寫!$C$1&amp;"-"&amp;ROW(I78),基本資料填寫!$C:$DU,COLUMN(基本資料填寫!Q79),0),"")</f>
        <v/>
      </c>
      <c r="G81" s="114" t="str">
        <f>IFERROR(VLOOKUP(基本資料填寫!$C$1&amp;"-"&amp;ROW(L78),基本資料填寫!$C:$DU,COLUMN(基本資料填寫!T79),0),"")</f>
        <v/>
      </c>
      <c r="H81" s="114" t="str">
        <f>IFERROR(VLOOKUP(基本資料填寫!$C$1&amp;"-"&amp;ROW(F78),基本資料填寫!$C:$DU,COLUMN(基本資料填寫!N79),0),"")</f>
        <v/>
      </c>
      <c r="I81" s="114" t="str">
        <f>IFERROR(VLOOKUP(基本資料填寫!$C$1&amp;"-"&amp;ROW(G78),基本資料填寫!$C:$DU,COLUMN(基本資料填寫!O79),0),"")</f>
        <v/>
      </c>
      <c r="J81" s="114" t="str">
        <f>IFERROR(VLOOKUP(基本資料填寫!$C$1&amp;"-"&amp;ROW(E78),基本資料填寫!$C:$DU,COLUMN(基本資料填寫!M79),0),"")</f>
        <v/>
      </c>
      <c r="K81" s="99" t="str">
        <f>IFERROR(VLOOKUP(基本資料填寫!$C$1&amp;"-"&amp;ROW(X78),基本資料填寫!$C:$DU,COLUMN(基本資料填寫!AF79),0),"")</f>
        <v/>
      </c>
      <c r="L81" s="115" t="str">
        <f>IFERROR(VLOOKUP(基本資料填寫!$C$1&amp;"-"&amp;ROW(AW78),基本資料填寫!$C:$DU,COLUMN(基本資料填寫!CU79),0),"")</f>
        <v/>
      </c>
      <c r="M81" s="115" t="str">
        <f>IFERROR(VLOOKUP(基本資料填寫!$C$1&amp;"-"&amp;ROW(AU78),基本資料填寫!$C:$DU,COLUMN(基本資料填寫!CS79),0),"")</f>
        <v/>
      </c>
      <c r="N81" s="115" t="str">
        <f>IFERROR(VLOOKUP(基本資料填寫!$C$1&amp;"-"&amp;ROW(AV78),基本資料填寫!$C:$DU,COLUMN(基本資料填寫!CT79),0),"")</f>
        <v/>
      </c>
      <c r="O81" s="115" t="str">
        <f>IFERROR(VLOOKUP(基本資料填寫!$C$1&amp;"-"&amp;ROW(N78),基本資料填寫!$C:$DU,COLUMN(基本資料填寫!V79),0),"")</f>
        <v/>
      </c>
      <c r="P81" s="115" t="str">
        <f>IFERROR(VLOOKUP(基本資料填寫!$C$1&amp;"-"&amp;ROW(AT78),基本資料填寫!$C:$DU,COLUMN(基本資料填寫!CR79),0),"")</f>
        <v/>
      </c>
      <c r="Q81" s="115" t="str">
        <f>IFERROR(VLOOKUP(基本資料填寫!$C$1&amp;"-"&amp;ROW(AQ78),基本資料填寫!$C:$DU,COLUMN(基本資料填寫!CO79),0),"")</f>
        <v/>
      </c>
      <c r="R81" s="99" t="str">
        <f>IFERROR(VLOOKUP(基本資料填寫!$C$1&amp;"-"&amp;ROW(Y78),基本資料填寫!$C:$DU,COLUMN(基本資料填寫!AG79),0),"")</f>
        <v/>
      </c>
      <c r="S81" s="99" t="str">
        <f>IFERROR(VLOOKUP(基本資料填寫!$C$1&amp;"-"&amp;ROW(Z78),基本資料填寫!$C:$DU,COLUMN(基本資料填寫!AH79),0),"")</f>
        <v/>
      </c>
      <c r="AB81" s="115" t="str">
        <f>IFERROR(VLOOKUP(基本資料填寫!$C$1&amp;"-"&amp;ROW(BL78),基本資料填寫!$C:$DU,COLUMN(基本資料填寫!DK79),0),"")</f>
        <v/>
      </c>
      <c r="BG81" s="115" t="str">
        <f>IFERROR(VLOOKUP(基本資料填寫!$C$1&amp;"-"&amp;ROW(E78),基本資料填寫!$C:$DU,COLUMN(基本資料填寫!M79),0),"")</f>
        <v/>
      </c>
      <c r="BU81" s="115" t="str">
        <f>IFERROR(VLOOKUP(基本資料填寫!$C$1&amp;"-"&amp;ROW(O78),基本資料填寫!$C:$DU,COLUMN(基本資料填寫!W79),0),"")</f>
        <v/>
      </c>
      <c r="BV81" s="99" t="str">
        <f>IFERROR(VLOOKUP(基本資料填寫!$C$1&amp;"-"&amp;ROW(AA78),基本資料填寫!$C:$DU,COLUMN(基本資料填寫!AI79),0),"")</f>
        <v/>
      </c>
    </row>
    <row r="82" spans="1:74" ht="16.2" x14ac:dyDescent="0.3">
      <c r="A82" s="207"/>
      <c r="B82" s="114" t="str">
        <f>IF(I82="","",COUNTA($I$4:I82))</f>
        <v/>
      </c>
      <c r="C82" s="114" t="str">
        <f>IFERROR(VLOOKUP(基本資料填寫!$C$1&amp;"-"&amp;ROW(X79),基本資料填寫!$C:$DU,COLUMN(基本資料填寫!BV80),0),"")</f>
        <v/>
      </c>
      <c r="D82" s="99" t="str">
        <f>IFERROR(VLOOKUP(基本資料填寫!$C$1&amp;"-"&amp;ROW(D79),基本資料填寫!$C:$DU,COLUMN(基本資料填寫!L80),0),"")</f>
        <v/>
      </c>
      <c r="E82" s="115" t="str">
        <f>IFERROR(VLOOKUP(基本資料填寫!$C$1&amp;"-"&amp;ROW(AP79),基本資料填寫!$C:$DU,COLUMN(基本資料填寫!CN80),0),"")</f>
        <v/>
      </c>
      <c r="F82" s="114" t="str">
        <f>IFERROR(VLOOKUP(基本資料填寫!$C$1&amp;"-"&amp;ROW(I79),基本資料填寫!$C:$DU,COLUMN(基本資料填寫!Q80),0),"")</f>
        <v/>
      </c>
      <c r="G82" s="114" t="str">
        <f>IFERROR(VLOOKUP(基本資料填寫!$C$1&amp;"-"&amp;ROW(L79),基本資料填寫!$C:$DU,COLUMN(基本資料填寫!T80),0),"")</f>
        <v/>
      </c>
      <c r="H82" s="114" t="str">
        <f>IFERROR(VLOOKUP(基本資料填寫!$C$1&amp;"-"&amp;ROW(F79),基本資料填寫!$C:$DU,COLUMN(基本資料填寫!N80),0),"")</f>
        <v/>
      </c>
      <c r="I82" s="114" t="str">
        <f>IFERROR(VLOOKUP(基本資料填寫!$C$1&amp;"-"&amp;ROW(G79),基本資料填寫!$C:$DU,COLUMN(基本資料填寫!O80),0),"")</f>
        <v/>
      </c>
      <c r="J82" s="114" t="str">
        <f>IFERROR(VLOOKUP(基本資料填寫!$C$1&amp;"-"&amp;ROW(E79),基本資料填寫!$C:$DU,COLUMN(基本資料填寫!M80),0),"")</f>
        <v/>
      </c>
      <c r="K82" s="99" t="str">
        <f>IFERROR(VLOOKUP(基本資料填寫!$C$1&amp;"-"&amp;ROW(X79),基本資料填寫!$C:$DU,COLUMN(基本資料填寫!AF80),0),"")</f>
        <v/>
      </c>
      <c r="L82" s="115" t="str">
        <f>IFERROR(VLOOKUP(基本資料填寫!$C$1&amp;"-"&amp;ROW(AW79),基本資料填寫!$C:$DU,COLUMN(基本資料填寫!CU80),0),"")</f>
        <v/>
      </c>
      <c r="M82" s="115" t="str">
        <f>IFERROR(VLOOKUP(基本資料填寫!$C$1&amp;"-"&amp;ROW(AU79),基本資料填寫!$C:$DU,COLUMN(基本資料填寫!CS80),0),"")</f>
        <v/>
      </c>
      <c r="N82" s="115" t="str">
        <f>IFERROR(VLOOKUP(基本資料填寫!$C$1&amp;"-"&amp;ROW(AV79),基本資料填寫!$C:$DU,COLUMN(基本資料填寫!CT80),0),"")</f>
        <v/>
      </c>
      <c r="O82" s="115" t="str">
        <f>IFERROR(VLOOKUP(基本資料填寫!$C$1&amp;"-"&amp;ROW(N79),基本資料填寫!$C:$DU,COLUMN(基本資料填寫!V80),0),"")</f>
        <v/>
      </c>
      <c r="P82" s="115" t="str">
        <f>IFERROR(VLOOKUP(基本資料填寫!$C$1&amp;"-"&amp;ROW(AT79),基本資料填寫!$C:$DU,COLUMN(基本資料填寫!CR80),0),"")</f>
        <v/>
      </c>
      <c r="Q82" s="115" t="str">
        <f>IFERROR(VLOOKUP(基本資料填寫!$C$1&amp;"-"&amp;ROW(AQ79),基本資料填寫!$C:$DU,COLUMN(基本資料填寫!CO80),0),"")</f>
        <v/>
      </c>
      <c r="R82" s="99" t="str">
        <f>IFERROR(VLOOKUP(基本資料填寫!$C$1&amp;"-"&amp;ROW(Y79),基本資料填寫!$C:$DU,COLUMN(基本資料填寫!AG80),0),"")</f>
        <v/>
      </c>
      <c r="S82" s="99" t="str">
        <f>IFERROR(VLOOKUP(基本資料填寫!$C$1&amp;"-"&amp;ROW(Z79),基本資料填寫!$C:$DU,COLUMN(基本資料填寫!AH80),0),"")</f>
        <v/>
      </c>
      <c r="AB82" s="115" t="str">
        <f>IFERROR(VLOOKUP(基本資料填寫!$C$1&amp;"-"&amp;ROW(BL79),基本資料填寫!$C:$DU,COLUMN(基本資料填寫!DK80),0),"")</f>
        <v/>
      </c>
      <c r="BG82" s="115" t="str">
        <f>IFERROR(VLOOKUP(基本資料填寫!$C$1&amp;"-"&amp;ROW(E79),基本資料填寫!$C:$DU,COLUMN(基本資料填寫!M80),0),"")</f>
        <v/>
      </c>
      <c r="BU82" s="115" t="str">
        <f>IFERROR(VLOOKUP(基本資料填寫!$C$1&amp;"-"&amp;ROW(O79),基本資料填寫!$C:$DU,COLUMN(基本資料填寫!W80),0),"")</f>
        <v/>
      </c>
      <c r="BV82" s="99" t="str">
        <f>IFERROR(VLOOKUP(基本資料填寫!$C$1&amp;"-"&amp;ROW(AA79),基本資料填寫!$C:$DU,COLUMN(基本資料填寫!AI80),0),"")</f>
        <v/>
      </c>
    </row>
    <row r="83" spans="1:74" ht="16.2" x14ac:dyDescent="0.3">
      <c r="A83" s="207"/>
      <c r="B83" s="114" t="str">
        <f>IF(I83="","",COUNTA($I$4:I83))</f>
        <v/>
      </c>
      <c r="C83" s="114" t="str">
        <f>IFERROR(VLOOKUP(基本資料填寫!$C$1&amp;"-"&amp;ROW(X80),基本資料填寫!$C:$DU,COLUMN(基本資料填寫!BV81),0),"")</f>
        <v/>
      </c>
      <c r="D83" s="99" t="str">
        <f>IFERROR(VLOOKUP(基本資料填寫!$C$1&amp;"-"&amp;ROW(D80),基本資料填寫!$C:$DU,COLUMN(基本資料填寫!L81),0),"")</f>
        <v/>
      </c>
      <c r="E83" s="115" t="str">
        <f>IFERROR(VLOOKUP(基本資料填寫!$C$1&amp;"-"&amp;ROW(AP80),基本資料填寫!$C:$DU,COLUMN(基本資料填寫!CN81),0),"")</f>
        <v/>
      </c>
      <c r="F83" s="114" t="str">
        <f>IFERROR(VLOOKUP(基本資料填寫!$C$1&amp;"-"&amp;ROW(I80),基本資料填寫!$C:$DU,COLUMN(基本資料填寫!Q81),0),"")</f>
        <v/>
      </c>
      <c r="G83" s="114" t="str">
        <f>IFERROR(VLOOKUP(基本資料填寫!$C$1&amp;"-"&amp;ROW(L80),基本資料填寫!$C:$DU,COLUMN(基本資料填寫!T81),0),"")</f>
        <v/>
      </c>
      <c r="H83" s="114" t="str">
        <f>IFERROR(VLOOKUP(基本資料填寫!$C$1&amp;"-"&amp;ROW(F80),基本資料填寫!$C:$DU,COLUMN(基本資料填寫!N81),0),"")</f>
        <v/>
      </c>
      <c r="I83" s="114" t="str">
        <f>IFERROR(VLOOKUP(基本資料填寫!$C$1&amp;"-"&amp;ROW(G80),基本資料填寫!$C:$DU,COLUMN(基本資料填寫!O81),0),"")</f>
        <v/>
      </c>
      <c r="J83" s="114" t="str">
        <f>IFERROR(VLOOKUP(基本資料填寫!$C$1&amp;"-"&amp;ROW(E80),基本資料填寫!$C:$DU,COLUMN(基本資料填寫!M81),0),"")</f>
        <v/>
      </c>
      <c r="K83" s="99" t="str">
        <f>IFERROR(VLOOKUP(基本資料填寫!$C$1&amp;"-"&amp;ROW(X80),基本資料填寫!$C:$DU,COLUMN(基本資料填寫!AF81),0),"")</f>
        <v/>
      </c>
      <c r="L83" s="115" t="str">
        <f>IFERROR(VLOOKUP(基本資料填寫!$C$1&amp;"-"&amp;ROW(AW80),基本資料填寫!$C:$DU,COLUMN(基本資料填寫!CU81),0),"")</f>
        <v/>
      </c>
      <c r="M83" s="115" t="str">
        <f>IFERROR(VLOOKUP(基本資料填寫!$C$1&amp;"-"&amp;ROW(AU80),基本資料填寫!$C:$DU,COLUMN(基本資料填寫!CS81),0),"")</f>
        <v/>
      </c>
      <c r="N83" s="115" t="str">
        <f>IFERROR(VLOOKUP(基本資料填寫!$C$1&amp;"-"&amp;ROW(AV80),基本資料填寫!$C:$DU,COLUMN(基本資料填寫!CT81),0),"")</f>
        <v/>
      </c>
      <c r="O83" s="115" t="str">
        <f>IFERROR(VLOOKUP(基本資料填寫!$C$1&amp;"-"&amp;ROW(N80),基本資料填寫!$C:$DU,COLUMN(基本資料填寫!V81),0),"")</f>
        <v/>
      </c>
      <c r="P83" s="115" t="str">
        <f>IFERROR(VLOOKUP(基本資料填寫!$C$1&amp;"-"&amp;ROW(AT80),基本資料填寫!$C:$DU,COLUMN(基本資料填寫!CR81),0),"")</f>
        <v/>
      </c>
      <c r="Q83" s="115" t="str">
        <f>IFERROR(VLOOKUP(基本資料填寫!$C$1&amp;"-"&amp;ROW(AQ80),基本資料填寫!$C:$DU,COLUMN(基本資料填寫!CO81),0),"")</f>
        <v/>
      </c>
      <c r="R83" s="99" t="str">
        <f>IFERROR(VLOOKUP(基本資料填寫!$C$1&amp;"-"&amp;ROW(Y80),基本資料填寫!$C:$DU,COLUMN(基本資料填寫!AG81),0),"")</f>
        <v/>
      </c>
      <c r="S83" s="99" t="str">
        <f>IFERROR(VLOOKUP(基本資料填寫!$C$1&amp;"-"&amp;ROW(Z80),基本資料填寫!$C:$DU,COLUMN(基本資料填寫!AH81),0),"")</f>
        <v/>
      </c>
      <c r="AB83" s="115" t="str">
        <f>IFERROR(VLOOKUP(基本資料填寫!$C$1&amp;"-"&amp;ROW(BL80),基本資料填寫!$C:$DU,COLUMN(基本資料填寫!DK81),0),"")</f>
        <v/>
      </c>
      <c r="BG83" s="115" t="str">
        <f>IFERROR(VLOOKUP(基本資料填寫!$C$1&amp;"-"&amp;ROW(E80),基本資料填寫!$C:$DU,COLUMN(基本資料填寫!M81),0),"")</f>
        <v/>
      </c>
      <c r="BU83" s="115" t="str">
        <f>IFERROR(VLOOKUP(基本資料填寫!$C$1&amp;"-"&amp;ROW(O80),基本資料填寫!$C:$DU,COLUMN(基本資料填寫!W81),0),"")</f>
        <v/>
      </c>
      <c r="BV83" s="99" t="str">
        <f>IFERROR(VLOOKUP(基本資料填寫!$C$1&amp;"-"&amp;ROW(AA80),基本資料填寫!$C:$DU,COLUMN(基本資料填寫!AI81),0),"")</f>
        <v/>
      </c>
    </row>
    <row r="84" spans="1:74" ht="16.2" x14ac:dyDescent="0.3">
      <c r="A84" s="207"/>
      <c r="B84" s="114" t="str">
        <f>IF(I84="","",COUNTA($I$4:I84))</f>
        <v/>
      </c>
      <c r="C84" s="114" t="str">
        <f>IFERROR(VLOOKUP(基本資料填寫!$C$1&amp;"-"&amp;ROW(X81),基本資料填寫!$C:$DU,COLUMN(基本資料填寫!BV82),0),"")</f>
        <v/>
      </c>
      <c r="D84" s="99" t="str">
        <f>IFERROR(VLOOKUP(基本資料填寫!$C$1&amp;"-"&amp;ROW(D81),基本資料填寫!$C:$DU,COLUMN(基本資料填寫!L82),0),"")</f>
        <v/>
      </c>
      <c r="E84" s="115" t="str">
        <f>IFERROR(VLOOKUP(基本資料填寫!$C$1&amp;"-"&amp;ROW(AP81),基本資料填寫!$C:$DU,COLUMN(基本資料填寫!CN82),0),"")</f>
        <v/>
      </c>
      <c r="F84" s="114" t="str">
        <f>IFERROR(VLOOKUP(基本資料填寫!$C$1&amp;"-"&amp;ROW(I81),基本資料填寫!$C:$DU,COLUMN(基本資料填寫!Q82),0),"")</f>
        <v/>
      </c>
      <c r="G84" s="114" t="str">
        <f>IFERROR(VLOOKUP(基本資料填寫!$C$1&amp;"-"&amp;ROW(L81),基本資料填寫!$C:$DU,COLUMN(基本資料填寫!T82),0),"")</f>
        <v/>
      </c>
      <c r="H84" s="114" t="str">
        <f>IFERROR(VLOOKUP(基本資料填寫!$C$1&amp;"-"&amp;ROW(F81),基本資料填寫!$C:$DU,COLUMN(基本資料填寫!N82),0),"")</f>
        <v/>
      </c>
      <c r="I84" s="114" t="str">
        <f>IFERROR(VLOOKUP(基本資料填寫!$C$1&amp;"-"&amp;ROW(G81),基本資料填寫!$C:$DU,COLUMN(基本資料填寫!O82),0),"")</f>
        <v/>
      </c>
      <c r="J84" s="114" t="str">
        <f>IFERROR(VLOOKUP(基本資料填寫!$C$1&amp;"-"&amp;ROW(E81),基本資料填寫!$C:$DU,COLUMN(基本資料填寫!M82),0),"")</f>
        <v/>
      </c>
      <c r="K84" s="99" t="str">
        <f>IFERROR(VLOOKUP(基本資料填寫!$C$1&amp;"-"&amp;ROW(X81),基本資料填寫!$C:$DU,COLUMN(基本資料填寫!AF82),0),"")</f>
        <v/>
      </c>
      <c r="L84" s="115" t="str">
        <f>IFERROR(VLOOKUP(基本資料填寫!$C$1&amp;"-"&amp;ROW(AW81),基本資料填寫!$C:$DU,COLUMN(基本資料填寫!CU82),0),"")</f>
        <v/>
      </c>
      <c r="M84" s="115" t="str">
        <f>IFERROR(VLOOKUP(基本資料填寫!$C$1&amp;"-"&amp;ROW(AU81),基本資料填寫!$C:$DU,COLUMN(基本資料填寫!CS82),0),"")</f>
        <v/>
      </c>
      <c r="N84" s="115" t="str">
        <f>IFERROR(VLOOKUP(基本資料填寫!$C$1&amp;"-"&amp;ROW(AV81),基本資料填寫!$C:$DU,COLUMN(基本資料填寫!CT82),0),"")</f>
        <v/>
      </c>
      <c r="O84" s="115" t="str">
        <f>IFERROR(VLOOKUP(基本資料填寫!$C$1&amp;"-"&amp;ROW(N81),基本資料填寫!$C:$DU,COLUMN(基本資料填寫!V82),0),"")</f>
        <v/>
      </c>
      <c r="P84" s="115" t="str">
        <f>IFERROR(VLOOKUP(基本資料填寫!$C$1&amp;"-"&amp;ROW(AT81),基本資料填寫!$C:$DU,COLUMN(基本資料填寫!CR82),0),"")</f>
        <v/>
      </c>
      <c r="Q84" s="115" t="str">
        <f>IFERROR(VLOOKUP(基本資料填寫!$C$1&amp;"-"&amp;ROW(AQ81),基本資料填寫!$C:$DU,COLUMN(基本資料填寫!CO82),0),"")</f>
        <v/>
      </c>
      <c r="R84" s="99" t="str">
        <f>IFERROR(VLOOKUP(基本資料填寫!$C$1&amp;"-"&amp;ROW(Y81),基本資料填寫!$C:$DU,COLUMN(基本資料填寫!AG82),0),"")</f>
        <v/>
      </c>
      <c r="S84" s="99" t="str">
        <f>IFERROR(VLOOKUP(基本資料填寫!$C$1&amp;"-"&amp;ROW(Z81),基本資料填寫!$C:$DU,COLUMN(基本資料填寫!AH82),0),"")</f>
        <v/>
      </c>
      <c r="AB84" s="115" t="str">
        <f>IFERROR(VLOOKUP(基本資料填寫!$C$1&amp;"-"&amp;ROW(BL81),基本資料填寫!$C:$DU,COLUMN(基本資料填寫!DK82),0),"")</f>
        <v/>
      </c>
      <c r="BG84" s="115" t="str">
        <f>IFERROR(VLOOKUP(基本資料填寫!$C$1&amp;"-"&amp;ROW(E81),基本資料填寫!$C:$DU,COLUMN(基本資料填寫!M82),0),"")</f>
        <v/>
      </c>
      <c r="BU84" s="115" t="str">
        <f>IFERROR(VLOOKUP(基本資料填寫!$C$1&amp;"-"&amp;ROW(O81),基本資料填寫!$C:$DU,COLUMN(基本資料填寫!W82),0),"")</f>
        <v/>
      </c>
      <c r="BV84" s="99" t="str">
        <f>IFERROR(VLOOKUP(基本資料填寫!$C$1&amp;"-"&amp;ROW(AA81),基本資料填寫!$C:$DU,COLUMN(基本資料填寫!AI82),0),"")</f>
        <v/>
      </c>
    </row>
    <row r="85" spans="1:74" ht="16.2" x14ac:dyDescent="0.3">
      <c r="A85" s="207"/>
      <c r="B85" s="114" t="str">
        <f>IF(I85="","",COUNTA($I$4:I85))</f>
        <v/>
      </c>
      <c r="C85" s="114" t="str">
        <f>IFERROR(VLOOKUP(基本資料填寫!$C$1&amp;"-"&amp;ROW(X82),基本資料填寫!$C:$DU,COLUMN(基本資料填寫!BV83),0),"")</f>
        <v/>
      </c>
      <c r="D85" s="99" t="str">
        <f>IFERROR(VLOOKUP(基本資料填寫!$C$1&amp;"-"&amp;ROW(D82),基本資料填寫!$C:$DU,COLUMN(基本資料填寫!L83),0),"")</f>
        <v/>
      </c>
      <c r="E85" s="115" t="str">
        <f>IFERROR(VLOOKUP(基本資料填寫!$C$1&amp;"-"&amp;ROW(AP82),基本資料填寫!$C:$DU,COLUMN(基本資料填寫!CN83),0),"")</f>
        <v/>
      </c>
      <c r="F85" s="114" t="str">
        <f>IFERROR(VLOOKUP(基本資料填寫!$C$1&amp;"-"&amp;ROW(I82),基本資料填寫!$C:$DU,COLUMN(基本資料填寫!Q83),0),"")</f>
        <v/>
      </c>
      <c r="G85" s="114" t="str">
        <f>IFERROR(VLOOKUP(基本資料填寫!$C$1&amp;"-"&amp;ROW(L82),基本資料填寫!$C:$DU,COLUMN(基本資料填寫!T83),0),"")</f>
        <v/>
      </c>
      <c r="H85" s="114" t="str">
        <f>IFERROR(VLOOKUP(基本資料填寫!$C$1&amp;"-"&amp;ROW(F82),基本資料填寫!$C:$DU,COLUMN(基本資料填寫!N83),0),"")</f>
        <v/>
      </c>
      <c r="I85" s="114" t="str">
        <f>IFERROR(VLOOKUP(基本資料填寫!$C$1&amp;"-"&amp;ROW(G82),基本資料填寫!$C:$DU,COLUMN(基本資料填寫!O83),0),"")</f>
        <v/>
      </c>
      <c r="J85" s="114" t="str">
        <f>IFERROR(VLOOKUP(基本資料填寫!$C$1&amp;"-"&amp;ROW(E82),基本資料填寫!$C:$DU,COLUMN(基本資料填寫!M83),0),"")</f>
        <v/>
      </c>
      <c r="K85" s="99" t="str">
        <f>IFERROR(VLOOKUP(基本資料填寫!$C$1&amp;"-"&amp;ROW(X82),基本資料填寫!$C:$DU,COLUMN(基本資料填寫!AF83),0),"")</f>
        <v/>
      </c>
      <c r="L85" s="115" t="str">
        <f>IFERROR(VLOOKUP(基本資料填寫!$C$1&amp;"-"&amp;ROW(AW82),基本資料填寫!$C:$DU,COLUMN(基本資料填寫!CU83),0),"")</f>
        <v/>
      </c>
      <c r="M85" s="115" t="str">
        <f>IFERROR(VLOOKUP(基本資料填寫!$C$1&amp;"-"&amp;ROW(AU82),基本資料填寫!$C:$DU,COLUMN(基本資料填寫!CS83),0),"")</f>
        <v/>
      </c>
      <c r="N85" s="115" t="str">
        <f>IFERROR(VLOOKUP(基本資料填寫!$C$1&amp;"-"&amp;ROW(AV82),基本資料填寫!$C:$DU,COLUMN(基本資料填寫!CT83),0),"")</f>
        <v/>
      </c>
      <c r="O85" s="115" t="str">
        <f>IFERROR(VLOOKUP(基本資料填寫!$C$1&amp;"-"&amp;ROW(N82),基本資料填寫!$C:$DU,COLUMN(基本資料填寫!V83),0),"")</f>
        <v/>
      </c>
      <c r="P85" s="115" t="str">
        <f>IFERROR(VLOOKUP(基本資料填寫!$C$1&amp;"-"&amp;ROW(AT82),基本資料填寫!$C:$DU,COLUMN(基本資料填寫!CR83),0),"")</f>
        <v/>
      </c>
      <c r="Q85" s="115" t="str">
        <f>IFERROR(VLOOKUP(基本資料填寫!$C$1&amp;"-"&amp;ROW(AQ82),基本資料填寫!$C:$DU,COLUMN(基本資料填寫!CO83),0),"")</f>
        <v/>
      </c>
      <c r="R85" s="99" t="str">
        <f>IFERROR(VLOOKUP(基本資料填寫!$C$1&amp;"-"&amp;ROW(Y82),基本資料填寫!$C:$DU,COLUMN(基本資料填寫!AG83),0),"")</f>
        <v/>
      </c>
      <c r="S85" s="99" t="str">
        <f>IFERROR(VLOOKUP(基本資料填寫!$C$1&amp;"-"&amp;ROW(Z82),基本資料填寫!$C:$DU,COLUMN(基本資料填寫!AH83),0),"")</f>
        <v/>
      </c>
      <c r="AB85" s="115" t="str">
        <f>IFERROR(VLOOKUP(基本資料填寫!$C$1&amp;"-"&amp;ROW(BL82),基本資料填寫!$C:$DU,COLUMN(基本資料填寫!DK83),0),"")</f>
        <v/>
      </c>
      <c r="BG85" s="115" t="str">
        <f>IFERROR(VLOOKUP(基本資料填寫!$C$1&amp;"-"&amp;ROW(E82),基本資料填寫!$C:$DU,COLUMN(基本資料填寫!M83),0),"")</f>
        <v/>
      </c>
      <c r="BU85" s="115" t="str">
        <f>IFERROR(VLOOKUP(基本資料填寫!$C$1&amp;"-"&amp;ROW(O82),基本資料填寫!$C:$DU,COLUMN(基本資料填寫!W83),0),"")</f>
        <v/>
      </c>
      <c r="BV85" s="99" t="str">
        <f>IFERROR(VLOOKUP(基本資料填寫!$C$1&amp;"-"&amp;ROW(AA82),基本資料填寫!$C:$DU,COLUMN(基本資料填寫!AI83),0),"")</f>
        <v/>
      </c>
    </row>
    <row r="86" spans="1:74" ht="16.2" x14ac:dyDescent="0.3">
      <c r="A86" s="207"/>
      <c r="B86" s="114" t="str">
        <f>IF(I86="","",COUNTA($I$4:I86))</f>
        <v/>
      </c>
      <c r="C86" s="114" t="str">
        <f>IFERROR(VLOOKUP(基本資料填寫!$C$1&amp;"-"&amp;ROW(X83),基本資料填寫!$C:$DU,COLUMN(基本資料填寫!BV84),0),"")</f>
        <v/>
      </c>
      <c r="D86" s="99" t="str">
        <f>IFERROR(VLOOKUP(基本資料填寫!$C$1&amp;"-"&amp;ROW(D83),基本資料填寫!$C:$DU,COLUMN(基本資料填寫!L84),0),"")</f>
        <v/>
      </c>
      <c r="E86" s="115" t="str">
        <f>IFERROR(VLOOKUP(基本資料填寫!$C$1&amp;"-"&amp;ROW(AP83),基本資料填寫!$C:$DU,COLUMN(基本資料填寫!CN84),0),"")</f>
        <v/>
      </c>
      <c r="F86" s="114" t="str">
        <f>IFERROR(VLOOKUP(基本資料填寫!$C$1&amp;"-"&amp;ROW(I83),基本資料填寫!$C:$DU,COLUMN(基本資料填寫!Q84),0),"")</f>
        <v/>
      </c>
      <c r="G86" s="114" t="str">
        <f>IFERROR(VLOOKUP(基本資料填寫!$C$1&amp;"-"&amp;ROW(L83),基本資料填寫!$C:$DU,COLUMN(基本資料填寫!T84),0),"")</f>
        <v/>
      </c>
      <c r="H86" s="114" t="str">
        <f>IFERROR(VLOOKUP(基本資料填寫!$C$1&amp;"-"&amp;ROW(F83),基本資料填寫!$C:$DU,COLUMN(基本資料填寫!N84),0),"")</f>
        <v/>
      </c>
      <c r="I86" s="114" t="str">
        <f>IFERROR(VLOOKUP(基本資料填寫!$C$1&amp;"-"&amp;ROW(G83),基本資料填寫!$C:$DU,COLUMN(基本資料填寫!O84),0),"")</f>
        <v/>
      </c>
      <c r="J86" s="114" t="str">
        <f>IFERROR(VLOOKUP(基本資料填寫!$C$1&amp;"-"&amp;ROW(E83),基本資料填寫!$C:$DU,COLUMN(基本資料填寫!M84),0),"")</f>
        <v/>
      </c>
      <c r="K86" s="99" t="str">
        <f>IFERROR(VLOOKUP(基本資料填寫!$C$1&amp;"-"&amp;ROW(X83),基本資料填寫!$C:$DU,COLUMN(基本資料填寫!AF84),0),"")</f>
        <v/>
      </c>
      <c r="L86" s="115" t="str">
        <f>IFERROR(VLOOKUP(基本資料填寫!$C$1&amp;"-"&amp;ROW(AW83),基本資料填寫!$C:$DU,COLUMN(基本資料填寫!CU84),0),"")</f>
        <v/>
      </c>
      <c r="M86" s="115" t="str">
        <f>IFERROR(VLOOKUP(基本資料填寫!$C$1&amp;"-"&amp;ROW(AU83),基本資料填寫!$C:$DU,COLUMN(基本資料填寫!CS84),0),"")</f>
        <v/>
      </c>
      <c r="N86" s="115" t="str">
        <f>IFERROR(VLOOKUP(基本資料填寫!$C$1&amp;"-"&amp;ROW(AV83),基本資料填寫!$C:$DU,COLUMN(基本資料填寫!CT84),0),"")</f>
        <v/>
      </c>
      <c r="O86" s="115" t="str">
        <f>IFERROR(VLOOKUP(基本資料填寫!$C$1&amp;"-"&amp;ROW(N83),基本資料填寫!$C:$DU,COLUMN(基本資料填寫!V84),0),"")</f>
        <v/>
      </c>
      <c r="P86" s="115" t="str">
        <f>IFERROR(VLOOKUP(基本資料填寫!$C$1&amp;"-"&amp;ROW(AT83),基本資料填寫!$C:$DU,COLUMN(基本資料填寫!CR84),0),"")</f>
        <v/>
      </c>
      <c r="Q86" s="115" t="str">
        <f>IFERROR(VLOOKUP(基本資料填寫!$C$1&amp;"-"&amp;ROW(AQ83),基本資料填寫!$C:$DU,COLUMN(基本資料填寫!CO84),0),"")</f>
        <v/>
      </c>
      <c r="R86" s="99" t="str">
        <f>IFERROR(VLOOKUP(基本資料填寫!$C$1&amp;"-"&amp;ROW(Y83),基本資料填寫!$C:$DU,COLUMN(基本資料填寫!AG84),0),"")</f>
        <v/>
      </c>
      <c r="S86" s="99" t="str">
        <f>IFERROR(VLOOKUP(基本資料填寫!$C$1&amp;"-"&amp;ROW(Z83),基本資料填寫!$C:$DU,COLUMN(基本資料填寫!AH84),0),"")</f>
        <v/>
      </c>
      <c r="AB86" s="115" t="str">
        <f>IFERROR(VLOOKUP(基本資料填寫!$C$1&amp;"-"&amp;ROW(BL83),基本資料填寫!$C:$DU,COLUMN(基本資料填寫!DK84),0),"")</f>
        <v/>
      </c>
      <c r="BG86" s="115" t="str">
        <f>IFERROR(VLOOKUP(基本資料填寫!$C$1&amp;"-"&amp;ROW(E83),基本資料填寫!$C:$DU,COLUMN(基本資料填寫!M84),0),"")</f>
        <v/>
      </c>
      <c r="BU86" s="115" t="str">
        <f>IFERROR(VLOOKUP(基本資料填寫!$C$1&amp;"-"&amp;ROW(O83),基本資料填寫!$C:$DU,COLUMN(基本資料填寫!W84),0),"")</f>
        <v/>
      </c>
      <c r="BV86" s="99" t="str">
        <f>IFERROR(VLOOKUP(基本資料填寫!$C$1&amp;"-"&amp;ROW(AA83),基本資料填寫!$C:$DU,COLUMN(基本資料填寫!AI84),0),"")</f>
        <v/>
      </c>
    </row>
    <row r="87" spans="1:74" ht="16.2" x14ac:dyDescent="0.3">
      <c r="A87" s="207"/>
      <c r="B87" s="114" t="str">
        <f>IF(I87="","",COUNTA($I$4:I87))</f>
        <v/>
      </c>
      <c r="C87" s="114" t="str">
        <f>IFERROR(VLOOKUP(基本資料填寫!$C$1&amp;"-"&amp;ROW(X84),基本資料填寫!$C:$DU,COLUMN(基本資料填寫!BV85),0),"")</f>
        <v/>
      </c>
      <c r="D87" s="99" t="str">
        <f>IFERROR(VLOOKUP(基本資料填寫!$C$1&amp;"-"&amp;ROW(D84),基本資料填寫!$C:$DU,COLUMN(基本資料填寫!L85),0),"")</f>
        <v/>
      </c>
      <c r="E87" s="115" t="str">
        <f>IFERROR(VLOOKUP(基本資料填寫!$C$1&amp;"-"&amp;ROW(AP84),基本資料填寫!$C:$DU,COLUMN(基本資料填寫!CN85),0),"")</f>
        <v/>
      </c>
      <c r="F87" s="114" t="str">
        <f>IFERROR(VLOOKUP(基本資料填寫!$C$1&amp;"-"&amp;ROW(I84),基本資料填寫!$C:$DU,COLUMN(基本資料填寫!Q85),0),"")</f>
        <v/>
      </c>
      <c r="G87" s="114" t="str">
        <f>IFERROR(VLOOKUP(基本資料填寫!$C$1&amp;"-"&amp;ROW(L84),基本資料填寫!$C:$DU,COLUMN(基本資料填寫!T85),0),"")</f>
        <v/>
      </c>
      <c r="H87" s="114" t="str">
        <f>IFERROR(VLOOKUP(基本資料填寫!$C$1&amp;"-"&amp;ROW(F84),基本資料填寫!$C:$DU,COLUMN(基本資料填寫!N85),0),"")</f>
        <v/>
      </c>
      <c r="I87" s="114" t="str">
        <f>IFERROR(VLOOKUP(基本資料填寫!$C$1&amp;"-"&amp;ROW(G84),基本資料填寫!$C:$DU,COLUMN(基本資料填寫!O85),0),"")</f>
        <v/>
      </c>
      <c r="J87" s="114" t="str">
        <f>IFERROR(VLOOKUP(基本資料填寫!$C$1&amp;"-"&amp;ROW(E84),基本資料填寫!$C:$DU,COLUMN(基本資料填寫!M85),0),"")</f>
        <v/>
      </c>
      <c r="K87" s="99" t="str">
        <f>IFERROR(VLOOKUP(基本資料填寫!$C$1&amp;"-"&amp;ROW(X84),基本資料填寫!$C:$DU,COLUMN(基本資料填寫!AF85),0),"")</f>
        <v/>
      </c>
      <c r="L87" s="115" t="str">
        <f>IFERROR(VLOOKUP(基本資料填寫!$C$1&amp;"-"&amp;ROW(AW84),基本資料填寫!$C:$DU,COLUMN(基本資料填寫!CU85),0),"")</f>
        <v/>
      </c>
      <c r="M87" s="115" t="str">
        <f>IFERROR(VLOOKUP(基本資料填寫!$C$1&amp;"-"&amp;ROW(AU84),基本資料填寫!$C:$DU,COLUMN(基本資料填寫!CS85),0),"")</f>
        <v/>
      </c>
      <c r="N87" s="115" t="str">
        <f>IFERROR(VLOOKUP(基本資料填寫!$C$1&amp;"-"&amp;ROW(AV84),基本資料填寫!$C:$DU,COLUMN(基本資料填寫!CT85),0),"")</f>
        <v/>
      </c>
      <c r="O87" s="115" t="str">
        <f>IFERROR(VLOOKUP(基本資料填寫!$C$1&amp;"-"&amp;ROW(N84),基本資料填寫!$C:$DU,COLUMN(基本資料填寫!V85),0),"")</f>
        <v/>
      </c>
      <c r="P87" s="115" t="str">
        <f>IFERROR(VLOOKUP(基本資料填寫!$C$1&amp;"-"&amp;ROW(AT84),基本資料填寫!$C:$DU,COLUMN(基本資料填寫!CR85),0),"")</f>
        <v/>
      </c>
      <c r="Q87" s="115" t="str">
        <f>IFERROR(VLOOKUP(基本資料填寫!$C$1&amp;"-"&amp;ROW(AQ84),基本資料填寫!$C:$DU,COLUMN(基本資料填寫!CO85),0),"")</f>
        <v/>
      </c>
      <c r="R87" s="99" t="str">
        <f>IFERROR(VLOOKUP(基本資料填寫!$C$1&amp;"-"&amp;ROW(Y84),基本資料填寫!$C:$DU,COLUMN(基本資料填寫!AG85),0),"")</f>
        <v/>
      </c>
      <c r="S87" s="99" t="str">
        <f>IFERROR(VLOOKUP(基本資料填寫!$C$1&amp;"-"&amp;ROW(Z84),基本資料填寫!$C:$DU,COLUMN(基本資料填寫!AH85),0),"")</f>
        <v/>
      </c>
      <c r="AB87" s="115" t="str">
        <f>IFERROR(VLOOKUP(基本資料填寫!$C$1&amp;"-"&amp;ROW(BL84),基本資料填寫!$C:$DU,COLUMN(基本資料填寫!DK85),0),"")</f>
        <v/>
      </c>
      <c r="BG87" s="115" t="str">
        <f>IFERROR(VLOOKUP(基本資料填寫!$C$1&amp;"-"&amp;ROW(E84),基本資料填寫!$C:$DU,COLUMN(基本資料填寫!M85),0),"")</f>
        <v/>
      </c>
      <c r="BU87" s="115" t="str">
        <f>IFERROR(VLOOKUP(基本資料填寫!$C$1&amp;"-"&amp;ROW(O84),基本資料填寫!$C:$DU,COLUMN(基本資料填寫!W85),0),"")</f>
        <v/>
      </c>
      <c r="BV87" s="99" t="str">
        <f>IFERROR(VLOOKUP(基本資料填寫!$C$1&amp;"-"&amp;ROW(AA84),基本資料填寫!$C:$DU,COLUMN(基本資料填寫!AI85),0),"")</f>
        <v/>
      </c>
    </row>
    <row r="88" spans="1:74" ht="16.2" x14ac:dyDescent="0.3">
      <c r="A88" s="207"/>
      <c r="B88" s="114" t="str">
        <f>IF(I88="","",COUNTA($I$4:I88))</f>
        <v/>
      </c>
      <c r="C88" s="114" t="str">
        <f>IFERROR(VLOOKUP(基本資料填寫!$C$1&amp;"-"&amp;ROW(X85),基本資料填寫!$C:$DU,COLUMN(基本資料填寫!BV86),0),"")</f>
        <v/>
      </c>
      <c r="D88" s="99" t="str">
        <f>IFERROR(VLOOKUP(基本資料填寫!$C$1&amp;"-"&amp;ROW(D85),基本資料填寫!$C:$DU,COLUMN(基本資料填寫!L86),0),"")</f>
        <v/>
      </c>
      <c r="E88" s="115" t="str">
        <f>IFERROR(VLOOKUP(基本資料填寫!$C$1&amp;"-"&amp;ROW(AP85),基本資料填寫!$C:$DU,COLUMN(基本資料填寫!CN86),0),"")</f>
        <v/>
      </c>
      <c r="F88" s="114" t="str">
        <f>IFERROR(VLOOKUP(基本資料填寫!$C$1&amp;"-"&amp;ROW(I85),基本資料填寫!$C:$DU,COLUMN(基本資料填寫!Q86),0),"")</f>
        <v/>
      </c>
      <c r="G88" s="114" t="str">
        <f>IFERROR(VLOOKUP(基本資料填寫!$C$1&amp;"-"&amp;ROW(L85),基本資料填寫!$C:$DU,COLUMN(基本資料填寫!T86),0),"")</f>
        <v/>
      </c>
      <c r="H88" s="114" t="str">
        <f>IFERROR(VLOOKUP(基本資料填寫!$C$1&amp;"-"&amp;ROW(F85),基本資料填寫!$C:$DU,COLUMN(基本資料填寫!N86),0),"")</f>
        <v/>
      </c>
      <c r="I88" s="114" t="str">
        <f>IFERROR(VLOOKUP(基本資料填寫!$C$1&amp;"-"&amp;ROW(G85),基本資料填寫!$C:$DU,COLUMN(基本資料填寫!O86),0),"")</f>
        <v/>
      </c>
      <c r="J88" s="114" t="str">
        <f>IFERROR(VLOOKUP(基本資料填寫!$C$1&amp;"-"&amp;ROW(E85),基本資料填寫!$C:$DU,COLUMN(基本資料填寫!M86),0),"")</f>
        <v/>
      </c>
      <c r="K88" s="99" t="str">
        <f>IFERROR(VLOOKUP(基本資料填寫!$C$1&amp;"-"&amp;ROW(X85),基本資料填寫!$C:$DU,COLUMN(基本資料填寫!AF86),0),"")</f>
        <v/>
      </c>
      <c r="L88" s="115" t="str">
        <f>IFERROR(VLOOKUP(基本資料填寫!$C$1&amp;"-"&amp;ROW(AW85),基本資料填寫!$C:$DU,COLUMN(基本資料填寫!CU86),0),"")</f>
        <v/>
      </c>
      <c r="M88" s="115" t="str">
        <f>IFERROR(VLOOKUP(基本資料填寫!$C$1&amp;"-"&amp;ROW(AU85),基本資料填寫!$C:$DU,COLUMN(基本資料填寫!CS86),0),"")</f>
        <v/>
      </c>
      <c r="N88" s="115" t="str">
        <f>IFERROR(VLOOKUP(基本資料填寫!$C$1&amp;"-"&amp;ROW(AV85),基本資料填寫!$C:$DU,COLUMN(基本資料填寫!CT86),0),"")</f>
        <v/>
      </c>
      <c r="O88" s="115" t="str">
        <f>IFERROR(VLOOKUP(基本資料填寫!$C$1&amp;"-"&amp;ROW(N85),基本資料填寫!$C:$DU,COLUMN(基本資料填寫!V86),0),"")</f>
        <v/>
      </c>
      <c r="P88" s="115" t="str">
        <f>IFERROR(VLOOKUP(基本資料填寫!$C$1&amp;"-"&amp;ROW(AT85),基本資料填寫!$C:$DU,COLUMN(基本資料填寫!CR86),0),"")</f>
        <v/>
      </c>
      <c r="Q88" s="115" t="str">
        <f>IFERROR(VLOOKUP(基本資料填寫!$C$1&amp;"-"&amp;ROW(AQ85),基本資料填寫!$C:$DU,COLUMN(基本資料填寫!CO86),0),"")</f>
        <v/>
      </c>
      <c r="R88" s="99" t="str">
        <f>IFERROR(VLOOKUP(基本資料填寫!$C$1&amp;"-"&amp;ROW(Y85),基本資料填寫!$C:$DU,COLUMN(基本資料填寫!AG86),0),"")</f>
        <v/>
      </c>
      <c r="S88" s="99" t="str">
        <f>IFERROR(VLOOKUP(基本資料填寫!$C$1&amp;"-"&amp;ROW(Z85),基本資料填寫!$C:$DU,COLUMN(基本資料填寫!AH86),0),"")</f>
        <v/>
      </c>
      <c r="AB88" s="115" t="str">
        <f>IFERROR(VLOOKUP(基本資料填寫!$C$1&amp;"-"&amp;ROW(BL85),基本資料填寫!$C:$DU,COLUMN(基本資料填寫!DK86),0),"")</f>
        <v/>
      </c>
      <c r="BG88" s="115" t="str">
        <f>IFERROR(VLOOKUP(基本資料填寫!$C$1&amp;"-"&amp;ROW(E85),基本資料填寫!$C:$DU,COLUMN(基本資料填寫!M86),0),"")</f>
        <v/>
      </c>
      <c r="BU88" s="115" t="str">
        <f>IFERROR(VLOOKUP(基本資料填寫!$C$1&amp;"-"&amp;ROW(O85),基本資料填寫!$C:$DU,COLUMN(基本資料填寫!W86),0),"")</f>
        <v/>
      </c>
      <c r="BV88" s="99" t="str">
        <f>IFERROR(VLOOKUP(基本資料填寫!$C$1&amp;"-"&amp;ROW(AA85),基本資料填寫!$C:$DU,COLUMN(基本資料填寫!AI86),0),"")</f>
        <v/>
      </c>
    </row>
    <row r="89" spans="1:74" ht="16.2" x14ac:dyDescent="0.3">
      <c r="A89" s="207"/>
      <c r="B89" s="114" t="str">
        <f>IF(I89="","",COUNTA($I$4:I89))</f>
        <v/>
      </c>
      <c r="C89" s="114" t="str">
        <f>IFERROR(VLOOKUP(基本資料填寫!$C$1&amp;"-"&amp;ROW(X86),基本資料填寫!$C:$DU,COLUMN(基本資料填寫!BV87),0),"")</f>
        <v/>
      </c>
      <c r="D89" s="99" t="str">
        <f>IFERROR(VLOOKUP(基本資料填寫!$C$1&amp;"-"&amp;ROW(D86),基本資料填寫!$C:$DU,COLUMN(基本資料填寫!L87),0),"")</f>
        <v/>
      </c>
      <c r="E89" s="115" t="str">
        <f>IFERROR(VLOOKUP(基本資料填寫!$C$1&amp;"-"&amp;ROW(AP86),基本資料填寫!$C:$DU,COLUMN(基本資料填寫!CN87),0),"")</f>
        <v/>
      </c>
      <c r="F89" s="114" t="str">
        <f>IFERROR(VLOOKUP(基本資料填寫!$C$1&amp;"-"&amp;ROW(I86),基本資料填寫!$C:$DU,COLUMN(基本資料填寫!Q87),0),"")</f>
        <v/>
      </c>
      <c r="G89" s="114" t="str">
        <f>IFERROR(VLOOKUP(基本資料填寫!$C$1&amp;"-"&amp;ROW(L86),基本資料填寫!$C:$DU,COLUMN(基本資料填寫!T87),0),"")</f>
        <v/>
      </c>
      <c r="H89" s="114" t="str">
        <f>IFERROR(VLOOKUP(基本資料填寫!$C$1&amp;"-"&amp;ROW(F86),基本資料填寫!$C:$DU,COLUMN(基本資料填寫!N87),0),"")</f>
        <v/>
      </c>
      <c r="I89" s="114" t="str">
        <f>IFERROR(VLOOKUP(基本資料填寫!$C$1&amp;"-"&amp;ROW(G86),基本資料填寫!$C:$DU,COLUMN(基本資料填寫!O87),0),"")</f>
        <v/>
      </c>
      <c r="J89" s="114" t="str">
        <f>IFERROR(VLOOKUP(基本資料填寫!$C$1&amp;"-"&amp;ROW(E86),基本資料填寫!$C:$DU,COLUMN(基本資料填寫!M87),0),"")</f>
        <v/>
      </c>
      <c r="K89" s="99" t="str">
        <f>IFERROR(VLOOKUP(基本資料填寫!$C$1&amp;"-"&amp;ROW(X86),基本資料填寫!$C:$DU,COLUMN(基本資料填寫!AF87),0),"")</f>
        <v/>
      </c>
      <c r="L89" s="115" t="str">
        <f>IFERROR(VLOOKUP(基本資料填寫!$C$1&amp;"-"&amp;ROW(AW86),基本資料填寫!$C:$DU,COLUMN(基本資料填寫!CU87),0),"")</f>
        <v/>
      </c>
      <c r="M89" s="115" t="str">
        <f>IFERROR(VLOOKUP(基本資料填寫!$C$1&amp;"-"&amp;ROW(AU86),基本資料填寫!$C:$DU,COLUMN(基本資料填寫!CS87),0),"")</f>
        <v/>
      </c>
      <c r="N89" s="115" t="str">
        <f>IFERROR(VLOOKUP(基本資料填寫!$C$1&amp;"-"&amp;ROW(AV86),基本資料填寫!$C:$DU,COLUMN(基本資料填寫!CT87),0),"")</f>
        <v/>
      </c>
      <c r="O89" s="115" t="str">
        <f>IFERROR(VLOOKUP(基本資料填寫!$C$1&amp;"-"&amp;ROW(N86),基本資料填寫!$C:$DU,COLUMN(基本資料填寫!V87),0),"")</f>
        <v/>
      </c>
      <c r="P89" s="115" t="str">
        <f>IFERROR(VLOOKUP(基本資料填寫!$C$1&amp;"-"&amp;ROW(AT86),基本資料填寫!$C:$DU,COLUMN(基本資料填寫!CR87),0),"")</f>
        <v/>
      </c>
      <c r="Q89" s="115" t="str">
        <f>IFERROR(VLOOKUP(基本資料填寫!$C$1&amp;"-"&amp;ROW(AQ86),基本資料填寫!$C:$DU,COLUMN(基本資料填寫!CO87),0),"")</f>
        <v/>
      </c>
      <c r="R89" s="99" t="str">
        <f>IFERROR(VLOOKUP(基本資料填寫!$C$1&amp;"-"&amp;ROW(Y86),基本資料填寫!$C:$DU,COLUMN(基本資料填寫!AG87),0),"")</f>
        <v/>
      </c>
      <c r="S89" s="99" t="str">
        <f>IFERROR(VLOOKUP(基本資料填寫!$C$1&amp;"-"&amp;ROW(Z86),基本資料填寫!$C:$DU,COLUMN(基本資料填寫!AH87),0),"")</f>
        <v/>
      </c>
      <c r="AB89" s="115" t="str">
        <f>IFERROR(VLOOKUP(基本資料填寫!$C$1&amp;"-"&amp;ROW(BL86),基本資料填寫!$C:$DU,COLUMN(基本資料填寫!DK87),0),"")</f>
        <v/>
      </c>
      <c r="BG89" s="115" t="str">
        <f>IFERROR(VLOOKUP(基本資料填寫!$C$1&amp;"-"&amp;ROW(E86),基本資料填寫!$C:$DU,COLUMN(基本資料填寫!M87),0),"")</f>
        <v/>
      </c>
      <c r="BU89" s="115" t="str">
        <f>IFERROR(VLOOKUP(基本資料填寫!$C$1&amp;"-"&amp;ROW(O86),基本資料填寫!$C:$DU,COLUMN(基本資料填寫!W87),0),"")</f>
        <v/>
      </c>
      <c r="BV89" s="99" t="str">
        <f>IFERROR(VLOOKUP(基本資料填寫!$C$1&amp;"-"&amp;ROW(AA86),基本資料填寫!$C:$DU,COLUMN(基本資料填寫!AI87),0),"")</f>
        <v/>
      </c>
    </row>
    <row r="90" spans="1:74" ht="16.2" x14ac:dyDescent="0.3">
      <c r="A90" s="207"/>
      <c r="B90" s="114" t="str">
        <f>IF(I90="","",COUNTA($I$4:I90))</f>
        <v/>
      </c>
      <c r="C90" s="114" t="str">
        <f>IFERROR(VLOOKUP(基本資料填寫!$C$1&amp;"-"&amp;ROW(X87),基本資料填寫!$C:$DU,COLUMN(基本資料填寫!BV88),0),"")</f>
        <v/>
      </c>
      <c r="D90" s="99" t="str">
        <f>IFERROR(VLOOKUP(基本資料填寫!$C$1&amp;"-"&amp;ROW(D87),基本資料填寫!$C:$DU,COLUMN(基本資料填寫!L88),0),"")</f>
        <v/>
      </c>
      <c r="E90" s="115" t="str">
        <f>IFERROR(VLOOKUP(基本資料填寫!$C$1&amp;"-"&amp;ROW(AP87),基本資料填寫!$C:$DU,COLUMN(基本資料填寫!CN88),0),"")</f>
        <v/>
      </c>
      <c r="F90" s="114" t="str">
        <f>IFERROR(VLOOKUP(基本資料填寫!$C$1&amp;"-"&amp;ROW(I87),基本資料填寫!$C:$DU,COLUMN(基本資料填寫!Q88),0),"")</f>
        <v/>
      </c>
      <c r="G90" s="114" t="str">
        <f>IFERROR(VLOOKUP(基本資料填寫!$C$1&amp;"-"&amp;ROW(L87),基本資料填寫!$C:$DU,COLUMN(基本資料填寫!T88),0),"")</f>
        <v/>
      </c>
      <c r="H90" s="114" t="str">
        <f>IFERROR(VLOOKUP(基本資料填寫!$C$1&amp;"-"&amp;ROW(F87),基本資料填寫!$C:$DU,COLUMN(基本資料填寫!N88),0),"")</f>
        <v/>
      </c>
      <c r="I90" s="114" t="str">
        <f>IFERROR(VLOOKUP(基本資料填寫!$C$1&amp;"-"&amp;ROW(G87),基本資料填寫!$C:$DU,COLUMN(基本資料填寫!O88),0),"")</f>
        <v/>
      </c>
      <c r="J90" s="114" t="str">
        <f>IFERROR(VLOOKUP(基本資料填寫!$C$1&amp;"-"&amp;ROW(E87),基本資料填寫!$C:$DU,COLUMN(基本資料填寫!M88),0),"")</f>
        <v/>
      </c>
      <c r="K90" s="99" t="str">
        <f>IFERROR(VLOOKUP(基本資料填寫!$C$1&amp;"-"&amp;ROW(X87),基本資料填寫!$C:$DU,COLUMN(基本資料填寫!AF88),0),"")</f>
        <v/>
      </c>
      <c r="L90" s="115" t="str">
        <f>IFERROR(VLOOKUP(基本資料填寫!$C$1&amp;"-"&amp;ROW(AW87),基本資料填寫!$C:$DU,COLUMN(基本資料填寫!CU88),0),"")</f>
        <v/>
      </c>
      <c r="M90" s="115" t="str">
        <f>IFERROR(VLOOKUP(基本資料填寫!$C$1&amp;"-"&amp;ROW(AU87),基本資料填寫!$C:$DU,COLUMN(基本資料填寫!CS88),0),"")</f>
        <v/>
      </c>
      <c r="N90" s="115" t="str">
        <f>IFERROR(VLOOKUP(基本資料填寫!$C$1&amp;"-"&amp;ROW(AV87),基本資料填寫!$C:$DU,COLUMN(基本資料填寫!CT88),0),"")</f>
        <v/>
      </c>
      <c r="O90" s="115" t="str">
        <f>IFERROR(VLOOKUP(基本資料填寫!$C$1&amp;"-"&amp;ROW(N87),基本資料填寫!$C:$DU,COLUMN(基本資料填寫!V88),0),"")</f>
        <v/>
      </c>
      <c r="P90" s="115" t="str">
        <f>IFERROR(VLOOKUP(基本資料填寫!$C$1&amp;"-"&amp;ROW(AT87),基本資料填寫!$C:$DU,COLUMN(基本資料填寫!CR88),0),"")</f>
        <v/>
      </c>
      <c r="Q90" s="115" t="str">
        <f>IFERROR(VLOOKUP(基本資料填寫!$C$1&amp;"-"&amp;ROW(AQ87),基本資料填寫!$C:$DU,COLUMN(基本資料填寫!CO88),0),"")</f>
        <v/>
      </c>
      <c r="R90" s="99" t="str">
        <f>IFERROR(VLOOKUP(基本資料填寫!$C$1&amp;"-"&amp;ROW(Y87),基本資料填寫!$C:$DU,COLUMN(基本資料填寫!AG88),0),"")</f>
        <v/>
      </c>
      <c r="S90" s="99" t="str">
        <f>IFERROR(VLOOKUP(基本資料填寫!$C$1&amp;"-"&amp;ROW(Z87),基本資料填寫!$C:$DU,COLUMN(基本資料填寫!AH88),0),"")</f>
        <v/>
      </c>
      <c r="AB90" s="115" t="str">
        <f>IFERROR(VLOOKUP(基本資料填寫!$C$1&amp;"-"&amp;ROW(BL87),基本資料填寫!$C:$DU,COLUMN(基本資料填寫!DK88),0),"")</f>
        <v/>
      </c>
      <c r="BG90" s="115" t="str">
        <f>IFERROR(VLOOKUP(基本資料填寫!$C$1&amp;"-"&amp;ROW(E87),基本資料填寫!$C:$DU,COLUMN(基本資料填寫!M88),0),"")</f>
        <v/>
      </c>
      <c r="BU90" s="115" t="str">
        <f>IFERROR(VLOOKUP(基本資料填寫!$C$1&amp;"-"&amp;ROW(O87),基本資料填寫!$C:$DU,COLUMN(基本資料填寫!W88),0),"")</f>
        <v/>
      </c>
      <c r="BV90" s="99" t="str">
        <f>IFERROR(VLOOKUP(基本資料填寫!$C$1&amp;"-"&amp;ROW(AA87),基本資料填寫!$C:$DU,COLUMN(基本資料填寫!AI88),0),"")</f>
        <v/>
      </c>
    </row>
    <row r="91" spans="1:74" ht="16.2" x14ac:dyDescent="0.3">
      <c r="A91" s="207"/>
      <c r="B91" s="114" t="str">
        <f>IF(I91="","",COUNTA($I$4:I91))</f>
        <v/>
      </c>
      <c r="C91" s="114" t="str">
        <f>IFERROR(VLOOKUP(基本資料填寫!$C$1&amp;"-"&amp;ROW(X88),基本資料填寫!$C:$DU,COLUMN(基本資料填寫!BV89),0),"")</f>
        <v/>
      </c>
      <c r="D91" s="99" t="str">
        <f>IFERROR(VLOOKUP(基本資料填寫!$C$1&amp;"-"&amp;ROW(D88),基本資料填寫!$C:$DU,COLUMN(基本資料填寫!L89),0),"")</f>
        <v/>
      </c>
      <c r="E91" s="115" t="str">
        <f>IFERROR(VLOOKUP(基本資料填寫!$C$1&amp;"-"&amp;ROW(AP88),基本資料填寫!$C:$DU,COLUMN(基本資料填寫!CN89),0),"")</f>
        <v/>
      </c>
      <c r="F91" s="114" t="str">
        <f>IFERROR(VLOOKUP(基本資料填寫!$C$1&amp;"-"&amp;ROW(I88),基本資料填寫!$C:$DU,COLUMN(基本資料填寫!Q89),0),"")</f>
        <v/>
      </c>
      <c r="G91" s="114" t="str">
        <f>IFERROR(VLOOKUP(基本資料填寫!$C$1&amp;"-"&amp;ROW(L88),基本資料填寫!$C:$DU,COLUMN(基本資料填寫!T89),0),"")</f>
        <v/>
      </c>
      <c r="H91" s="114" t="str">
        <f>IFERROR(VLOOKUP(基本資料填寫!$C$1&amp;"-"&amp;ROW(F88),基本資料填寫!$C:$DU,COLUMN(基本資料填寫!N89),0),"")</f>
        <v/>
      </c>
      <c r="I91" s="114" t="str">
        <f>IFERROR(VLOOKUP(基本資料填寫!$C$1&amp;"-"&amp;ROW(G88),基本資料填寫!$C:$DU,COLUMN(基本資料填寫!O89),0),"")</f>
        <v/>
      </c>
      <c r="J91" s="114" t="str">
        <f>IFERROR(VLOOKUP(基本資料填寫!$C$1&amp;"-"&amp;ROW(E88),基本資料填寫!$C:$DU,COLUMN(基本資料填寫!M89),0),"")</f>
        <v/>
      </c>
      <c r="K91" s="99" t="str">
        <f>IFERROR(VLOOKUP(基本資料填寫!$C$1&amp;"-"&amp;ROW(X88),基本資料填寫!$C:$DU,COLUMN(基本資料填寫!AF89),0),"")</f>
        <v/>
      </c>
      <c r="L91" s="115" t="str">
        <f>IFERROR(VLOOKUP(基本資料填寫!$C$1&amp;"-"&amp;ROW(AW88),基本資料填寫!$C:$DU,COLUMN(基本資料填寫!CU89),0),"")</f>
        <v/>
      </c>
      <c r="M91" s="115" t="str">
        <f>IFERROR(VLOOKUP(基本資料填寫!$C$1&amp;"-"&amp;ROW(AU88),基本資料填寫!$C:$DU,COLUMN(基本資料填寫!CS89),0),"")</f>
        <v/>
      </c>
      <c r="N91" s="115" t="str">
        <f>IFERROR(VLOOKUP(基本資料填寫!$C$1&amp;"-"&amp;ROW(AV88),基本資料填寫!$C:$DU,COLUMN(基本資料填寫!CT89),0),"")</f>
        <v/>
      </c>
      <c r="O91" s="115" t="str">
        <f>IFERROR(VLOOKUP(基本資料填寫!$C$1&amp;"-"&amp;ROW(N88),基本資料填寫!$C:$DU,COLUMN(基本資料填寫!V89),0),"")</f>
        <v/>
      </c>
      <c r="P91" s="115" t="str">
        <f>IFERROR(VLOOKUP(基本資料填寫!$C$1&amp;"-"&amp;ROW(AT88),基本資料填寫!$C:$DU,COLUMN(基本資料填寫!CR89),0),"")</f>
        <v/>
      </c>
      <c r="Q91" s="115" t="str">
        <f>IFERROR(VLOOKUP(基本資料填寫!$C$1&amp;"-"&amp;ROW(AQ88),基本資料填寫!$C:$DU,COLUMN(基本資料填寫!CO89),0),"")</f>
        <v/>
      </c>
      <c r="R91" s="99" t="str">
        <f>IFERROR(VLOOKUP(基本資料填寫!$C$1&amp;"-"&amp;ROW(Y88),基本資料填寫!$C:$DU,COLUMN(基本資料填寫!AG89),0),"")</f>
        <v/>
      </c>
      <c r="S91" s="99" t="str">
        <f>IFERROR(VLOOKUP(基本資料填寫!$C$1&amp;"-"&amp;ROW(Z88),基本資料填寫!$C:$DU,COLUMN(基本資料填寫!AH89),0),"")</f>
        <v/>
      </c>
      <c r="AB91" s="115" t="str">
        <f>IFERROR(VLOOKUP(基本資料填寫!$C$1&amp;"-"&amp;ROW(BL88),基本資料填寫!$C:$DU,COLUMN(基本資料填寫!DK89),0),"")</f>
        <v/>
      </c>
      <c r="BG91" s="115" t="str">
        <f>IFERROR(VLOOKUP(基本資料填寫!$C$1&amp;"-"&amp;ROW(E88),基本資料填寫!$C:$DU,COLUMN(基本資料填寫!M89),0),"")</f>
        <v/>
      </c>
      <c r="BU91" s="115" t="str">
        <f>IFERROR(VLOOKUP(基本資料填寫!$C$1&amp;"-"&amp;ROW(O88),基本資料填寫!$C:$DU,COLUMN(基本資料填寫!W89),0),"")</f>
        <v/>
      </c>
      <c r="BV91" s="99" t="str">
        <f>IFERROR(VLOOKUP(基本資料填寫!$C$1&amp;"-"&amp;ROW(AA88),基本資料填寫!$C:$DU,COLUMN(基本資料填寫!AI89),0),"")</f>
        <v/>
      </c>
    </row>
    <row r="92" spans="1:74" ht="16.2" x14ac:dyDescent="0.3">
      <c r="A92" s="207"/>
      <c r="B92" s="114" t="str">
        <f>IF(I92="","",COUNTA($I$4:I92))</f>
        <v/>
      </c>
      <c r="C92" s="114" t="str">
        <f>IFERROR(VLOOKUP(基本資料填寫!$C$1&amp;"-"&amp;ROW(X89),基本資料填寫!$C:$DU,COLUMN(基本資料填寫!BV90),0),"")</f>
        <v/>
      </c>
      <c r="D92" s="99" t="str">
        <f>IFERROR(VLOOKUP(基本資料填寫!$C$1&amp;"-"&amp;ROW(D89),基本資料填寫!$C:$DU,COLUMN(基本資料填寫!L90),0),"")</f>
        <v/>
      </c>
      <c r="E92" s="115" t="str">
        <f>IFERROR(VLOOKUP(基本資料填寫!$C$1&amp;"-"&amp;ROW(AP89),基本資料填寫!$C:$DU,COLUMN(基本資料填寫!CN90),0),"")</f>
        <v/>
      </c>
      <c r="F92" s="114" t="str">
        <f>IFERROR(VLOOKUP(基本資料填寫!$C$1&amp;"-"&amp;ROW(I89),基本資料填寫!$C:$DU,COLUMN(基本資料填寫!Q90),0),"")</f>
        <v/>
      </c>
      <c r="G92" s="114" t="str">
        <f>IFERROR(VLOOKUP(基本資料填寫!$C$1&amp;"-"&amp;ROW(L89),基本資料填寫!$C:$DU,COLUMN(基本資料填寫!T90),0),"")</f>
        <v/>
      </c>
      <c r="H92" s="114" t="str">
        <f>IFERROR(VLOOKUP(基本資料填寫!$C$1&amp;"-"&amp;ROW(F89),基本資料填寫!$C:$DU,COLUMN(基本資料填寫!N90),0),"")</f>
        <v/>
      </c>
      <c r="I92" s="114" t="str">
        <f>IFERROR(VLOOKUP(基本資料填寫!$C$1&amp;"-"&amp;ROW(G89),基本資料填寫!$C:$DU,COLUMN(基本資料填寫!O90),0),"")</f>
        <v/>
      </c>
      <c r="J92" s="114" t="str">
        <f>IFERROR(VLOOKUP(基本資料填寫!$C$1&amp;"-"&amp;ROW(E89),基本資料填寫!$C:$DU,COLUMN(基本資料填寫!M90),0),"")</f>
        <v/>
      </c>
      <c r="K92" s="99" t="str">
        <f>IFERROR(VLOOKUP(基本資料填寫!$C$1&amp;"-"&amp;ROW(X89),基本資料填寫!$C:$DU,COLUMN(基本資料填寫!AF90),0),"")</f>
        <v/>
      </c>
      <c r="L92" s="115" t="str">
        <f>IFERROR(VLOOKUP(基本資料填寫!$C$1&amp;"-"&amp;ROW(AW89),基本資料填寫!$C:$DU,COLUMN(基本資料填寫!CU90),0),"")</f>
        <v/>
      </c>
      <c r="M92" s="115" t="str">
        <f>IFERROR(VLOOKUP(基本資料填寫!$C$1&amp;"-"&amp;ROW(AU89),基本資料填寫!$C:$DU,COLUMN(基本資料填寫!CS90),0),"")</f>
        <v/>
      </c>
      <c r="N92" s="115" t="str">
        <f>IFERROR(VLOOKUP(基本資料填寫!$C$1&amp;"-"&amp;ROW(AV89),基本資料填寫!$C:$DU,COLUMN(基本資料填寫!CT90),0),"")</f>
        <v/>
      </c>
      <c r="O92" s="115" t="str">
        <f>IFERROR(VLOOKUP(基本資料填寫!$C$1&amp;"-"&amp;ROW(N89),基本資料填寫!$C:$DU,COLUMN(基本資料填寫!V90),0),"")</f>
        <v/>
      </c>
      <c r="P92" s="115" t="str">
        <f>IFERROR(VLOOKUP(基本資料填寫!$C$1&amp;"-"&amp;ROW(AT89),基本資料填寫!$C:$DU,COLUMN(基本資料填寫!CR90),0),"")</f>
        <v/>
      </c>
      <c r="Q92" s="115" t="str">
        <f>IFERROR(VLOOKUP(基本資料填寫!$C$1&amp;"-"&amp;ROW(AQ89),基本資料填寫!$C:$DU,COLUMN(基本資料填寫!CO90),0),"")</f>
        <v/>
      </c>
      <c r="R92" s="99" t="str">
        <f>IFERROR(VLOOKUP(基本資料填寫!$C$1&amp;"-"&amp;ROW(Y89),基本資料填寫!$C:$DU,COLUMN(基本資料填寫!AG90),0),"")</f>
        <v/>
      </c>
      <c r="S92" s="99" t="str">
        <f>IFERROR(VLOOKUP(基本資料填寫!$C$1&amp;"-"&amp;ROW(Z89),基本資料填寫!$C:$DU,COLUMN(基本資料填寫!AH90),0),"")</f>
        <v/>
      </c>
      <c r="AB92" s="115" t="str">
        <f>IFERROR(VLOOKUP(基本資料填寫!$C$1&amp;"-"&amp;ROW(BL89),基本資料填寫!$C:$DU,COLUMN(基本資料填寫!DK90),0),"")</f>
        <v/>
      </c>
      <c r="BG92" s="115" t="str">
        <f>IFERROR(VLOOKUP(基本資料填寫!$C$1&amp;"-"&amp;ROW(E89),基本資料填寫!$C:$DU,COLUMN(基本資料填寫!M90),0),"")</f>
        <v/>
      </c>
      <c r="BU92" s="115" t="str">
        <f>IFERROR(VLOOKUP(基本資料填寫!$C$1&amp;"-"&amp;ROW(O89),基本資料填寫!$C:$DU,COLUMN(基本資料填寫!W90),0),"")</f>
        <v/>
      </c>
      <c r="BV92" s="99" t="str">
        <f>IFERROR(VLOOKUP(基本資料填寫!$C$1&amp;"-"&amp;ROW(AA89),基本資料填寫!$C:$DU,COLUMN(基本資料填寫!AI90),0),"")</f>
        <v/>
      </c>
    </row>
    <row r="93" spans="1:74" ht="16.2" x14ac:dyDescent="0.3">
      <c r="A93" s="207"/>
      <c r="B93" s="114" t="str">
        <f>IF(I93="","",COUNTA($I$4:I93))</f>
        <v/>
      </c>
      <c r="C93" s="114" t="str">
        <f>IFERROR(VLOOKUP(基本資料填寫!$C$1&amp;"-"&amp;ROW(X90),基本資料填寫!$C:$DU,COLUMN(基本資料填寫!BV91),0),"")</f>
        <v/>
      </c>
      <c r="D93" s="99" t="str">
        <f>IFERROR(VLOOKUP(基本資料填寫!$C$1&amp;"-"&amp;ROW(D90),基本資料填寫!$C:$DU,COLUMN(基本資料填寫!L91),0),"")</f>
        <v/>
      </c>
      <c r="E93" s="115" t="str">
        <f>IFERROR(VLOOKUP(基本資料填寫!$C$1&amp;"-"&amp;ROW(AP90),基本資料填寫!$C:$DU,COLUMN(基本資料填寫!CN91),0),"")</f>
        <v/>
      </c>
      <c r="F93" s="114" t="str">
        <f>IFERROR(VLOOKUP(基本資料填寫!$C$1&amp;"-"&amp;ROW(I90),基本資料填寫!$C:$DU,COLUMN(基本資料填寫!Q91),0),"")</f>
        <v/>
      </c>
      <c r="G93" s="114" t="str">
        <f>IFERROR(VLOOKUP(基本資料填寫!$C$1&amp;"-"&amp;ROW(L90),基本資料填寫!$C:$DU,COLUMN(基本資料填寫!T91),0),"")</f>
        <v/>
      </c>
      <c r="H93" s="114" t="str">
        <f>IFERROR(VLOOKUP(基本資料填寫!$C$1&amp;"-"&amp;ROW(F90),基本資料填寫!$C:$DU,COLUMN(基本資料填寫!N91),0),"")</f>
        <v/>
      </c>
      <c r="I93" s="114" t="str">
        <f>IFERROR(VLOOKUP(基本資料填寫!$C$1&amp;"-"&amp;ROW(G90),基本資料填寫!$C:$DU,COLUMN(基本資料填寫!O91),0),"")</f>
        <v/>
      </c>
      <c r="J93" s="114" t="str">
        <f>IFERROR(VLOOKUP(基本資料填寫!$C$1&amp;"-"&amp;ROW(E90),基本資料填寫!$C:$DU,COLUMN(基本資料填寫!M91),0),"")</f>
        <v/>
      </c>
      <c r="K93" s="99" t="str">
        <f>IFERROR(VLOOKUP(基本資料填寫!$C$1&amp;"-"&amp;ROW(X90),基本資料填寫!$C:$DU,COLUMN(基本資料填寫!AF91),0),"")</f>
        <v/>
      </c>
      <c r="L93" s="115" t="str">
        <f>IFERROR(VLOOKUP(基本資料填寫!$C$1&amp;"-"&amp;ROW(AW90),基本資料填寫!$C:$DU,COLUMN(基本資料填寫!CU91),0),"")</f>
        <v/>
      </c>
      <c r="M93" s="115" t="str">
        <f>IFERROR(VLOOKUP(基本資料填寫!$C$1&amp;"-"&amp;ROW(AU90),基本資料填寫!$C:$DU,COLUMN(基本資料填寫!CS91),0),"")</f>
        <v/>
      </c>
      <c r="N93" s="115" t="str">
        <f>IFERROR(VLOOKUP(基本資料填寫!$C$1&amp;"-"&amp;ROW(AV90),基本資料填寫!$C:$DU,COLUMN(基本資料填寫!CT91),0),"")</f>
        <v/>
      </c>
      <c r="O93" s="115" t="str">
        <f>IFERROR(VLOOKUP(基本資料填寫!$C$1&amp;"-"&amp;ROW(N90),基本資料填寫!$C:$DU,COLUMN(基本資料填寫!V91),0),"")</f>
        <v/>
      </c>
      <c r="P93" s="115" t="str">
        <f>IFERROR(VLOOKUP(基本資料填寫!$C$1&amp;"-"&amp;ROW(AT90),基本資料填寫!$C:$DU,COLUMN(基本資料填寫!CR91),0),"")</f>
        <v/>
      </c>
      <c r="Q93" s="115" t="str">
        <f>IFERROR(VLOOKUP(基本資料填寫!$C$1&amp;"-"&amp;ROW(AQ90),基本資料填寫!$C:$DU,COLUMN(基本資料填寫!CO91),0),"")</f>
        <v/>
      </c>
      <c r="R93" s="99" t="str">
        <f>IFERROR(VLOOKUP(基本資料填寫!$C$1&amp;"-"&amp;ROW(Y90),基本資料填寫!$C:$DU,COLUMN(基本資料填寫!AG91),0),"")</f>
        <v/>
      </c>
      <c r="S93" s="99" t="str">
        <f>IFERROR(VLOOKUP(基本資料填寫!$C$1&amp;"-"&amp;ROW(Z90),基本資料填寫!$C:$DU,COLUMN(基本資料填寫!AH91),0),"")</f>
        <v/>
      </c>
      <c r="AB93" s="115" t="str">
        <f>IFERROR(VLOOKUP(基本資料填寫!$C$1&amp;"-"&amp;ROW(BL90),基本資料填寫!$C:$DU,COLUMN(基本資料填寫!DK91),0),"")</f>
        <v/>
      </c>
      <c r="BG93" s="115" t="str">
        <f>IFERROR(VLOOKUP(基本資料填寫!$C$1&amp;"-"&amp;ROW(E90),基本資料填寫!$C:$DU,COLUMN(基本資料填寫!M91),0),"")</f>
        <v/>
      </c>
      <c r="BU93" s="115" t="str">
        <f>IFERROR(VLOOKUP(基本資料填寫!$C$1&amp;"-"&amp;ROW(O90),基本資料填寫!$C:$DU,COLUMN(基本資料填寫!W91),0),"")</f>
        <v/>
      </c>
      <c r="BV93" s="99" t="str">
        <f>IFERROR(VLOOKUP(基本資料填寫!$C$1&amp;"-"&amp;ROW(AA90),基本資料填寫!$C:$DU,COLUMN(基本資料填寫!AI91),0),"")</f>
        <v/>
      </c>
    </row>
    <row r="94" spans="1:74" ht="16.2" x14ac:dyDescent="0.3">
      <c r="A94" s="207"/>
      <c r="B94" s="114" t="str">
        <f>IF(I94="","",COUNTA($I$4:I94))</f>
        <v/>
      </c>
      <c r="C94" s="114" t="str">
        <f>IFERROR(VLOOKUP(基本資料填寫!$C$1&amp;"-"&amp;ROW(X91),基本資料填寫!$C:$DU,COLUMN(基本資料填寫!BV92),0),"")</f>
        <v/>
      </c>
      <c r="D94" s="99" t="str">
        <f>IFERROR(VLOOKUP(基本資料填寫!$C$1&amp;"-"&amp;ROW(D91),基本資料填寫!$C:$DU,COLUMN(基本資料填寫!L92),0),"")</f>
        <v/>
      </c>
      <c r="E94" s="115" t="str">
        <f>IFERROR(VLOOKUP(基本資料填寫!$C$1&amp;"-"&amp;ROW(AP91),基本資料填寫!$C:$DU,COLUMN(基本資料填寫!CN92),0),"")</f>
        <v/>
      </c>
      <c r="F94" s="114" t="str">
        <f>IFERROR(VLOOKUP(基本資料填寫!$C$1&amp;"-"&amp;ROW(I91),基本資料填寫!$C:$DU,COLUMN(基本資料填寫!Q92),0),"")</f>
        <v/>
      </c>
      <c r="G94" s="114" t="str">
        <f>IFERROR(VLOOKUP(基本資料填寫!$C$1&amp;"-"&amp;ROW(L91),基本資料填寫!$C:$DU,COLUMN(基本資料填寫!T92),0),"")</f>
        <v/>
      </c>
      <c r="H94" s="114" t="str">
        <f>IFERROR(VLOOKUP(基本資料填寫!$C$1&amp;"-"&amp;ROW(F91),基本資料填寫!$C:$DU,COLUMN(基本資料填寫!N92),0),"")</f>
        <v/>
      </c>
      <c r="I94" s="114" t="str">
        <f>IFERROR(VLOOKUP(基本資料填寫!$C$1&amp;"-"&amp;ROW(G91),基本資料填寫!$C:$DU,COLUMN(基本資料填寫!O92),0),"")</f>
        <v/>
      </c>
      <c r="J94" s="114" t="str">
        <f>IFERROR(VLOOKUP(基本資料填寫!$C$1&amp;"-"&amp;ROW(E91),基本資料填寫!$C:$DU,COLUMN(基本資料填寫!M92),0),"")</f>
        <v/>
      </c>
      <c r="K94" s="99" t="str">
        <f>IFERROR(VLOOKUP(基本資料填寫!$C$1&amp;"-"&amp;ROW(X91),基本資料填寫!$C:$DU,COLUMN(基本資料填寫!AF92),0),"")</f>
        <v/>
      </c>
      <c r="L94" s="115" t="str">
        <f>IFERROR(VLOOKUP(基本資料填寫!$C$1&amp;"-"&amp;ROW(AW91),基本資料填寫!$C:$DU,COLUMN(基本資料填寫!CU92),0),"")</f>
        <v/>
      </c>
      <c r="M94" s="115" t="str">
        <f>IFERROR(VLOOKUP(基本資料填寫!$C$1&amp;"-"&amp;ROW(AU91),基本資料填寫!$C:$DU,COLUMN(基本資料填寫!CS92),0),"")</f>
        <v/>
      </c>
      <c r="N94" s="115" t="str">
        <f>IFERROR(VLOOKUP(基本資料填寫!$C$1&amp;"-"&amp;ROW(AV91),基本資料填寫!$C:$DU,COLUMN(基本資料填寫!CT92),0),"")</f>
        <v/>
      </c>
      <c r="O94" s="115" t="str">
        <f>IFERROR(VLOOKUP(基本資料填寫!$C$1&amp;"-"&amp;ROW(N91),基本資料填寫!$C:$DU,COLUMN(基本資料填寫!V92),0),"")</f>
        <v/>
      </c>
      <c r="P94" s="115" t="str">
        <f>IFERROR(VLOOKUP(基本資料填寫!$C$1&amp;"-"&amp;ROW(AT91),基本資料填寫!$C:$DU,COLUMN(基本資料填寫!CR92),0),"")</f>
        <v/>
      </c>
      <c r="Q94" s="115" t="str">
        <f>IFERROR(VLOOKUP(基本資料填寫!$C$1&amp;"-"&amp;ROW(AQ91),基本資料填寫!$C:$DU,COLUMN(基本資料填寫!CO92),0),"")</f>
        <v/>
      </c>
      <c r="R94" s="99" t="str">
        <f>IFERROR(VLOOKUP(基本資料填寫!$C$1&amp;"-"&amp;ROW(Y91),基本資料填寫!$C:$DU,COLUMN(基本資料填寫!AG92),0),"")</f>
        <v/>
      </c>
      <c r="S94" s="99" t="str">
        <f>IFERROR(VLOOKUP(基本資料填寫!$C$1&amp;"-"&amp;ROW(Z91),基本資料填寫!$C:$DU,COLUMN(基本資料填寫!AH92),0),"")</f>
        <v/>
      </c>
      <c r="AB94" s="115" t="str">
        <f>IFERROR(VLOOKUP(基本資料填寫!$C$1&amp;"-"&amp;ROW(BL91),基本資料填寫!$C:$DU,COLUMN(基本資料填寫!DK92),0),"")</f>
        <v/>
      </c>
      <c r="BG94" s="115" t="str">
        <f>IFERROR(VLOOKUP(基本資料填寫!$C$1&amp;"-"&amp;ROW(E91),基本資料填寫!$C:$DU,COLUMN(基本資料填寫!M92),0),"")</f>
        <v/>
      </c>
      <c r="BU94" s="115" t="str">
        <f>IFERROR(VLOOKUP(基本資料填寫!$C$1&amp;"-"&amp;ROW(O91),基本資料填寫!$C:$DU,COLUMN(基本資料填寫!W92),0),"")</f>
        <v/>
      </c>
      <c r="BV94" s="99" t="str">
        <f>IFERROR(VLOOKUP(基本資料填寫!$C$1&amp;"-"&amp;ROW(AA91),基本資料填寫!$C:$DU,COLUMN(基本資料填寫!AI92),0),"")</f>
        <v/>
      </c>
    </row>
    <row r="95" spans="1:74" ht="16.2" x14ac:dyDescent="0.3">
      <c r="A95" s="207"/>
      <c r="B95" s="114" t="str">
        <f>IF(I95="","",COUNTA($I$4:I95))</f>
        <v/>
      </c>
      <c r="C95" s="114" t="str">
        <f>IFERROR(VLOOKUP(基本資料填寫!$C$1&amp;"-"&amp;ROW(X92),基本資料填寫!$C:$DU,COLUMN(基本資料填寫!BV93),0),"")</f>
        <v/>
      </c>
      <c r="D95" s="99" t="str">
        <f>IFERROR(VLOOKUP(基本資料填寫!$C$1&amp;"-"&amp;ROW(D92),基本資料填寫!$C:$DU,COLUMN(基本資料填寫!L93),0),"")</f>
        <v/>
      </c>
      <c r="E95" s="115" t="str">
        <f>IFERROR(VLOOKUP(基本資料填寫!$C$1&amp;"-"&amp;ROW(AP92),基本資料填寫!$C:$DU,COLUMN(基本資料填寫!CN93),0),"")</f>
        <v/>
      </c>
      <c r="F95" s="114" t="str">
        <f>IFERROR(VLOOKUP(基本資料填寫!$C$1&amp;"-"&amp;ROW(I92),基本資料填寫!$C:$DU,COLUMN(基本資料填寫!Q93),0),"")</f>
        <v/>
      </c>
      <c r="G95" s="114" t="str">
        <f>IFERROR(VLOOKUP(基本資料填寫!$C$1&amp;"-"&amp;ROW(L92),基本資料填寫!$C:$DU,COLUMN(基本資料填寫!T93),0),"")</f>
        <v/>
      </c>
      <c r="H95" s="114" t="str">
        <f>IFERROR(VLOOKUP(基本資料填寫!$C$1&amp;"-"&amp;ROW(F92),基本資料填寫!$C:$DU,COLUMN(基本資料填寫!N93),0),"")</f>
        <v/>
      </c>
      <c r="I95" s="114" t="str">
        <f>IFERROR(VLOOKUP(基本資料填寫!$C$1&amp;"-"&amp;ROW(G92),基本資料填寫!$C:$DU,COLUMN(基本資料填寫!O93),0),"")</f>
        <v/>
      </c>
      <c r="J95" s="114" t="str">
        <f>IFERROR(VLOOKUP(基本資料填寫!$C$1&amp;"-"&amp;ROW(E92),基本資料填寫!$C:$DU,COLUMN(基本資料填寫!M93),0),"")</f>
        <v/>
      </c>
      <c r="K95" s="99" t="str">
        <f>IFERROR(VLOOKUP(基本資料填寫!$C$1&amp;"-"&amp;ROW(X92),基本資料填寫!$C:$DU,COLUMN(基本資料填寫!AF93),0),"")</f>
        <v/>
      </c>
      <c r="L95" s="115" t="str">
        <f>IFERROR(VLOOKUP(基本資料填寫!$C$1&amp;"-"&amp;ROW(AW92),基本資料填寫!$C:$DU,COLUMN(基本資料填寫!CU93),0),"")</f>
        <v/>
      </c>
      <c r="M95" s="115" t="str">
        <f>IFERROR(VLOOKUP(基本資料填寫!$C$1&amp;"-"&amp;ROW(AU92),基本資料填寫!$C:$DU,COLUMN(基本資料填寫!CS93),0),"")</f>
        <v/>
      </c>
      <c r="N95" s="115" t="str">
        <f>IFERROR(VLOOKUP(基本資料填寫!$C$1&amp;"-"&amp;ROW(AV92),基本資料填寫!$C:$DU,COLUMN(基本資料填寫!CT93),0),"")</f>
        <v/>
      </c>
      <c r="O95" s="115" t="str">
        <f>IFERROR(VLOOKUP(基本資料填寫!$C$1&amp;"-"&amp;ROW(N92),基本資料填寫!$C:$DU,COLUMN(基本資料填寫!V93),0),"")</f>
        <v/>
      </c>
      <c r="P95" s="115" t="str">
        <f>IFERROR(VLOOKUP(基本資料填寫!$C$1&amp;"-"&amp;ROW(AT92),基本資料填寫!$C:$DU,COLUMN(基本資料填寫!CR93),0),"")</f>
        <v/>
      </c>
      <c r="Q95" s="115" t="str">
        <f>IFERROR(VLOOKUP(基本資料填寫!$C$1&amp;"-"&amp;ROW(AQ92),基本資料填寫!$C:$DU,COLUMN(基本資料填寫!CO93),0),"")</f>
        <v/>
      </c>
      <c r="R95" s="99" t="str">
        <f>IFERROR(VLOOKUP(基本資料填寫!$C$1&amp;"-"&amp;ROW(Y92),基本資料填寫!$C:$DU,COLUMN(基本資料填寫!AG93),0),"")</f>
        <v/>
      </c>
      <c r="S95" s="99" t="str">
        <f>IFERROR(VLOOKUP(基本資料填寫!$C$1&amp;"-"&amp;ROW(Z92),基本資料填寫!$C:$DU,COLUMN(基本資料填寫!AH93),0),"")</f>
        <v/>
      </c>
      <c r="AB95" s="115" t="str">
        <f>IFERROR(VLOOKUP(基本資料填寫!$C$1&amp;"-"&amp;ROW(BL92),基本資料填寫!$C:$DU,COLUMN(基本資料填寫!DK93),0),"")</f>
        <v/>
      </c>
      <c r="BG95" s="115" t="str">
        <f>IFERROR(VLOOKUP(基本資料填寫!$C$1&amp;"-"&amp;ROW(E92),基本資料填寫!$C:$DU,COLUMN(基本資料填寫!M93),0),"")</f>
        <v/>
      </c>
      <c r="BU95" s="115" t="str">
        <f>IFERROR(VLOOKUP(基本資料填寫!$C$1&amp;"-"&amp;ROW(O92),基本資料填寫!$C:$DU,COLUMN(基本資料填寫!W93),0),"")</f>
        <v/>
      </c>
      <c r="BV95" s="99" t="str">
        <f>IFERROR(VLOOKUP(基本資料填寫!$C$1&amp;"-"&amp;ROW(AA92),基本資料填寫!$C:$DU,COLUMN(基本資料填寫!AI93),0),"")</f>
        <v/>
      </c>
    </row>
    <row r="96" spans="1:74" ht="16.2" x14ac:dyDescent="0.3">
      <c r="A96" s="207"/>
      <c r="B96" s="114" t="str">
        <f>IF(I96="","",COUNTA($I$4:I96))</f>
        <v/>
      </c>
      <c r="C96" s="114" t="str">
        <f>IFERROR(VLOOKUP(基本資料填寫!$C$1&amp;"-"&amp;ROW(X93),基本資料填寫!$C:$DU,COLUMN(基本資料填寫!BV94),0),"")</f>
        <v/>
      </c>
      <c r="D96" s="99" t="str">
        <f>IFERROR(VLOOKUP(基本資料填寫!$C$1&amp;"-"&amp;ROW(D93),基本資料填寫!$C:$DU,COLUMN(基本資料填寫!L94),0),"")</f>
        <v/>
      </c>
      <c r="E96" s="115" t="str">
        <f>IFERROR(VLOOKUP(基本資料填寫!$C$1&amp;"-"&amp;ROW(AP93),基本資料填寫!$C:$DU,COLUMN(基本資料填寫!CN94),0),"")</f>
        <v/>
      </c>
      <c r="F96" s="114" t="str">
        <f>IFERROR(VLOOKUP(基本資料填寫!$C$1&amp;"-"&amp;ROW(I93),基本資料填寫!$C:$DU,COLUMN(基本資料填寫!Q94),0),"")</f>
        <v/>
      </c>
      <c r="G96" s="114" t="str">
        <f>IFERROR(VLOOKUP(基本資料填寫!$C$1&amp;"-"&amp;ROW(L93),基本資料填寫!$C:$DU,COLUMN(基本資料填寫!T94),0),"")</f>
        <v/>
      </c>
      <c r="H96" s="114" t="str">
        <f>IFERROR(VLOOKUP(基本資料填寫!$C$1&amp;"-"&amp;ROW(F93),基本資料填寫!$C:$DU,COLUMN(基本資料填寫!N94),0),"")</f>
        <v/>
      </c>
      <c r="I96" s="114" t="str">
        <f>IFERROR(VLOOKUP(基本資料填寫!$C$1&amp;"-"&amp;ROW(G93),基本資料填寫!$C:$DU,COLUMN(基本資料填寫!O94),0),"")</f>
        <v/>
      </c>
      <c r="J96" s="114" t="str">
        <f>IFERROR(VLOOKUP(基本資料填寫!$C$1&amp;"-"&amp;ROW(E93),基本資料填寫!$C:$DU,COLUMN(基本資料填寫!M94),0),"")</f>
        <v/>
      </c>
      <c r="K96" s="99" t="str">
        <f>IFERROR(VLOOKUP(基本資料填寫!$C$1&amp;"-"&amp;ROW(X93),基本資料填寫!$C:$DU,COLUMN(基本資料填寫!AF94),0),"")</f>
        <v/>
      </c>
      <c r="L96" s="115" t="str">
        <f>IFERROR(VLOOKUP(基本資料填寫!$C$1&amp;"-"&amp;ROW(AW93),基本資料填寫!$C:$DU,COLUMN(基本資料填寫!CU94),0),"")</f>
        <v/>
      </c>
      <c r="M96" s="115" t="str">
        <f>IFERROR(VLOOKUP(基本資料填寫!$C$1&amp;"-"&amp;ROW(AU93),基本資料填寫!$C:$DU,COLUMN(基本資料填寫!CS94),0),"")</f>
        <v/>
      </c>
      <c r="N96" s="115" t="str">
        <f>IFERROR(VLOOKUP(基本資料填寫!$C$1&amp;"-"&amp;ROW(AV93),基本資料填寫!$C:$DU,COLUMN(基本資料填寫!CT94),0),"")</f>
        <v/>
      </c>
      <c r="O96" s="115" t="str">
        <f>IFERROR(VLOOKUP(基本資料填寫!$C$1&amp;"-"&amp;ROW(N93),基本資料填寫!$C:$DU,COLUMN(基本資料填寫!V94),0),"")</f>
        <v/>
      </c>
      <c r="P96" s="115" t="str">
        <f>IFERROR(VLOOKUP(基本資料填寫!$C$1&amp;"-"&amp;ROW(AT93),基本資料填寫!$C:$DU,COLUMN(基本資料填寫!CR94),0),"")</f>
        <v/>
      </c>
      <c r="Q96" s="115" t="str">
        <f>IFERROR(VLOOKUP(基本資料填寫!$C$1&amp;"-"&amp;ROW(AQ93),基本資料填寫!$C:$DU,COLUMN(基本資料填寫!CO94),0),"")</f>
        <v/>
      </c>
      <c r="R96" s="99" t="str">
        <f>IFERROR(VLOOKUP(基本資料填寫!$C$1&amp;"-"&amp;ROW(Y93),基本資料填寫!$C:$DU,COLUMN(基本資料填寫!AG94),0),"")</f>
        <v/>
      </c>
      <c r="S96" s="99" t="str">
        <f>IFERROR(VLOOKUP(基本資料填寫!$C$1&amp;"-"&amp;ROW(Z93),基本資料填寫!$C:$DU,COLUMN(基本資料填寫!AH94),0),"")</f>
        <v/>
      </c>
      <c r="AB96" s="115" t="str">
        <f>IFERROR(VLOOKUP(基本資料填寫!$C$1&amp;"-"&amp;ROW(BL93),基本資料填寫!$C:$DU,COLUMN(基本資料填寫!DK94),0),"")</f>
        <v/>
      </c>
      <c r="BG96" s="115" t="str">
        <f>IFERROR(VLOOKUP(基本資料填寫!$C$1&amp;"-"&amp;ROW(E93),基本資料填寫!$C:$DU,COLUMN(基本資料填寫!M94),0),"")</f>
        <v/>
      </c>
      <c r="BU96" s="115" t="str">
        <f>IFERROR(VLOOKUP(基本資料填寫!$C$1&amp;"-"&amp;ROW(O93),基本資料填寫!$C:$DU,COLUMN(基本資料填寫!W94),0),"")</f>
        <v/>
      </c>
      <c r="BV96" s="99" t="str">
        <f>IFERROR(VLOOKUP(基本資料填寫!$C$1&amp;"-"&amp;ROW(AA93),基本資料填寫!$C:$DU,COLUMN(基本資料填寫!AI94),0),"")</f>
        <v/>
      </c>
    </row>
    <row r="97" spans="1:74" ht="16.2" x14ac:dyDescent="0.3">
      <c r="A97" s="207"/>
      <c r="B97" s="114" t="str">
        <f>IF(I97="","",COUNTA($I$4:I97))</f>
        <v/>
      </c>
      <c r="C97" s="114" t="str">
        <f>IFERROR(VLOOKUP(基本資料填寫!$C$1&amp;"-"&amp;ROW(X94),基本資料填寫!$C:$DU,COLUMN(基本資料填寫!BV95),0),"")</f>
        <v/>
      </c>
      <c r="D97" s="99" t="str">
        <f>IFERROR(VLOOKUP(基本資料填寫!$C$1&amp;"-"&amp;ROW(D94),基本資料填寫!$C:$DU,COLUMN(基本資料填寫!L95),0),"")</f>
        <v/>
      </c>
      <c r="E97" s="115" t="str">
        <f>IFERROR(VLOOKUP(基本資料填寫!$C$1&amp;"-"&amp;ROW(AP94),基本資料填寫!$C:$DU,COLUMN(基本資料填寫!CN95),0),"")</f>
        <v/>
      </c>
      <c r="F97" s="114" t="str">
        <f>IFERROR(VLOOKUP(基本資料填寫!$C$1&amp;"-"&amp;ROW(I94),基本資料填寫!$C:$DU,COLUMN(基本資料填寫!Q95),0),"")</f>
        <v/>
      </c>
      <c r="G97" s="114" t="str">
        <f>IFERROR(VLOOKUP(基本資料填寫!$C$1&amp;"-"&amp;ROW(L94),基本資料填寫!$C:$DU,COLUMN(基本資料填寫!T95),0),"")</f>
        <v/>
      </c>
      <c r="H97" s="114" t="str">
        <f>IFERROR(VLOOKUP(基本資料填寫!$C$1&amp;"-"&amp;ROW(F94),基本資料填寫!$C:$DU,COLUMN(基本資料填寫!N95),0),"")</f>
        <v/>
      </c>
      <c r="I97" s="114" t="str">
        <f>IFERROR(VLOOKUP(基本資料填寫!$C$1&amp;"-"&amp;ROW(G94),基本資料填寫!$C:$DU,COLUMN(基本資料填寫!O95),0),"")</f>
        <v/>
      </c>
      <c r="J97" s="114" t="str">
        <f>IFERROR(VLOOKUP(基本資料填寫!$C$1&amp;"-"&amp;ROW(E94),基本資料填寫!$C:$DU,COLUMN(基本資料填寫!M95),0),"")</f>
        <v/>
      </c>
      <c r="K97" s="99" t="str">
        <f>IFERROR(VLOOKUP(基本資料填寫!$C$1&amp;"-"&amp;ROW(X94),基本資料填寫!$C:$DU,COLUMN(基本資料填寫!AF95),0),"")</f>
        <v/>
      </c>
      <c r="L97" s="115" t="str">
        <f>IFERROR(VLOOKUP(基本資料填寫!$C$1&amp;"-"&amp;ROW(AW94),基本資料填寫!$C:$DU,COLUMN(基本資料填寫!CU95),0),"")</f>
        <v/>
      </c>
      <c r="M97" s="115" t="str">
        <f>IFERROR(VLOOKUP(基本資料填寫!$C$1&amp;"-"&amp;ROW(AU94),基本資料填寫!$C:$DU,COLUMN(基本資料填寫!CS95),0),"")</f>
        <v/>
      </c>
      <c r="N97" s="115" t="str">
        <f>IFERROR(VLOOKUP(基本資料填寫!$C$1&amp;"-"&amp;ROW(AV94),基本資料填寫!$C:$DU,COLUMN(基本資料填寫!CT95),0),"")</f>
        <v/>
      </c>
      <c r="O97" s="115" t="str">
        <f>IFERROR(VLOOKUP(基本資料填寫!$C$1&amp;"-"&amp;ROW(N94),基本資料填寫!$C:$DU,COLUMN(基本資料填寫!V95),0),"")</f>
        <v/>
      </c>
      <c r="P97" s="115" t="str">
        <f>IFERROR(VLOOKUP(基本資料填寫!$C$1&amp;"-"&amp;ROW(AT94),基本資料填寫!$C:$DU,COLUMN(基本資料填寫!CR95),0),"")</f>
        <v/>
      </c>
      <c r="Q97" s="115" t="str">
        <f>IFERROR(VLOOKUP(基本資料填寫!$C$1&amp;"-"&amp;ROW(AQ94),基本資料填寫!$C:$DU,COLUMN(基本資料填寫!CO95),0),"")</f>
        <v/>
      </c>
      <c r="R97" s="99" t="str">
        <f>IFERROR(VLOOKUP(基本資料填寫!$C$1&amp;"-"&amp;ROW(Y94),基本資料填寫!$C:$DU,COLUMN(基本資料填寫!AG95),0),"")</f>
        <v/>
      </c>
      <c r="S97" s="99" t="str">
        <f>IFERROR(VLOOKUP(基本資料填寫!$C$1&amp;"-"&amp;ROW(Z94),基本資料填寫!$C:$DU,COLUMN(基本資料填寫!AH95),0),"")</f>
        <v/>
      </c>
      <c r="AB97" s="115" t="str">
        <f>IFERROR(VLOOKUP(基本資料填寫!$C$1&amp;"-"&amp;ROW(BL94),基本資料填寫!$C:$DU,COLUMN(基本資料填寫!DK95),0),"")</f>
        <v/>
      </c>
      <c r="BG97" s="115" t="str">
        <f>IFERROR(VLOOKUP(基本資料填寫!$C$1&amp;"-"&amp;ROW(E94),基本資料填寫!$C:$DU,COLUMN(基本資料填寫!M95),0),"")</f>
        <v/>
      </c>
      <c r="BU97" s="115" t="str">
        <f>IFERROR(VLOOKUP(基本資料填寫!$C$1&amp;"-"&amp;ROW(O94),基本資料填寫!$C:$DU,COLUMN(基本資料填寫!W95),0),"")</f>
        <v/>
      </c>
      <c r="BV97" s="99" t="str">
        <f>IFERROR(VLOOKUP(基本資料填寫!$C$1&amp;"-"&amp;ROW(AA94),基本資料填寫!$C:$DU,COLUMN(基本資料填寫!AI95),0),"")</f>
        <v/>
      </c>
    </row>
    <row r="98" spans="1:74" ht="16.2" x14ac:dyDescent="0.3">
      <c r="A98" s="207"/>
      <c r="B98" s="114" t="str">
        <f>IF(I98="","",COUNTA($I$4:I98))</f>
        <v/>
      </c>
      <c r="C98" s="114" t="str">
        <f>IFERROR(VLOOKUP(基本資料填寫!$C$1&amp;"-"&amp;ROW(X95),基本資料填寫!$C:$DU,COLUMN(基本資料填寫!BV96),0),"")</f>
        <v/>
      </c>
      <c r="D98" s="99" t="str">
        <f>IFERROR(VLOOKUP(基本資料填寫!$C$1&amp;"-"&amp;ROW(D95),基本資料填寫!$C:$DU,COLUMN(基本資料填寫!L96),0),"")</f>
        <v/>
      </c>
      <c r="E98" s="115" t="str">
        <f>IFERROR(VLOOKUP(基本資料填寫!$C$1&amp;"-"&amp;ROW(AP95),基本資料填寫!$C:$DU,COLUMN(基本資料填寫!CN96),0),"")</f>
        <v/>
      </c>
      <c r="F98" s="114" t="str">
        <f>IFERROR(VLOOKUP(基本資料填寫!$C$1&amp;"-"&amp;ROW(I95),基本資料填寫!$C:$DU,COLUMN(基本資料填寫!Q96),0),"")</f>
        <v/>
      </c>
      <c r="G98" s="114" t="str">
        <f>IFERROR(VLOOKUP(基本資料填寫!$C$1&amp;"-"&amp;ROW(L95),基本資料填寫!$C:$DU,COLUMN(基本資料填寫!T96),0),"")</f>
        <v/>
      </c>
      <c r="H98" s="114" t="str">
        <f>IFERROR(VLOOKUP(基本資料填寫!$C$1&amp;"-"&amp;ROW(F95),基本資料填寫!$C:$DU,COLUMN(基本資料填寫!N96),0),"")</f>
        <v/>
      </c>
      <c r="I98" s="114" t="str">
        <f>IFERROR(VLOOKUP(基本資料填寫!$C$1&amp;"-"&amp;ROW(G95),基本資料填寫!$C:$DU,COLUMN(基本資料填寫!O96),0),"")</f>
        <v/>
      </c>
      <c r="J98" s="114" t="str">
        <f>IFERROR(VLOOKUP(基本資料填寫!$C$1&amp;"-"&amp;ROW(E95),基本資料填寫!$C:$DU,COLUMN(基本資料填寫!M96),0),"")</f>
        <v/>
      </c>
      <c r="K98" s="99" t="str">
        <f>IFERROR(VLOOKUP(基本資料填寫!$C$1&amp;"-"&amp;ROW(X95),基本資料填寫!$C:$DU,COLUMN(基本資料填寫!AF96),0),"")</f>
        <v/>
      </c>
      <c r="L98" s="115" t="str">
        <f>IFERROR(VLOOKUP(基本資料填寫!$C$1&amp;"-"&amp;ROW(AW95),基本資料填寫!$C:$DU,COLUMN(基本資料填寫!CU96),0),"")</f>
        <v/>
      </c>
      <c r="M98" s="115" t="str">
        <f>IFERROR(VLOOKUP(基本資料填寫!$C$1&amp;"-"&amp;ROW(AU95),基本資料填寫!$C:$DU,COLUMN(基本資料填寫!CS96),0),"")</f>
        <v/>
      </c>
      <c r="N98" s="115" t="str">
        <f>IFERROR(VLOOKUP(基本資料填寫!$C$1&amp;"-"&amp;ROW(AV95),基本資料填寫!$C:$DU,COLUMN(基本資料填寫!CT96),0),"")</f>
        <v/>
      </c>
      <c r="O98" s="115" t="str">
        <f>IFERROR(VLOOKUP(基本資料填寫!$C$1&amp;"-"&amp;ROW(N95),基本資料填寫!$C:$DU,COLUMN(基本資料填寫!V96),0),"")</f>
        <v/>
      </c>
      <c r="P98" s="115" t="str">
        <f>IFERROR(VLOOKUP(基本資料填寫!$C$1&amp;"-"&amp;ROW(AT95),基本資料填寫!$C:$DU,COLUMN(基本資料填寫!CR96),0),"")</f>
        <v/>
      </c>
      <c r="Q98" s="115" t="str">
        <f>IFERROR(VLOOKUP(基本資料填寫!$C$1&amp;"-"&amp;ROW(AQ95),基本資料填寫!$C:$DU,COLUMN(基本資料填寫!CO96),0),"")</f>
        <v/>
      </c>
      <c r="R98" s="99" t="str">
        <f>IFERROR(VLOOKUP(基本資料填寫!$C$1&amp;"-"&amp;ROW(Y95),基本資料填寫!$C:$DU,COLUMN(基本資料填寫!AG96),0),"")</f>
        <v/>
      </c>
      <c r="S98" s="99" t="str">
        <f>IFERROR(VLOOKUP(基本資料填寫!$C$1&amp;"-"&amp;ROW(Z95),基本資料填寫!$C:$DU,COLUMN(基本資料填寫!AH96),0),"")</f>
        <v/>
      </c>
      <c r="AB98" s="115" t="str">
        <f>IFERROR(VLOOKUP(基本資料填寫!$C$1&amp;"-"&amp;ROW(BL95),基本資料填寫!$C:$DU,COLUMN(基本資料填寫!DK96),0),"")</f>
        <v/>
      </c>
      <c r="BG98" s="115" t="str">
        <f>IFERROR(VLOOKUP(基本資料填寫!$C$1&amp;"-"&amp;ROW(E95),基本資料填寫!$C:$DU,COLUMN(基本資料填寫!M96),0),"")</f>
        <v/>
      </c>
      <c r="BU98" s="115" t="str">
        <f>IFERROR(VLOOKUP(基本資料填寫!$C$1&amp;"-"&amp;ROW(O95),基本資料填寫!$C:$DU,COLUMN(基本資料填寫!W96),0),"")</f>
        <v/>
      </c>
      <c r="BV98" s="99" t="str">
        <f>IFERROR(VLOOKUP(基本資料填寫!$C$1&amp;"-"&amp;ROW(AA95),基本資料填寫!$C:$DU,COLUMN(基本資料填寫!AI96),0),"")</f>
        <v/>
      </c>
    </row>
    <row r="99" spans="1:74" ht="16.2" x14ac:dyDescent="0.3">
      <c r="A99" s="207"/>
      <c r="B99" s="114" t="str">
        <f>IF(I99="","",COUNTA($I$4:I99))</f>
        <v/>
      </c>
      <c r="C99" s="114" t="str">
        <f>IFERROR(VLOOKUP(基本資料填寫!$C$1&amp;"-"&amp;ROW(X96),基本資料填寫!$C:$DU,COLUMN(基本資料填寫!BV97),0),"")</f>
        <v/>
      </c>
      <c r="D99" s="99" t="str">
        <f>IFERROR(VLOOKUP(基本資料填寫!$C$1&amp;"-"&amp;ROW(D96),基本資料填寫!$C:$DU,COLUMN(基本資料填寫!L97),0),"")</f>
        <v/>
      </c>
      <c r="E99" s="115" t="str">
        <f>IFERROR(VLOOKUP(基本資料填寫!$C$1&amp;"-"&amp;ROW(AP96),基本資料填寫!$C:$DU,COLUMN(基本資料填寫!CN97),0),"")</f>
        <v/>
      </c>
      <c r="F99" s="114" t="str">
        <f>IFERROR(VLOOKUP(基本資料填寫!$C$1&amp;"-"&amp;ROW(I96),基本資料填寫!$C:$DU,COLUMN(基本資料填寫!Q97),0),"")</f>
        <v/>
      </c>
      <c r="G99" s="114" t="str">
        <f>IFERROR(VLOOKUP(基本資料填寫!$C$1&amp;"-"&amp;ROW(L96),基本資料填寫!$C:$DU,COLUMN(基本資料填寫!T97),0),"")</f>
        <v/>
      </c>
      <c r="H99" s="114" t="str">
        <f>IFERROR(VLOOKUP(基本資料填寫!$C$1&amp;"-"&amp;ROW(F96),基本資料填寫!$C:$DU,COLUMN(基本資料填寫!N97),0),"")</f>
        <v/>
      </c>
      <c r="I99" s="114" t="str">
        <f>IFERROR(VLOOKUP(基本資料填寫!$C$1&amp;"-"&amp;ROW(G96),基本資料填寫!$C:$DU,COLUMN(基本資料填寫!O97),0),"")</f>
        <v/>
      </c>
      <c r="J99" s="114" t="str">
        <f>IFERROR(VLOOKUP(基本資料填寫!$C$1&amp;"-"&amp;ROW(E96),基本資料填寫!$C:$DU,COLUMN(基本資料填寫!M97),0),"")</f>
        <v/>
      </c>
      <c r="K99" s="99" t="str">
        <f>IFERROR(VLOOKUP(基本資料填寫!$C$1&amp;"-"&amp;ROW(X96),基本資料填寫!$C:$DU,COLUMN(基本資料填寫!AF97),0),"")</f>
        <v/>
      </c>
      <c r="L99" s="115" t="str">
        <f>IFERROR(VLOOKUP(基本資料填寫!$C$1&amp;"-"&amp;ROW(AW96),基本資料填寫!$C:$DU,COLUMN(基本資料填寫!CU97),0),"")</f>
        <v/>
      </c>
      <c r="M99" s="115" t="str">
        <f>IFERROR(VLOOKUP(基本資料填寫!$C$1&amp;"-"&amp;ROW(AU96),基本資料填寫!$C:$DU,COLUMN(基本資料填寫!CS97),0),"")</f>
        <v/>
      </c>
      <c r="N99" s="115" t="str">
        <f>IFERROR(VLOOKUP(基本資料填寫!$C$1&amp;"-"&amp;ROW(AV96),基本資料填寫!$C:$DU,COLUMN(基本資料填寫!CT97),0),"")</f>
        <v/>
      </c>
      <c r="O99" s="115" t="str">
        <f>IFERROR(VLOOKUP(基本資料填寫!$C$1&amp;"-"&amp;ROW(N96),基本資料填寫!$C:$DU,COLUMN(基本資料填寫!V97),0),"")</f>
        <v/>
      </c>
      <c r="P99" s="115" t="str">
        <f>IFERROR(VLOOKUP(基本資料填寫!$C$1&amp;"-"&amp;ROW(AT96),基本資料填寫!$C:$DU,COLUMN(基本資料填寫!CR97),0),"")</f>
        <v/>
      </c>
      <c r="Q99" s="115" t="str">
        <f>IFERROR(VLOOKUP(基本資料填寫!$C$1&amp;"-"&amp;ROW(AQ96),基本資料填寫!$C:$DU,COLUMN(基本資料填寫!CO97),0),"")</f>
        <v/>
      </c>
      <c r="R99" s="99" t="str">
        <f>IFERROR(VLOOKUP(基本資料填寫!$C$1&amp;"-"&amp;ROW(Y96),基本資料填寫!$C:$DU,COLUMN(基本資料填寫!AG97),0),"")</f>
        <v/>
      </c>
      <c r="S99" s="99" t="str">
        <f>IFERROR(VLOOKUP(基本資料填寫!$C$1&amp;"-"&amp;ROW(Z96),基本資料填寫!$C:$DU,COLUMN(基本資料填寫!AH97),0),"")</f>
        <v/>
      </c>
      <c r="AB99" s="115" t="str">
        <f>IFERROR(VLOOKUP(基本資料填寫!$C$1&amp;"-"&amp;ROW(BL96),基本資料填寫!$C:$DU,COLUMN(基本資料填寫!DK97),0),"")</f>
        <v/>
      </c>
      <c r="BG99" s="115" t="str">
        <f>IFERROR(VLOOKUP(基本資料填寫!$C$1&amp;"-"&amp;ROW(E96),基本資料填寫!$C:$DU,COLUMN(基本資料填寫!M97),0),"")</f>
        <v/>
      </c>
      <c r="BU99" s="115" t="str">
        <f>IFERROR(VLOOKUP(基本資料填寫!$C$1&amp;"-"&amp;ROW(O96),基本資料填寫!$C:$DU,COLUMN(基本資料填寫!W97),0),"")</f>
        <v/>
      </c>
      <c r="BV99" s="99" t="str">
        <f>IFERROR(VLOOKUP(基本資料填寫!$C$1&amp;"-"&amp;ROW(AA96),基本資料填寫!$C:$DU,COLUMN(基本資料填寫!AI97),0),"")</f>
        <v/>
      </c>
    </row>
    <row r="100" spans="1:74" ht="16.2" x14ac:dyDescent="0.3">
      <c r="A100" s="207"/>
      <c r="B100" s="114" t="str">
        <f>IF(I100="","",COUNTA($I$4:I100))</f>
        <v/>
      </c>
      <c r="C100" s="114" t="str">
        <f>IFERROR(VLOOKUP(基本資料填寫!$C$1&amp;"-"&amp;ROW(X97),基本資料填寫!$C:$DU,COLUMN(基本資料填寫!BV98),0),"")</f>
        <v/>
      </c>
      <c r="D100" s="99" t="str">
        <f>IFERROR(VLOOKUP(基本資料填寫!$C$1&amp;"-"&amp;ROW(D97),基本資料填寫!$C:$DU,COLUMN(基本資料填寫!L98),0),"")</f>
        <v/>
      </c>
      <c r="E100" s="115" t="str">
        <f>IFERROR(VLOOKUP(基本資料填寫!$C$1&amp;"-"&amp;ROW(AP97),基本資料填寫!$C:$DU,COLUMN(基本資料填寫!CN98),0),"")</f>
        <v/>
      </c>
      <c r="F100" s="114" t="str">
        <f>IFERROR(VLOOKUP(基本資料填寫!$C$1&amp;"-"&amp;ROW(I97),基本資料填寫!$C:$DU,COLUMN(基本資料填寫!Q98),0),"")</f>
        <v/>
      </c>
      <c r="G100" s="114" t="str">
        <f>IFERROR(VLOOKUP(基本資料填寫!$C$1&amp;"-"&amp;ROW(L97),基本資料填寫!$C:$DU,COLUMN(基本資料填寫!T98),0),"")</f>
        <v/>
      </c>
      <c r="H100" s="114" t="str">
        <f>IFERROR(VLOOKUP(基本資料填寫!$C$1&amp;"-"&amp;ROW(F97),基本資料填寫!$C:$DU,COLUMN(基本資料填寫!N98),0),"")</f>
        <v/>
      </c>
      <c r="I100" s="114" t="str">
        <f>IFERROR(VLOOKUP(基本資料填寫!$C$1&amp;"-"&amp;ROW(G97),基本資料填寫!$C:$DU,COLUMN(基本資料填寫!O98),0),"")</f>
        <v/>
      </c>
      <c r="J100" s="114" t="str">
        <f>IFERROR(VLOOKUP(基本資料填寫!$C$1&amp;"-"&amp;ROW(E97),基本資料填寫!$C:$DU,COLUMN(基本資料填寫!M98),0),"")</f>
        <v/>
      </c>
      <c r="K100" s="99" t="str">
        <f>IFERROR(VLOOKUP(基本資料填寫!$C$1&amp;"-"&amp;ROW(X97),基本資料填寫!$C:$DU,COLUMN(基本資料填寫!AF98),0),"")</f>
        <v/>
      </c>
      <c r="L100" s="115" t="str">
        <f>IFERROR(VLOOKUP(基本資料填寫!$C$1&amp;"-"&amp;ROW(AW97),基本資料填寫!$C:$DU,COLUMN(基本資料填寫!CU98),0),"")</f>
        <v/>
      </c>
      <c r="M100" s="115" t="str">
        <f>IFERROR(VLOOKUP(基本資料填寫!$C$1&amp;"-"&amp;ROW(AU97),基本資料填寫!$C:$DU,COLUMN(基本資料填寫!CS98),0),"")</f>
        <v/>
      </c>
      <c r="N100" s="115" t="str">
        <f>IFERROR(VLOOKUP(基本資料填寫!$C$1&amp;"-"&amp;ROW(AV97),基本資料填寫!$C:$DU,COLUMN(基本資料填寫!CT98),0),"")</f>
        <v/>
      </c>
      <c r="O100" s="115" t="str">
        <f>IFERROR(VLOOKUP(基本資料填寫!$C$1&amp;"-"&amp;ROW(N97),基本資料填寫!$C:$DU,COLUMN(基本資料填寫!V98),0),"")</f>
        <v/>
      </c>
      <c r="P100" s="115" t="str">
        <f>IFERROR(VLOOKUP(基本資料填寫!$C$1&amp;"-"&amp;ROW(AT97),基本資料填寫!$C:$DU,COLUMN(基本資料填寫!CR98),0),"")</f>
        <v/>
      </c>
      <c r="Q100" s="115" t="str">
        <f>IFERROR(VLOOKUP(基本資料填寫!$C$1&amp;"-"&amp;ROW(AQ97),基本資料填寫!$C:$DU,COLUMN(基本資料填寫!CO98),0),"")</f>
        <v/>
      </c>
      <c r="R100" s="99" t="str">
        <f>IFERROR(VLOOKUP(基本資料填寫!$C$1&amp;"-"&amp;ROW(Y97),基本資料填寫!$C:$DU,COLUMN(基本資料填寫!AG98),0),"")</f>
        <v/>
      </c>
      <c r="S100" s="99" t="str">
        <f>IFERROR(VLOOKUP(基本資料填寫!$C$1&amp;"-"&amp;ROW(Z97),基本資料填寫!$C:$DU,COLUMN(基本資料填寫!AH98),0),"")</f>
        <v/>
      </c>
      <c r="AB100" s="115" t="str">
        <f>IFERROR(VLOOKUP(基本資料填寫!$C$1&amp;"-"&amp;ROW(BL97),基本資料填寫!$C:$DU,COLUMN(基本資料填寫!DK98),0),"")</f>
        <v/>
      </c>
      <c r="BG100" s="115" t="str">
        <f>IFERROR(VLOOKUP(基本資料填寫!$C$1&amp;"-"&amp;ROW(E97),基本資料填寫!$C:$DU,COLUMN(基本資料填寫!M98),0),"")</f>
        <v/>
      </c>
      <c r="BU100" s="115" t="str">
        <f>IFERROR(VLOOKUP(基本資料填寫!$C$1&amp;"-"&amp;ROW(O97),基本資料填寫!$C:$DU,COLUMN(基本資料填寫!W98),0),"")</f>
        <v/>
      </c>
      <c r="BV100" s="99" t="str">
        <f>IFERROR(VLOOKUP(基本資料填寫!$C$1&amp;"-"&amp;ROW(AA97),基本資料填寫!$C:$DU,COLUMN(基本資料填寫!AI98),0),"")</f>
        <v/>
      </c>
    </row>
    <row r="101" spans="1:74" ht="16.2" x14ac:dyDescent="0.3">
      <c r="A101" s="207"/>
      <c r="B101" s="114" t="str">
        <f>IF(I101="","",COUNTA($I$4:I101))</f>
        <v/>
      </c>
      <c r="C101" s="114" t="str">
        <f>IFERROR(VLOOKUP(基本資料填寫!$C$1&amp;"-"&amp;ROW(X98),基本資料填寫!$C:$DU,COLUMN(基本資料填寫!BV99),0),"")</f>
        <v/>
      </c>
      <c r="D101" s="99" t="str">
        <f>IFERROR(VLOOKUP(基本資料填寫!$C$1&amp;"-"&amp;ROW(D98),基本資料填寫!$C:$DU,COLUMN(基本資料填寫!L99),0),"")</f>
        <v/>
      </c>
      <c r="E101" s="115" t="str">
        <f>IFERROR(VLOOKUP(基本資料填寫!$C$1&amp;"-"&amp;ROW(AP98),基本資料填寫!$C:$DU,COLUMN(基本資料填寫!CN99),0),"")</f>
        <v/>
      </c>
      <c r="F101" s="114" t="str">
        <f>IFERROR(VLOOKUP(基本資料填寫!$C$1&amp;"-"&amp;ROW(I98),基本資料填寫!$C:$DU,COLUMN(基本資料填寫!Q99),0),"")</f>
        <v/>
      </c>
      <c r="G101" s="114" t="str">
        <f>IFERROR(VLOOKUP(基本資料填寫!$C$1&amp;"-"&amp;ROW(L98),基本資料填寫!$C:$DU,COLUMN(基本資料填寫!T99),0),"")</f>
        <v/>
      </c>
      <c r="H101" s="114" t="str">
        <f>IFERROR(VLOOKUP(基本資料填寫!$C$1&amp;"-"&amp;ROW(F98),基本資料填寫!$C:$DU,COLUMN(基本資料填寫!N99),0),"")</f>
        <v/>
      </c>
      <c r="I101" s="114" t="str">
        <f>IFERROR(VLOOKUP(基本資料填寫!$C$1&amp;"-"&amp;ROW(G98),基本資料填寫!$C:$DU,COLUMN(基本資料填寫!O99),0),"")</f>
        <v/>
      </c>
      <c r="J101" s="114" t="str">
        <f>IFERROR(VLOOKUP(基本資料填寫!$C$1&amp;"-"&amp;ROW(E98),基本資料填寫!$C:$DU,COLUMN(基本資料填寫!M99),0),"")</f>
        <v/>
      </c>
      <c r="K101" s="99" t="str">
        <f>IFERROR(VLOOKUP(基本資料填寫!$C$1&amp;"-"&amp;ROW(X98),基本資料填寫!$C:$DU,COLUMN(基本資料填寫!AF99),0),"")</f>
        <v/>
      </c>
      <c r="L101" s="115" t="str">
        <f>IFERROR(VLOOKUP(基本資料填寫!$C$1&amp;"-"&amp;ROW(AW98),基本資料填寫!$C:$DU,COLUMN(基本資料填寫!CU99),0),"")</f>
        <v/>
      </c>
      <c r="M101" s="115" t="str">
        <f>IFERROR(VLOOKUP(基本資料填寫!$C$1&amp;"-"&amp;ROW(AU98),基本資料填寫!$C:$DU,COLUMN(基本資料填寫!CS99),0),"")</f>
        <v/>
      </c>
      <c r="N101" s="115" t="str">
        <f>IFERROR(VLOOKUP(基本資料填寫!$C$1&amp;"-"&amp;ROW(AV98),基本資料填寫!$C:$DU,COLUMN(基本資料填寫!CT99),0),"")</f>
        <v/>
      </c>
      <c r="O101" s="115" t="str">
        <f>IFERROR(VLOOKUP(基本資料填寫!$C$1&amp;"-"&amp;ROW(N98),基本資料填寫!$C:$DU,COLUMN(基本資料填寫!V99),0),"")</f>
        <v/>
      </c>
      <c r="P101" s="115" t="str">
        <f>IFERROR(VLOOKUP(基本資料填寫!$C$1&amp;"-"&amp;ROW(AT98),基本資料填寫!$C:$DU,COLUMN(基本資料填寫!CR99),0),"")</f>
        <v/>
      </c>
      <c r="Q101" s="115" t="str">
        <f>IFERROR(VLOOKUP(基本資料填寫!$C$1&amp;"-"&amp;ROW(AQ98),基本資料填寫!$C:$DU,COLUMN(基本資料填寫!CO99),0),"")</f>
        <v/>
      </c>
      <c r="R101" s="99" t="str">
        <f>IFERROR(VLOOKUP(基本資料填寫!$C$1&amp;"-"&amp;ROW(Y98),基本資料填寫!$C:$DU,COLUMN(基本資料填寫!AG99),0),"")</f>
        <v/>
      </c>
      <c r="S101" s="99" t="str">
        <f>IFERROR(VLOOKUP(基本資料填寫!$C$1&amp;"-"&amp;ROW(Z98),基本資料填寫!$C:$DU,COLUMN(基本資料填寫!AH99),0),"")</f>
        <v/>
      </c>
      <c r="AB101" s="115" t="str">
        <f>IFERROR(VLOOKUP(基本資料填寫!$C$1&amp;"-"&amp;ROW(BL98),基本資料填寫!$C:$DU,COLUMN(基本資料填寫!DK99),0),"")</f>
        <v/>
      </c>
      <c r="BG101" s="115" t="str">
        <f>IFERROR(VLOOKUP(基本資料填寫!$C$1&amp;"-"&amp;ROW(E98),基本資料填寫!$C:$DU,COLUMN(基本資料填寫!M99),0),"")</f>
        <v/>
      </c>
      <c r="BU101" s="115" t="str">
        <f>IFERROR(VLOOKUP(基本資料填寫!$C$1&amp;"-"&amp;ROW(O98),基本資料填寫!$C:$DU,COLUMN(基本資料填寫!W99),0),"")</f>
        <v/>
      </c>
      <c r="BV101" s="99" t="str">
        <f>IFERROR(VLOOKUP(基本資料填寫!$C$1&amp;"-"&amp;ROW(AA98),基本資料填寫!$C:$DU,COLUMN(基本資料填寫!AI99),0),"")</f>
        <v/>
      </c>
    </row>
    <row r="102" spans="1:74" ht="16.2" x14ac:dyDescent="0.3">
      <c r="A102" s="207"/>
      <c r="B102" s="114" t="str">
        <f>IF(I102="","",COUNTA($I$4:I102))</f>
        <v/>
      </c>
      <c r="C102" s="114" t="str">
        <f>IFERROR(VLOOKUP(基本資料填寫!$C$1&amp;"-"&amp;ROW(X99),基本資料填寫!$C:$DU,COLUMN(基本資料填寫!BV100),0),"")</f>
        <v/>
      </c>
      <c r="D102" s="99" t="str">
        <f>IFERROR(VLOOKUP(基本資料填寫!$C$1&amp;"-"&amp;ROW(D99),基本資料填寫!$C:$DU,COLUMN(基本資料填寫!L100),0),"")</f>
        <v/>
      </c>
      <c r="E102" s="115" t="str">
        <f>IFERROR(VLOOKUP(基本資料填寫!$C$1&amp;"-"&amp;ROW(AP99),基本資料填寫!$C:$DU,COLUMN(基本資料填寫!CN100),0),"")</f>
        <v/>
      </c>
      <c r="F102" s="114" t="str">
        <f>IFERROR(VLOOKUP(基本資料填寫!$C$1&amp;"-"&amp;ROW(I99),基本資料填寫!$C:$DU,COLUMN(基本資料填寫!Q100),0),"")</f>
        <v/>
      </c>
      <c r="G102" s="114" t="str">
        <f>IFERROR(VLOOKUP(基本資料填寫!$C$1&amp;"-"&amp;ROW(L99),基本資料填寫!$C:$DU,COLUMN(基本資料填寫!T100),0),"")</f>
        <v/>
      </c>
      <c r="H102" s="114" t="str">
        <f>IFERROR(VLOOKUP(基本資料填寫!$C$1&amp;"-"&amp;ROW(F99),基本資料填寫!$C:$DU,COLUMN(基本資料填寫!N100),0),"")</f>
        <v/>
      </c>
      <c r="I102" s="114" t="str">
        <f>IFERROR(VLOOKUP(基本資料填寫!$C$1&amp;"-"&amp;ROW(G99),基本資料填寫!$C:$DU,COLUMN(基本資料填寫!O100),0),"")</f>
        <v/>
      </c>
      <c r="J102" s="114" t="str">
        <f>IFERROR(VLOOKUP(基本資料填寫!$C$1&amp;"-"&amp;ROW(E99),基本資料填寫!$C:$DU,COLUMN(基本資料填寫!M100),0),"")</f>
        <v/>
      </c>
      <c r="K102" s="99" t="str">
        <f>IFERROR(VLOOKUP(基本資料填寫!$C$1&amp;"-"&amp;ROW(X99),基本資料填寫!$C:$DU,COLUMN(基本資料填寫!AF100),0),"")</f>
        <v/>
      </c>
      <c r="L102" s="115" t="str">
        <f>IFERROR(VLOOKUP(基本資料填寫!$C$1&amp;"-"&amp;ROW(AW99),基本資料填寫!$C:$DU,COLUMN(基本資料填寫!CU100),0),"")</f>
        <v/>
      </c>
      <c r="M102" s="115" t="str">
        <f>IFERROR(VLOOKUP(基本資料填寫!$C$1&amp;"-"&amp;ROW(AU99),基本資料填寫!$C:$DU,COLUMN(基本資料填寫!CS100),0),"")</f>
        <v/>
      </c>
      <c r="N102" s="115" t="str">
        <f>IFERROR(VLOOKUP(基本資料填寫!$C$1&amp;"-"&amp;ROW(AV99),基本資料填寫!$C:$DU,COLUMN(基本資料填寫!CT100),0),"")</f>
        <v/>
      </c>
      <c r="O102" s="115" t="str">
        <f>IFERROR(VLOOKUP(基本資料填寫!$C$1&amp;"-"&amp;ROW(N99),基本資料填寫!$C:$DU,COLUMN(基本資料填寫!V100),0),"")</f>
        <v/>
      </c>
      <c r="P102" s="115" t="str">
        <f>IFERROR(VLOOKUP(基本資料填寫!$C$1&amp;"-"&amp;ROW(AT99),基本資料填寫!$C:$DU,COLUMN(基本資料填寫!CR100),0),"")</f>
        <v/>
      </c>
      <c r="Q102" s="115" t="str">
        <f>IFERROR(VLOOKUP(基本資料填寫!$C$1&amp;"-"&amp;ROW(AQ99),基本資料填寫!$C:$DU,COLUMN(基本資料填寫!CO100),0),"")</f>
        <v/>
      </c>
      <c r="R102" s="99" t="str">
        <f>IFERROR(VLOOKUP(基本資料填寫!$C$1&amp;"-"&amp;ROW(Y99),基本資料填寫!$C:$DU,COLUMN(基本資料填寫!AG100),0),"")</f>
        <v/>
      </c>
      <c r="S102" s="99" t="str">
        <f>IFERROR(VLOOKUP(基本資料填寫!$C$1&amp;"-"&amp;ROW(Z99),基本資料填寫!$C:$DU,COLUMN(基本資料填寫!AH100),0),"")</f>
        <v/>
      </c>
      <c r="AB102" s="115" t="str">
        <f>IFERROR(VLOOKUP(基本資料填寫!$C$1&amp;"-"&amp;ROW(BL99),基本資料填寫!$C:$DU,COLUMN(基本資料填寫!DK100),0),"")</f>
        <v/>
      </c>
      <c r="BG102" s="115" t="str">
        <f>IFERROR(VLOOKUP(基本資料填寫!$C$1&amp;"-"&amp;ROW(E99),基本資料填寫!$C:$DU,COLUMN(基本資料填寫!M100),0),"")</f>
        <v/>
      </c>
      <c r="BU102" s="115" t="str">
        <f>IFERROR(VLOOKUP(基本資料填寫!$C$1&amp;"-"&amp;ROW(O99),基本資料填寫!$C:$DU,COLUMN(基本資料填寫!W100),0),"")</f>
        <v/>
      </c>
      <c r="BV102" s="99" t="str">
        <f>IFERROR(VLOOKUP(基本資料填寫!$C$1&amp;"-"&amp;ROW(AA99),基本資料填寫!$C:$DU,COLUMN(基本資料填寫!AI100),0),"")</f>
        <v/>
      </c>
    </row>
    <row r="103" spans="1:74" s="64" customFormat="1" x14ac:dyDescent="0.3">
      <c r="B103" s="103"/>
      <c r="C103" s="101"/>
      <c r="D103" s="101"/>
      <c r="E103" s="101"/>
      <c r="F103" s="103"/>
      <c r="G103" s="101"/>
      <c r="H103" s="102"/>
      <c r="I103" s="102"/>
      <c r="J103" s="101"/>
      <c r="K103" s="241"/>
      <c r="L103" s="101"/>
      <c r="M103" s="103"/>
      <c r="N103" s="103"/>
      <c r="O103" s="101"/>
      <c r="P103" s="101"/>
      <c r="Q103" s="101"/>
      <c r="R103" s="312"/>
      <c r="S103" s="241"/>
      <c r="AB103" s="101"/>
      <c r="BG103" s="101"/>
      <c r="BU103" s="103"/>
      <c r="BV103" s="241"/>
    </row>
    <row r="104" spans="1:74" ht="16.2" x14ac:dyDescent="0.3">
      <c r="E104" s="115"/>
      <c r="I104" s="114"/>
    </row>
    <row r="105" spans="1:74" ht="16.2" x14ac:dyDescent="0.3">
      <c r="I105" s="114"/>
    </row>
    <row r="106" spans="1:74" ht="16.2" x14ac:dyDescent="0.3">
      <c r="I106" s="114"/>
    </row>
    <row r="107" spans="1:74" ht="16.2" x14ac:dyDescent="0.3">
      <c r="I107" s="114"/>
    </row>
    <row r="108" spans="1:74" ht="16.2" x14ac:dyDescent="0.3">
      <c r="I108" s="114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AC1F-DC3E-40AC-BB33-DF5C5C675007}">
  <sheetPr codeName="工作表6"/>
  <dimension ref="A1:BY104"/>
  <sheetViews>
    <sheetView zoomScale="70" zoomScaleNormal="70" workbookViewId="0">
      <pane ySplit="3" topLeftCell="A91" activePane="bottomLeft" state="frozen"/>
      <selection pane="bottomLeft" activeCell="E107" sqref="E107"/>
    </sheetView>
  </sheetViews>
  <sheetFormatPr defaultColWidth="8.88671875" defaultRowHeight="16.2" x14ac:dyDescent="0.3"/>
  <cols>
    <col min="1" max="1" width="26.33203125" style="113" customWidth="1"/>
    <col min="2" max="2" width="8.88671875" style="114"/>
    <col min="3" max="3" width="17.44140625" style="115" customWidth="1"/>
    <col min="4" max="4" width="13.33203125" style="115" customWidth="1"/>
    <col min="5" max="5" width="21" style="115" customWidth="1"/>
    <col min="6" max="6" width="30.88671875" style="114" customWidth="1"/>
    <col min="7" max="7" width="29.6640625" style="114" bestFit="1" customWidth="1"/>
    <col min="8" max="8" width="24.6640625" style="115" customWidth="1"/>
    <col min="9" max="9" width="24.6640625" style="114" customWidth="1"/>
    <col min="10" max="12" width="24.6640625" style="116" customWidth="1"/>
    <col min="13" max="13" width="24.6640625" style="114" customWidth="1"/>
    <col min="14" max="15" width="24.6640625" style="116" customWidth="1"/>
    <col min="16" max="16" width="14.88671875" style="174" customWidth="1"/>
    <col min="17" max="22" width="14.88671875" style="117" customWidth="1"/>
    <col min="23" max="23" width="14.88671875" style="115" customWidth="1"/>
    <col min="24" max="26" width="14.88671875" style="117" customWidth="1"/>
    <col min="27" max="27" width="12.33203125" style="113" customWidth="1"/>
    <col min="28" max="28" width="25.109375" style="113" bestFit="1" customWidth="1"/>
    <col min="29" max="29" width="20.33203125" style="113" customWidth="1"/>
    <col min="30" max="30" width="12.33203125" style="113" customWidth="1"/>
    <col min="31" max="42" width="8.88671875" style="113"/>
    <col min="43" max="43" width="14" style="113" customWidth="1"/>
    <col min="44" max="16384" width="8.88671875" style="113"/>
  </cols>
  <sheetData>
    <row r="1" spans="1:28" ht="32.4" x14ac:dyDescent="0.3">
      <c r="A1" s="72" t="s">
        <v>742</v>
      </c>
      <c r="B1" s="155" t="s">
        <v>550</v>
      </c>
      <c r="C1" s="123" t="s">
        <v>743</v>
      </c>
      <c r="D1" s="124" t="s">
        <v>187</v>
      </c>
      <c r="E1" s="124" t="s">
        <v>744</v>
      </c>
      <c r="F1" s="123" t="s">
        <v>745</v>
      </c>
      <c r="G1" s="123" t="s">
        <v>746</v>
      </c>
      <c r="H1" s="124" t="s">
        <v>748</v>
      </c>
      <c r="I1" s="124" t="s">
        <v>749</v>
      </c>
      <c r="J1" s="73" t="s">
        <v>750</v>
      </c>
      <c r="K1" s="73" t="s">
        <v>751</v>
      </c>
      <c r="L1" s="73" t="s">
        <v>752</v>
      </c>
      <c r="M1" s="162" t="s">
        <v>471</v>
      </c>
      <c r="N1" s="68" t="s">
        <v>758</v>
      </c>
      <c r="O1" s="68" t="s">
        <v>759</v>
      </c>
      <c r="P1" s="243" t="s">
        <v>760</v>
      </c>
      <c r="Q1" s="68" t="s">
        <v>761</v>
      </c>
      <c r="R1" s="68" t="s">
        <v>762</v>
      </c>
      <c r="S1" s="68" t="s">
        <v>768</v>
      </c>
      <c r="T1" s="73" t="s">
        <v>769</v>
      </c>
      <c r="U1" s="73" t="s">
        <v>770</v>
      </c>
      <c r="V1" s="73" t="s">
        <v>771</v>
      </c>
      <c r="W1" s="162" t="s">
        <v>772</v>
      </c>
      <c r="X1" s="73" t="s">
        <v>773</v>
      </c>
      <c r="Y1" s="73" t="s">
        <v>777</v>
      </c>
      <c r="Z1" s="74" t="s">
        <v>778</v>
      </c>
      <c r="AA1" s="74" t="s">
        <v>386</v>
      </c>
      <c r="AB1" s="75" t="s">
        <v>387</v>
      </c>
    </row>
    <row r="2" spans="1:28" x14ac:dyDescent="0.3">
      <c r="A2" s="74" t="s">
        <v>388</v>
      </c>
      <c r="B2" s="156" t="s">
        <v>747</v>
      </c>
      <c r="C2" s="77" t="s">
        <v>189</v>
      </c>
      <c r="D2" s="77" t="s">
        <v>190</v>
      </c>
      <c r="E2" s="77" t="s">
        <v>191</v>
      </c>
      <c r="F2" s="77" t="s">
        <v>195</v>
      </c>
      <c r="G2" s="77" t="s">
        <v>196</v>
      </c>
      <c r="H2" s="77" t="s">
        <v>201</v>
      </c>
      <c r="I2" s="206" t="s">
        <v>390</v>
      </c>
      <c r="J2" s="73" t="s">
        <v>391</v>
      </c>
      <c r="K2" s="73" t="s">
        <v>296</v>
      </c>
      <c r="L2" s="73" t="s">
        <v>392</v>
      </c>
      <c r="M2" s="163" t="s">
        <v>393</v>
      </c>
      <c r="N2" s="73" t="s">
        <v>394</v>
      </c>
      <c r="O2" s="73" t="s">
        <v>395</v>
      </c>
      <c r="P2" s="206" t="s">
        <v>396</v>
      </c>
      <c r="Q2" s="73" t="s">
        <v>397</v>
      </c>
      <c r="R2" s="73" t="s">
        <v>311</v>
      </c>
      <c r="S2" s="73" t="s">
        <v>398</v>
      </c>
      <c r="T2" s="73" t="s">
        <v>399</v>
      </c>
      <c r="U2" s="73" t="s">
        <v>400</v>
      </c>
      <c r="V2" s="73" t="s">
        <v>401</v>
      </c>
      <c r="W2" s="163" t="s">
        <v>402</v>
      </c>
      <c r="X2" s="73" t="s">
        <v>403</v>
      </c>
      <c r="Y2" s="73" t="s">
        <v>404</v>
      </c>
      <c r="Z2" s="73" t="s">
        <v>405</v>
      </c>
      <c r="AA2" s="73" t="s">
        <v>406</v>
      </c>
      <c r="AB2" s="75" t="s">
        <v>387</v>
      </c>
    </row>
    <row r="3" spans="1:28" ht="48.6" x14ac:dyDescent="0.3">
      <c r="A3" s="76" t="s">
        <v>411</v>
      </c>
      <c r="B3" s="156" t="s">
        <v>552</v>
      </c>
      <c r="C3" s="78" t="s">
        <v>192</v>
      </c>
      <c r="D3" s="78" t="s">
        <v>193</v>
      </c>
      <c r="E3" s="78" t="s">
        <v>194</v>
      </c>
      <c r="F3" s="78" t="s">
        <v>197</v>
      </c>
      <c r="G3" s="78" t="s">
        <v>198</v>
      </c>
      <c r="H3" s="78" t="s">
        <v>753</v>
      </c>
      <c r="I3" s="78" t="s">
        <v>754</v>
      </c>
      <c r="J3" s="76" t="s">
        <v>755</v>
      </c>
      <c r="K3" s="76" t="s">
        <v>756</v>
      </c>
      <c r="L3" s="76" t="s">
        <v>757</v>
      </c>
      <c r="M3" s="164" t="s">
        <v>477</v>
      </c>
      <c r="N3" s="76" t="s">
        <v>763</v>
      </c>
      <c r="O3" s="76" t="s">
        <v>764</v>
      </c>
      <c r="P3" s="78" t="s">
        <v>765</v>
      </c>
      <c r="Q3" s="76" t="s">
        <v>766</v>
      </c>
      <c r="R3" s="76" t="s">
        <v>767</v>
      </c>
      <c r="S3" s="76" t="s">
        <v>774</v>
      </c>
      <c r="T3" s="76" t="s">
        <v>622</v>
      </c>
      <c r="U3" s="76" t="s">
        <v>775</v>
      </c>
      <c r="V3" s="76" t="s">
        <v>776</v>
      </c>
      <c r="W3" s="164" t="s">
        <v>476</v>
      </c>
      <c r="X3" s="76" t="s">
        <v>579</v>
      </c>
      <c r="Y3" s="76" t="s">
        <v>779</v>
      </c>
      <c r="Z3" s="76" t="s">
        <v>534</v>
      </c>
      <c r="AA3" s="76" t="s">
        <v>386</v>
      </c>
      <c r="AB3" s="75" t="s">
        <v>387</v>
      </c>
    </row>
    <row r="4" spans="1:28" x14ac:dyDescent="0.3">
      <c r="A4" s="113" t="s">
        <v>173</v>
      </c>
      <c r="B4" s="114">
        <f>IF(G4="","",COUNTA($G$4:G4))</f>
        <v>1</v>
      </c>
      <c r="C4" s="115" t="str">
        <f>IFERROR(VLOOKUP(基本資料填寫!$C$1&amp;"-"&amp;ROW(A1),基本資料填寫!$C:$DU,COLUMN(基本資料填寫!CN2),0),"")</f>
        <v>27NYE0823</v>
      </c>
      <c r="D4" s="115" t="str">
        <f>IFERROR(VLOOKUP(基本資料填寫!$C$1&amp;"-"&amp;ROW(I1),基本資料填寫!$C:$DU,COLUMN(基本資料填寫!Q2),0),"")</f>
        <v>5805</v>
      </c>
      <c r="E4" s="115" t="str">
        <f>IFERROR(VLOOKUP(基本資料填寫!$C$1&amp;"-"&amp;ROW(L1),基本資料填寫!$C:$DU,COLUMN(基本資料填寫!T2),0),"")</f>
        <v>YETL22090</v>
      </c>
      <c r="F4" s="114" t="str">
        <f>IFERROR(VLOOKUP(基本資料填寫!$C$1&amp;"-"&amp;ROW(F1),基本資料填寫!$C:$DU,COLUMN(基本資料填寫!N2),0),"")</f>
        <v>Acoustic Telephone System</v>
      </c>
      <c r="G4" s="114" t="str">
        <f>IFERROR(VLOOKUP(基本資料填寫!$C$1&amp;"-"&amp;ROW(C1),基本資料填寫!$C:$DU,COLUMN(基本資料填寫!O2),0),"")</f>
        <v>聲力電話系統</v>
      </c>
      <c r="H4" s="115" t="str">
        <f>IFERROR(VLOOKUP(基本資料填寫!$C$1&amp;"-"&amp;ROW(E1),基本資料填寫!$C:$DU,COLUMN(基本資料填寫!M2),0),"")</f>
        <v>TA-4CI</v>
      </c>
      <c r="I4" s="114" t="str">
        <f>IFERROR(VLOOKUP(基本資料填寫!$C$1&amp;"-"&amp;ROW(M1),基本資料填寫!$C:$DU,COLUMN(基本資料填寫!U2),0),"")</f>
        <v>5805YETL22090</v>
      </c>
      <c r="J4" s="13"/>
      <c r="K4" s="13"/>
      <c r="L4" s="13"/>
      <c r="M4" s="115" t="str">
        <f>IFERROR(VLOOKUP(基本資料填寫!$C$1&amp;"-"&amp;ROW(AJ1),基本資料填寫!$C:$DU,COLUMN(基本資料填寫!CI2),0),"")</f>
        <v>1973B</v>
      </c>
      <c r="N4" s="13"/>
      <c r="O4" s="13"/>
      <c r="P4" s="174" t="str">
        <f>IFERROR(VLOOKUP(基本資料填寫!$C$1&amp;"-"&amp;ROW(AB1),基本資料填寫!$C:$DU,COLUMN(基本資料填寫!AJ2),0),"")</f>
        <v>O</v>
      </c>
      <c r="W4" s="115" t="str">
        <f>IFERROR(VLOOKUP(基本資料填寫!$C$1&amp;"-"&amp;ROW(AI1),基本資料填寫!$C:$DU,COLUMN(基本資料填寫!CH2),0),"")</f>
        <v>A</v>
      </c>
    </row>
    <row r="5" spans="1:28" x14ac:dyDescent="0.3">
      <c r="B5" s="114" t="str">
        <f>IF(G5="","",COUNTA($G$4:G5))</f>
        <v/>
      </c>
      <c r="C5" s="115" t="str">
        <f>IFERROR(VLOOKUP(基本資料填寫!$C$1&amp;"-"&amp;ROW(A2),基本資料填寫!$C:$DU,COLUMN(基本資料填寫!CN3),0),"")</f>
        <v/>
      </c>
      <c r="D5" s="115" t="str">
        <f>IFERROR(VLOOKUP(基本資料填寫!$C$1&amp;"-"&amp;ROW(I2),基本資料填寫!$C:$DU,COLUMN(基本資料填寫!Q3),0),"")</f>
        <v/>
      </c>
      <c r="E5" s="115" t="str">
        <f>IFERROR(VLOOKUP(基本資料填寫!$C$1&amp;"-"&amp;ROW(L2),基本資料填寫!$C:$DU,COLUMN(基本資料填寫!T3),0),"")</f>
        <v/>
      </c>
      <c r="F5" s="114" t="str">
        <f>IFERROR(VLOOKUP(基本資料填寫!$C$1&amp;"-"&amp;ROW(F2),基本資料填寫!$C:$DU,COLUMN(基本資料填寫!N3),0),"")</f>
        <v/>
      </c>
      <c r="G5" s="114" t="str">
        <f>IFERROR(VLOOKUP(基本資料填寫!$C$1&amp;"-"&amp;ROW(C2),基本資料填寫!$C:$DU,COLUMN(基本資料填寫!O3),0),"")</f>
        <v/>
      </c>
      <c r="H5" s="115" t="str">
        <f>IFERROR(VLOOKUP(基本資料填寫!$C$1&amp;"-"&amp;ROW(E2),基本資料填寫!$C:$DU,COLUMN(基本資料填寫!M3),0),"")</f>
        <v/>
      </c>
      <c r="I5" s="114" t="str">
        <f>IFERROR(VLOOKUP(基本資料填寫!$C$1&amp;"-"&amp;ROW(M2),基本資料填寫!$C:$DU,COLUMN(基本資料填寫!U3),0),"")</f>
        <v/>
      </c>
      <c r="J5" s="13"/>
      <c r="K5" s="13"/>
      <c r="L5" s="13"/>
      <c r="M5" s="115" t="str">
        <f>IFERROR(VLOOKUP(基本資料填寫!$C$1&amp;"-"&amp;ROW(AJ2),基本資料填寫!$C:$DU,COLUMN(基本資料填寫!CI3),0),"")</f>
        <v/>
      </c>
      <c r="N5" s="13"/>
      <c r="O5" s="13"/>
      <c r="P5" s="174" t="str">
        <f>IFERROR(VLOOKUP(基本資料填寫!$C$1&amp;"-"&amp;ROW(AB2),基本資料填寫!$C:$DU,COLUMN(基本資料填寫!AJ3),0),"")</f>
        <v/>
      </c>
      <c r="W5" s="115" t="str">
        <f>IFERROR(VLOOKUP(基本資料填寫!$C$1&amp;"-"&amp;ROW(AI2),基本資料填寫!$C:$DU,COLUMN(基本資料填寫!CH3),0),"")</f>
        <v/>
      </c>
    </row>
    <row r="6" spans="1:28" x14ac:dyDescent="0.3">
      <c r="B6" s="114" t="str">
        <f>IF(G6="","",COUNTA($G$4:G6))</f>
        <v/>
      </c>
      <c r="C6" s="115" t="str">
        <f>IFERROR(VLOOKUP(基本資料填寫!$C$1&amp;"-"&amp;ROW(A3),基本資料填寫!$C:$DU,COLUMN(基本資料填寫!CN4),0),"")</f>
        <v/>
      </c>
      <c r="D6" s="115" t="str">
        <f>IFERROR(VLOOKUP(基本資料填寫!$C$1&amp;"-"&amp;ROW(I3),基本資料填寫!$C:$DU,COLUMN(基本資料填寫!Q4),0),"")</f>
        <v/>
      </c>
      <c r="E6" s="115" t="str">
        <f>IFERROR(VLOOKUP(基本資料填寫!$C$1&amp;"-"&amp;ROW(L3),基本資料填寫!$C:$DU,COLUMN(基本資料填寫!T4),0),"")</f>
        <v/>
      </c>
      <c r="F6" s="114" t="str">
        <f>IFERROR(VLOOKUP(基本資料填寫!$C$1&amp;"-"&amp;ROW(F3),基本資料填寫!$C:$DU,COLUMN(基本資料填寫!N4),0),"")</f>
        <v/>
      </c>
      <c r="G6" s="114" t="str">
        <f>IFERROR(VLOOKUP(基本資料填寫!$C$1&amp;"-"&amp;ROW(C3),基本資料填寫!$C:$DU,COLUMN(基本資料填寫!O4),0),"")</f>
        <v/>
      </c>
      <c r="H6" s="115" t="str">
        <f>IFERROR(VLOOKUP(基本資料填寫!$C$1&amp;"-"&amp;ROW(E3),基本資料填寫!$C:$DU,COLUMN(基本資料填寫!M4),0),"")</f>
        <v/>
      </c>
      <c r="I6" s="114" t="str">
        <f>IFERROR(VLOOKUP(基本資料填寫!$C$1&amp;"-"&amp;ROW(M3),基本資料填寫!$C:$DU,COLUMN(基本資料填寫!U4),0),"")</f>
        <v/>
      </c>
      <c r="J6" s="13"/>
      <c r="K6" s="13"/>
      <c r="L6" s="13"/>
      <c r="M6" s="115" t="str">
        <f>IFERROR(VLOOKUP(基本資料填寫!$C$1&amp;"-"&amp;ROW(AJ3),基本資料填寫!$C:$DU,COLUMN(基本資料填寫!CI4),0),"")</f>
        <v/>
      </c>
      <c r="N6" s="13"/>
      <c r="O6" s="13"/>
      <c r="P6" s="174" t="str">
        <f>IFERROR(VLOOKUP(基本資料填寫!$C$1&amp;"-"&amp;ROW(AB3),基本資料填寫!$C:$DU,COLUMN(基本資料填寫!AJ4),0),"")</f>
        <v/>
      </c>
      <c r="W6" s="115" t="str">
        <f>IFERROR(VLOOKUP(基本資料填寫!$C$1&amp;"-"&amp;ROW(AI3),基本資料填寫!$C:$DU,COLUMN(基本資料填寫!CH4),0),"")</f>
        <v/>
      </c>
    </row>
    <row r="7" spans="1:28" x14ac:dyDescent="0.3">
      <c r="B7" s="114" t="str">
        <f>IF(G7="","",COUNTA($G$4:G7))</f>
        <v/>
      </c>
      <c r="C7" s="115" t="str">
        <f>IFERROR(VLOOKUP(基本資料填寫!$C$1&amp;"-"&amp;ROW(A4),基本資料填寫!$C:$DU,COLUMN(基本資料填寫!CN5),0),"")</f>
        <v/>
      </c>
      <c r="D7" s="115" t="str">
        <f>IFERROR(VLOOKUP(基本資料填寫!$C$1&amp;"-"&amp;ROW(#REF!),基本資料填寫!$C:$DU,COLUMN(基本資料填寫!Q5),0),"")</f>
        <v/>
      </c>
      <c r="E7" s="115" t="str">
        <f>IFERROR(VLOOKUP(基本資料填寫!$C$1&amp;"-"&amp;ROW(L4),基本資料填寫!$C:$DU,COLUMN(基本資料填寫!T5),0),"")</f>
        <v/>
      </c>
      <c r="F7" s="114" t="str">
        <f>IFERROR(VLOOKUP(基本資料填寫!$C$1&amp;"-"&amp;ROW(F4),基本資料填寫!$C:$DU,COLUMN(基本資料填寫!N5),0),"")</f>
        <v/>
      </c>
      <c r="G7" s="114" t="str">
        <f>IFERROR(VLOOKUP(基本資料填寫!$C$1&amp;"-"&amp;ROW(C4),基本資料填寫!$C:$DU,COLUMN(基本資料填寫!O5),0),"")</f>
        <v/>
      </c>
      <c r="H7" s="115" t="str">
        <f>IFERROR(VLOOKUP(基本資料填寫!$C$1&amp;"-"&amp;ROW(E4),基本資料填寫!$C:$DU,COLUMN(基本資料填寫!M5),0),"")</f>
        <v/>
      </c>
      <c r="I7" s="114" t="str">
        <f>IFERROR(VLOOKUP(基本資料填寫!$C$1&amp;"-"&amp;ROW(M4),基本資料填寫!$C:$DU,COLUMN(基本資料填寫!U5),0),"")</f>
        <v/>
      </c>
      <c r="J7" s="13"/>
      <c r="K7" s="13"/>
      <c r="L7" s="13"/>
      <c r="M7" s="115" t="str">
        <f>IFERROR(VLOOKUP(基本資料填寫!$C$1&amp;"-"&amp;ROW(AJ4),基本資料填寫!$C:$DU,COLUMN(基本資料填寫!CI5),0),"")</f>
        <v/>
      </c>
      <c r="N7" s="13"/>
      <c r="O7" s="13"/>
      <c r="P7" s="174" t="str">
        <f>IFERROR(VLOOKUP(基本資料填寫!$C$1&amp;"-"&amp;ROW(AB4),基本資料填寫!$C:$DU,COLUMN(基本資料填寫!AJ5),0),"")</f>
        <v/>
      </c>
      <c r="W7" s="115" t="str">
        <f>IFERROR(VLOOKUP(基本資料填寫!$C$1&amp;"-"&amp;ROW(AI4),基本資料填寫!$C:$DU,COLUMN(基本資料填寫!CH5),0),"")</f>
        <v/>
      </c>
    </row>
    <row r="8" spans="1:28" x14ac:dyDescent="0.3">
      <c r="B8" s="114" t="str">
        <f>IF(G8="","",COUNTA($G$4:G8))</f>
        <v/>
      </c>
      <c r="C8" s="115" t="str">
        <f>IFERROR(VLOOKUP(基本資料填寫!$C$1&amp;"-"&amp;ROW(A5),基本資料填寫!$C:$DU,COLUMN(基本資料填寫!CN6),0),"")</f>
        <v/>
      </c>
      <c r="D8" s="115" t="str">
        <f>IFERROR(VLOOKUP(基本資料填寫!$C$1&amp;"-"&amp;ROW(I5),基本資料填寫!$C:$DU,COLUMN(基本資料填寫!Q6),0),"")</f>
        <v/>
      </c>
      <c r="E8" s="115" t="str">
        <f>IFERROR(VLOOKUP(基本資料填寫!$C$1&amp;"-"&amp;ROW(L5),基本資料填寫!$C:$DU,COLUMN(基本資料填寫!T6),0),"")</f>
        <v/>
      </c>
      <c r="F8" s="114" t="str">
        <f>IFERROR(VLOOKUP(基本資料填寫!$C$1&amp;"-"&amp;ROW(F5),基本資料填寫!$C:$DU,COLUMN(基本資料填寫!N6),0),"")</f>
        <v/>
      </c>
      <c r="G8" s="114" t="str">
        <f>IFERROR(VLOOKUP(基本資料填寫!$C$1&amp;"-"&amp;ROW(C5),基本資料填寫!$C:$DU,COLUMN(基本資料填寫!O6),0),"")</f>
        <v/>
      </c>
      <c r="H8" s="115" t="str">
        <f>IFERROR(VLOOKUP(基本資料填寫!$C$1&amp;"-"&amp;ROW(E5),基本資料填寫!$C:$DU,COLUMN(基本資料填寫!M6),0),"")</f>
        <v/>
      </c>
      <c r="I8" s="114" t="str">
        <f>IFERROR(VLOOKUP(基本資料填寫!$C$1&amp;"-"&amp;ROW(M5),基本資料填寫!$C:$DU,COLUMN(基本資料填寫!U6),0),"")</f>
        <v/>
      </c>
      <c r="J8" s="13"/>
      <c r="K8" s="13"/>
      <c r="L8" s="13"/>
      <c r="M8" s="115" t="str">
        <f>IFERROR(VLOOKUP(基本資料填寫!$C$1&amp;"-"&amp;ROW(AJ5),基本資料填寫!$C:$DU,COLUMN(基本資料填寫!CI6),0),"")</f>
        <v/>
      </c>
      <c r="N8" s="13"/>
      <c r="O8" s="13"/>
      <c r="P8" s="174" t="str">
        <f>IFERROR(VLOOKUP(基本資料填寫!$C$1&amp;"-"&amp;ROW(AB5),基本資料填寫!$C:$DU,COLUMN(基本資料填寫!AJ6),0),"")</f>
        <v/>
      </c>
      <c r="W8" s="115" t="str">
        <f>IFERROR(VLOOKUP(基本資料填寫!$C$1&amp;"-"&amp;ROW(AI5),基本資料填寫!$C:$DU,COLUMN(基本資料填寫!CH6),0),"")</f>
        <v/>
      </c>
    </row>
    <row r="9" spans="1:28" x14ac:dyDescent="0.3">
      <c r="B9" s="114" t="str">
        <f>IF(G9="","",COUNTA($G$4:G9))</f>
        <v/>
      </c>
      <c r="C9" s="115" t="str">
        <f>IFERROR(VLOOKUP(基本資料填寫!$C$1&amp;"-"&amp;ROW(A6),基本資料填寫!$C:$DU,COLUMN(基本資料填寫!CN7),0),"")</f>
        <v/>
      </c>
      <c r="D9" s="115" t="str">
        <f>IFERROR(VLOOKUP(基本資料填寫!$C$1&amp;"-"&amp;ROW(I6),基本資料填寫!$C:$DU,COLUMN(基本資料填寫!Q7),0),"")</f>
        <v/>
      </c>
      <c r="E9" s="115" t="str">
        <f>IFERROR(VLOOKUP(基本資料填寫!$C$1&amp;"-"&amp;ROW(L6),基本資料填寫!$C:$DU,COLUMN(基本資料填寫!T7),0),"")</f>
        <v/>
      </c>
      <c r="F9" s="114" t="str">
        <f>IFERROR(VLOOKUP(基本資料填寫!$C$1&amp;"-"&amp;ROW(F6),基本資料填寫!$C:$DU,COLUMN(基本資料填寫!N7),0),"")</f>
        <v/>
      </c>
      <c r="G9" s="114" t="str">
        <f>IFERROR(VLOOKUP(基本資料填寫!$C$1&amp;"-"&amp;ROW(C6),基本資料填寫!$C:$DU,COLUMN(基本資料填寫!O7),0),"")</f>
        <v/>
      </c>
      <c r="H9" s="115" t="str">
        <f>IFERROR(VLOOKUP(基本資料填寫!$C$1&amp;"-"&amp;ROW(E6),基本資料填寫!$C:$DU,COLUMN(基本資料填寫!M7),0),"")</f>
        <v/>
      </c>
      <c r="I9" s="114" t="str">
        <f>IFERROR(VLOOKUP(基本資料填寫!$C$1&amp;"-"&amp;ROW(M6),基本資料填寫!$C:$DU,COLUMN(基本資料填寫!U7),0),"")</f>
        <v/>
      </c>
      <c r="J9" s="13"/>
      <c r="K9" s="13"/>
      <c r="L9" s="13"/>
      <c r="M9" s="115" t="str">
        <f>IFERROR(VLOOKUP(基本資料填寫!$C$1&amp;"-"&amp;ROW(AJ6),基本資料填寫!$C:$DU,COLUMN(基本資料填寫!CI7),0),"")</f>
        <v/>
      </c>
      <c r="N9" s="13"/>
      <c r="O9" s="13"/>
      <c r="P9" s="174" t="str">
        <f>IFERROR(VLOOKUP(基本資料填寫!$C$1&amp;"-"&amp;ROW(AB6),基本資料填寫!$C:$DU,COLUMN(基本資料填寫!AJ7),0),"")</f>
        <v/>
      </c>
      <c r="W9" s="115" t="str">
        <f>IFERROR(VLOOKUP(基本資料填寫!$C$1&amp;"-"&amp;ROW(AI6),基本資料填寫!$C:$DU,COLUMN(基本資料填寫!CH7),0),"")</f>
        <v/>
      </c>
    </row>
    <row r="10" spans="1:28" x14ac:dyDescent="0.3">
      <c r="B10" s="114" t="str">
        <f>IF(G10="","",COUNTA($G$4:G10))</f>
        <v/>
      </c>
      <c r="C10" s="115" t="str">
        <f>IFERROR(VLOOKUP(基本資料填寫!$C$1&amp;"-"&amp;ROW(A7),基本資料填寫!$C:$DU,COLUMN(基本資料填寫!CN8),0),"")</f>
        <v/>
      </c>
      <c r="D10" s="115" t="str">
        <f>IFERROR(VLOOKUP(基本資料填寫!$C$1&amp;"-"&amp;ROW(I7),基本資料填寫!$C:$DU,COLUMN(基本資料填寫!Q8),0),"")</f>
        <v/>
      </c>
      <c r="E10" s="115" t="str">
        <f>IFERROR(VLOOKUP(基本資料填寫!$C$1&amp;"-"&amp;ROW(L7),基本資料填寫!$C:$DU,COLUMN(基本資料填寫!T8),0),"")</f>
        <v/>
      </c>
      <c r="F10" s="114" t="str">
        <f>IFERROR(VLOOKUP(基本資料填寫!$C$1&amp;"-"&amp;ROW(F7),基本資料填寫!$C:$DU,COLUMN(基本資料填寫!N8),0),"")</f>
        <v/>
      </c>
      <c r="G10" s="114" t="str">
        <f>IFERROR(VLOOKUP(基本資料填寫!$C$1&amp;"-"&amp;ROW(C7),基本資料填寫!$C:$DU,COLUMN(基本資料填寫!O8),0),"")</f>
        <v/>
      </c>
      <c r="H10" s="115" t="str">
        <f>IFERROR(VLOOKUP(基本資料填寫!$C$1&amp;"-"&amp;ROW(E7),基本資料填寫!$C:$DU,COLUMN(基本資料填寫!M8),0),"")</f>
        <v/>
      </c>
      <c r="I10" s="114" t="str">
        <f>IFERROR(VLOOKUP(基本資料填寫!$C$1&amp;"-"&amp;ROW(M7),基本資料填寫!$C:$DU,COLUMN(基本資料填寫!U8),0),"")</f>
        <v/>
      </c>
      <c r="J10" s="13"/>
      <c r="K10" s="13"/>
      <c r="L10" s="13"/>
      <c r="M10" s="115" t="str">
        <f>IFERROR(VLOOKUP(基本資料填寫!$C$1&amp;"-"&amp;ROW(AJ7),基本資料填寫!$C:$DU,COLUMN(基本資料填寫!CI8),0),"")</f>
        <v/>
      </c>
      <c r="N10" s="13"/>
      <c r="O10" s="13"/>
      <c r="P10" s="174" t="str">
        <f>IFERROR(VLOOKUP(基本資料填寫!$C$1&amp;"-"&amp;ROW(AB7),基本資料填寫!$C:$DU,COLUMN(基本資料填寫!AJ8),0),"")</f>
        <v/>
      </c>
      <c r="W10" s="115" t="str">
        <f>IFERROR(VLOOKUP(基本資料填寫!$C$1&amp;"-"&amp;ROW(AI7),基本資料填寫!$C:$DU,COLUMN(基本資料填寫!CH8),0),"")</f>
        <v/>
      </c>
    </row>
    <row r="11" spans="1:28" x14ac:dyDescent="0.3">
      <c r="B11" s="114" t="str">
        <f>IF(G11="","",COUNTA($G$4:G11))</f>
        <v/>
      </c>
      <c r="C11" s="115" t="str">
        <f>IFERROR(VLOOKUP(基本資料填寫!$C$1&amp;"-"&amp;ROW(A8),基本資料填寫!$C:$DU,COLUMN(基本資料填寫!CN9),0),"")</f>
        <v/>
      </c>
      <c r="D11" s="115" t="str">
        <f>IFERROR(VLOOKUP(基本資料填寫!$C$1&amp;"-"&amp;ROW(I8),基本資料填寫!$C:$DU,COLUMN(基本資料填寫!Q9),0),"")</f>
        <v/>
      </c>
      <c r="E11" s="115" t="str">
        <f>IFERROR(VLOOKUP(基本資料填寫!$C$1&amp;"-"&amp;ROW(L8),基本資料填寫!$C:$DU,COLUMN(基本資料填寫!T9),0),"")</f>
        <v/>
      </c>
      <c r="F11" s="114" t="str">
        <f>IFERROR(VLOOKUP(基本資料填寫!$C$1&amp;"-"&amp;ROW(F8),基本資料填寫!$C:$DU,COLUMN(基本資料填寫!N9),0),"")</f>
        <v/>
      </c>
      <c r="G11" s="114" t="str">
        <f>IFERROR(VLOOKUP(基本資料填寫!$C$1&amp;"-"&amp;ROW(C8),基本資料填寫!$C:$DU,COLUMN(基本資料填寫!O9),0),"")</f>
        <v/>
      </c>
      <c r="H11" s="115" t="str">
        <f>IFERROR(VLOOKUP(基本資料填寫!$C$1&amp;"-"&amp;ROW(E8),基本資料填寫!$C:$DU,COLUMN(基本資料填寫!M9),0),"")</f>
        <v/>
      </c>
      <c r="I11" s="114" t="str">
        <f>IFERROR(VLOOKUP(基本資料填寫!$C$1&amp;"-"&amp;ROW(M8),基本資料填寫!$C:$DU,COLUMN(基本資料填寫!U9),0),"")</f>
        <v/>
      </c>
      <c r="J11" s="13"/>
      <c r="K11" s="13"/>
      <c r="L11" s="13"/>
      <c r="M11" s="115" t="str">
        <f>IFERROR(VLOOKUP(基本資料填寫!$C$1&amp;"-"&amp;ROW(AJ8),基本資料填寫!$C:$DU,COLUMN(基本資料填寫!CI9),0),"")</f>
        <v/>
      </c>
      <c r="N11" s="13"/>
      <c r="O11" s="13"/>
      <c r="P11" s="174" t="str">
        <f>IFERROR(VLOOKUP(基本資料填寫!$C$1&amp;"-"&amp;ROW(AB8),基本資料填寫!$C:$DU,COLUMN(基本資料填寫!AJ9),0),"")</f>
        <v/>
      </c>
      <c r="W11" s="115" t="str">
        <f>IFERROR(VLOOKUP(基本資料填寫!$C$1&amp;"-"&amp;ROW(AI8),基本資料填寫!$C:$DU,COLUMN(基本資料填寫!CH9),0),"")</f>
        <v/>
      </c>
    </row>
    <row r="12" spans="1:28" x14ac:dyDescent="0.3">
      <c r="B12" s="114" t="str">
        <f>IF(G12="","",COUNTA($G$4:G12))</f>
        <v/>
      </c>
      <c r="C12" s="115" t="str">
        <f>IFERROR(VLOOKUP(基本資料填寫!$C$1&amp;"-"&amp;ROW(A9),基本資料填寫!$C:$DU,COLUMN(基本資料填寫!CN10),0),"")</f>
        <v/>
      </c>
      <c r="D12" s="115" t="str">
        <f>IFERROR(VLOOKUP(基本資料填寫!$C$1&amp;"-"&amp;ROW(I9),基本資料填寫!$C:$DU,COLUMN(基本資料填寫!Q10),0),"")</f>
        <v/>
      </c>
      <c r="E12" s="115" t="str">
        <f>IFERROR(VLOOKUP(基本資料填寫!$C$1&amp;"-"&amp;ROW(L9),基本資料填寫!$C:$DU,COLUMN(基本資料填寫!T10),0),"")</f>
        <v/>
      </c>
      <c r="F12" s="114" t="str">
        <f>IFERROR(VLOOKUP(基本資料填寫!$C$1&amp;"-"&amp;ROW(F9),基本資料填寫!$C:$DU,COLUMN(基本資料填寫!N10),0),"")</f>
        <v/>
      </c>
      <c r="G12" s="114" t="str">
        <f>IFERROR(VLOOKUP(基本資料填寫!$C$1&amp;"-"&amp;ROW(C9),基本資料填寫!$C:$DU,COLUMN(基本資料填寫!O10),0),"")</f>
        <v/>
      </c>
      <c r="H12" s="115" t="str">
        <f>IFERROR(VLOOKUP(基本資料填寫!$C$1&amp;"-"&amp;ROW(E9),基本資料填寫!$C:$DU,COLUMN(基本資料填寫!M10),0),"")</f>
        <v/>
      </c>
      <c r="I12" s="114" t="str">
        <f>IFERROR(VLOOKUP(基本資料填寫!$C$1&amp;"-"&amp;ROW(M9),基本資料填寫!$C:$DU,COLUMN(基本資料填寫!U10),0),"")</f>
        <v/>
      </c>
      <c r="J12" s="13"/>
      <c r="K12" s="13"/>
      <c r="L12" s="13"/>
      <c r="M12" s="115" t="str">
        <f>IFERROR(VLOOKUP(基本資料填寫!$C$1&amp;"-"&amp;ROW(AJ9),基本資料填寫!$C:$DU,COLUMN(基本資料填寫!CI10),0),"")</f>
        <v/>
      </c>
      <c r="N12" s="13"/>
      <c r="O12" s="13"/>
      <c r="P12" s="174" t="str">
        <f>IFERROR(VLOOKUP(基本資料填寫!$C$1&amp;"-"&amp;ROW(AB9),基本資料填寫!$C:$DU,COLUMN(基本資料填寫!AJ10),0),"")</f>
        <v/>
      </c>
      <c r="W12" s="115" t="str">
        <f>IFERROR(VLOOKUP(基本資料填寫!$C$1&amp;"-"&amp;ROW(AI9),基本資料填寫!$C:$DU,COLUMN(基本資料填寫!CH10),0),"")</f>
        <v/>
      </c>
    </row>
    <row r="13" spans="1:28" x14ac:dyDescent="0.3">
      <c r="B13" s="114" t="str">
        <f>IF(G13="","",COUNTA($G$4:G13))</f>
        <v/>
      </c>
      <c r="C13" s="115" t="str">
        <f>IFERROR(VLOOKUP(基本資料填寫!$C$1&amp;"-"&amp;ROW(A10),基本資料填寫!$C:$DU,COLUMN(基本資料填寫!CN11),0),"")</f>
        <v/>
      </c>
      <c r="D13" s="115" t="str">
        <f>IFERROR(VLOOKUP(基本資料填寫!$C$1&amp;"-"&amp;ROW(I10),基本資料填寫!$C:$DU,COLUMN(基本資料填寫!Q11),0),"")</f>
        <v/>
      </c>
      <c r="E13" s="115" t="str">
        <f>IFERROR(VLOOKUP(基本資料填寫!$C$1&amp;"-"&amp;ROW(L10),基本資料填寫!$C:$DU,COLUMN(基本資料填寫!T11),0),"")</f>
        <v/>
      </c>
      <c r="F13" s="114" t="str">
        <f>IFERROR(VLOOKUP(基本資料填寫!$C$1&amp;"-"&amp;ROW(F10),基本資料填寫!$C:$DU,COLUMN(基本資料填寫!N11),0),"")</f>
        <v/>
      </c>
      <c r="G13" s="114" t="str">
        <f>IFERROR(VLOOKUP(基本資料填寫!$C$1&amp;"-"&amp;ROW(C10),基本資料填寫!$C:$DU,COLUMN(基本資料填寫!O11),0),"")</f>
        <v/>
      </c>
      <c r="H13" s="115" t="str">
        <f>IFERROR(VLOOKUP(基本資料填寫!$C$1&amp;"-"&amp;ROW(E10),基本資料填寫!$C:$DU,COLUMN(基本資料填寫!M11),0),"")</f>
        <v/>
      </c>
      <c r="I13" s="114" t="str">
        <f>IFERROR(VLOOKUP(基本資料填寫!$C$1&amp;"-"&amp;ROW(M10),基本資料填寫!$C:$DU,COLUMN(基本資料填寫!U11),0),"")</f>
        <v/>
      </c>
      <c r="J13" s="13"/>
      <c r="K13" s="13"/>
      <c r="L13" s="13"/>
      <c r="M13" s="115" t="str">
        <f>IFERROR(VLOOKUP(基本資料填寫!$C$1&amp;"-"&amp;ROW(AJ10),基本資料填寫!$C:$DU,COLUMN(基本資料填寫!CI11),0),"")</f>
        <v/>
      </c>
      <c r="N13" s="13"/>
      <c r="O13" s="13"/>
      <c r="P13" s="174" t="str">
        <f>IFERROR(VLOOKUP(基本資料填寫!$C$1&amp;"-"&amp;ROW(AB10),基本資料填寫!$C:$DU,COLUMN(基本資料填寫!AJ11),0),"")</f>
        <v/>
      </c>
      <c r="W13" s="115" t="str">
        <f>IFERROR(VLOOKUP(基本資料填寫!$C$1&amp;"-"&amp;ROW(AI10),基本資料填寫!$C:$DU,COLUMN(基本資料填寫!CH11),0),"")</f>
        <v/>
      </c>
    </row>
    <row r="14" spans="1:28" x14ac:dyDescent="0.3">
      <c r="B14" s="114" t="str">
        <f>IF(G14="","",COUNTA($G$4:G14))</f>
        <v/>
      </c>
      <c r="C14" s="115" t="str">
        <f>IFERROR(VLOOKUP(基本資料填寫!$C$1&amp;"-"&amp;ROW(A11),基本資料填寫!$C:$DU,COLUMN(基本資料填寫!CN12),0),"")</f>
        <v/>
      </c>
      <c r="D14" s="115" t="str">
        <f>IFERROR(VLOOKUP(基本資料填寫!$C$1&amp;"-"&amp;ROW(I11),基本資料填寫!$C:$DU,COLUMN(基本資料填寫!Q12),0),"")</f>
        <v/>
      </c>
      <c r="E14" s="115" t="str">
        <f>IFERROR(VLOOKUP(基本資料填寫!$C$1&amp;"-"&amp;ROW(L11),基本資料填寫!$C:$DU,COLUMN(基本資料填寫!T12),0),"")</f>
        <v/>
      </c>
      <c r="F14" s="114" t="str">
        <f>IFERROR(VLOOKUP(基本資料填寫!$C$1&amp;"-"&amp;ROW(F11),基本資料填寫!$C:$DU,COLUMN(基本資料填寫!N12),0),"")</f>
        <v/>
      </c>
      <c r="G14" s="114" t="str">
        <f>IFERROR(VLOOKUP(基本資料填寫!$C$1&amp;"-"&amp;ROW(C11),基本資料填寫!$C:$DU,COLUMN(基本資料填寫!O12),0),"")</f>
        <v/>
      </c>
      <c r="H14" s="115" t="str">
        <f>IFERROR(VLOOKUP(基本資料填寫!$C$1&amp;"-"&amp;ROW(E11),基本資料填寫!$C:$DU,COLUMN(基本資料填寫!M12),0),"")</f>
        <v/>
      </c>
      <c r="I14" s="114" t="str">
        <f>IFERROR(VLOOKUP(基本資料填寫!$C$1&amp;"-"&amp;ROW(M11),基本資料填寫!$C:$DU,COLUMN(基本資料填寫!U12),0),"")</f>
        <v/>
      </c>
      <c r="J14" s="13"/>
      <c r="K14" s="13"/>
      <c r="L14" s="13"/>
      <c r="M14" s="115" t="str">
        <f>IFERROR(VLOOKUP(基本資料填寫!$C$1&amp;"-"&amp;ROW(AJ11),基本資料填寫!$C:$DU,COLUMN(基本資料填寫!CI12),0),"")</f>
        <v/>
      </c>
      <c r="N14" s="13"/>
      <c r="O14" s="13"/>
      <c r="P14" s="174" t="str">
        <f>IFERROR(VLOOKUP(基本資料填寫!$C$1&amp;"-"&amp;ROW(AB11),基本資料填寫!$C:$DU,COLUMN(基本資料填寫!AJ12),0),"")</f>
        <v/>
      </c>
      <c r="W14" s="115" t="str">
        <f>IFERROR(VLOOKUP(基本資料填寫!$C$1&amp;"-"&amp;ROW(AI11),基本資料填寫!$C:$DU,COLUMN(基本資料填寫!CH12),0),"")</f>
        <v/>
      </c>
    </row>
    <row r="15" spans="1:28" x14ac:dyDescent="0.3">
      <c r="B15" s="114" t="str">
        <f>IF(G15="","",COUNTA($G$4:G15))</f>
        <v/>
      </c>
      <c r="C15" s="115" t="str">
        <f>IFERROR(VLOOKUP(基本資料填寫!$C$1&amp;"-"&amp;ROW(A12),基本資料填寫!$C:$DU,COLUMN(基本資料填寫!CN13),0),"")</f>
        <v/>
      </c>
      <c r="D15" s="115" t="str">
        <f>IFERROR(VLOOKUP(基本資料填寫!$C$1&amp;"-"&amp;ROW(I12),基本資料填寫!$C:$DU,COLUMN(基本資料填寫!Q13),0),"")</f>
        <v/>
      </c>
      <c r="E15" s="115" t="str">
        <f>IFERROR(VLOOKUP(基本資料填寫!$C$1&amp;"-"&amp;ROW(L12),基本資料填寫!$C:$DU,COLUMN(基本資料填寫!T13),0),"")</f>
        <v/>
      </c>
      <c r="F15" s="114" t="str">
        <f>IFERROR(VLOOKUP(基本資料填寫!$C$1&amp;"-"&amp;ROW(F12),基本資料填寫!$C:$DU,COLUMN(基本資料填寫!N13),0),"")</f>
        <v/>
      </c>
      <c r="G15" s="114" t="str">
        <f>IFERROR(VLOOKUP(基本資料填寫!$C$1&amp;"-"&amp;ROW(C12),基本資料填寫!$C:$DU,COLUMN(基本資料填寫!O13),0),"")</f>
        <v/>
      </c>
      <c r="H15" s="115" t="str">
        <f>IFERROR(VLOOKUP(基本資料填寫!$C$1&amp;"-"&amp;ROW(E12),基本資料填寫!$C:$DU,COLUMN(基本資料填寫!M13),0),"")</f>
        <v/>
      </c>
      <c r="I15" s="114" t="str">
        <f>IFERROR(VLOOKUP(基本資料填寫!$C$1&amp;"-"&amp;ROW(M12),基本資料填寫!$C:$DU,COLUMN(基本資料填寫!U13),0),"")</f>
        <v/>
      </c>
      <c r="J15" s="13"/>
      <c r="K15" s="13"/>
      <c r="L15" s="13"/>
      <c r="M15" s="115" t="str">
        <f>IFERROR(VLOOKUP(基本資料填寫!$C$1&amp;"-"&amp;ROW(AJ12),基本資料填寫!$C:$DU,COLUMN(基本資料填寫!CI13),0),"")</f>
        <v/>
      </c>
      <c r="N15" s="13"/>
      <c r="O15" s="13"/>
      <c r="P15" s="174" t="str">
        <f>IFERROR(VLOOKUP(基本資料填寫!$C$1&amp;"-"&amp;ROW(AB12),基本資料填寫!$C:$DU,COLUMN(基本資料填寫!AJ13),0),"")</f>
        <v/>
      </c>
      <c r="W15" s="115" t="str">
        <f>IFERROR(VLOOKUP(基本資料填寫!$C$1&amp;"-"&amp;ROW(AI12),基本資料填寫!$C:$DU,COLUMN(基本資料填寫!CH13),0),"")</f>
        <v/>
      </c>
    </row>
    <row r="16" spans="1:28" x14ac:dyDescent="0.3">
      <c r="B16" s="114" t="str">
        <f>IF(G16="","",COUNTA($G$4:G16))</f>
        <v/>
      </c>
      <c r="C16" s="115" t="str">
        <f>IFERROR(VLOOKUP(基本資料填寫!$C$1&amp;"-"&amp;ROW(A13),基本資料填寫!$C:$DU,COLUMN(基本資料填寫!CN14),0),"")</f>
        <v/>
      </c>
      <c r="D16" s="115" t="str">
        <f>IFERROR(VLOOKUP(基本資料填寫!$C$1&amp;"-"&amp;ROW(I13),基本資料填寫!$C:$DU,COLUMN(基本資料填寫!Q14),0),"")</f>
        <v/>
      </c>
      <c r="E16" s="115" t="str">
        <f>IFERROR(VLOOKUP(基本資料填寫!$C$1&amp;"-"&amp;ROW(L13),基本資料填寫!$C:$DU,COLUMN(基本資料填寫!T14),0),"")</f>
        <v/>
      </c>
      <c r="F16" s="114" t="str">
        <f>IFERROR(VLOOKUP(基本資料填寫!$C$1&amp;"-"&amp;ROW(F13),基本資料填寫!$C:$DU,COLUMN(基本資料填寫!N14),0),"")</f>
        <v/>
      </c>
      <c r="G16" s="114" t="str">
        <f>IFERROR(VLOOKUP(基本資料填寫!$C$1&amp;"-"&amp;ROW(C13),基本資料填寫!$C:$DU,COLUMN(基本資料填寫!O14),0),"")</f>
        <v/>
      </c>
      <c r="H16" s="115" t="str">
        <f>IFERROR(VLOOKUP(基本資料填寫!$C$1&amp;"-"&amp;ROW(E13),基本資料填寫!$C:$DU,COLUMN(基本資料填寫!M14),0),"")</f>
        <v/>
      </c>
      <c r="I16" s="114" t="str">
        <f>IFERROR(VLOOKUP(基本資料填寫!$C$1&amp;"-"&amp;ROW(M13),基本資料填寫!$C:$DU,COLUMN(基本資料填寫!U14),0),"")</f>
        <v/>
      </c>
      <c r="J16" s="13"/>
      <c r="K16" s="13"/>
      <c r="L16" s="13"/>
      <c r="M16" s="115" t="str">
        <f>IFERROR(VLOOKUP(基本資料填寫!$C$1&amp;"-"&amp;ROW(AJ13),基本資料填寫!$C:$DU,COLUMN(基本資料填寫!CI14),0),"")</f>
        <v/>
      </c>
      <c r="N16" s="13"/>
      <c r="O16" s="13"/>
      <c r="P16" s="174" t="str">
        <f>IFERROR(VLOOKUP(基本資料填寫!$C$1&amp;"-"&amp;ROW(AB13),基本資料填寫!$C:$DU,COLUMN(基本資料填寫!AJ14),0),"")</f>
        <v/>
      </c>
      <c r="W16" s="115" t="str">
        <f>IFERROR(VLOOKUP(基本資料填寫!$C$1&amp;"-"&amp;ROW(AI13),基本資料填寫!$C:$DU,COLUMN(基本資料填寫!CH14),0),"")</f>
        <v/>
      </c>
    </row>
    <row r="17" spans="2:77" x14ac:dyDescent="0.3">
      <c r="B17" s="114" t="str">
        <f>IF(G17="","",COUNTA($G$4:G17))</f>
        <v/>
      </c>
      <c r="C17" s="115" t="str">
        <f>IFERROR(VLOOKUP(基本資料填寫!$C$1&amp;"-"&amp;ROW(A14),基本資料填寫!$C:$DU,COLUMN(基本資料填寫!CN15),0),"")</f>
        <v/>
      </c>
      <c r="D17" s="115" t="str">
        <f>IFERROR(VLOOKUP(基本資料填寫!$C$1&amp;"-"&amp;ROW(I14),基本資料填寫!$C:$DU,COLUMN(基本資料填寫!Q15),0),"")</f>
        <v/>
      </c>
      <c r="E17" s="115" t="str">
        <f>IFERROR(VLOOKUP(基本資料填寫!$C$1&amp;"-"&amp;ROW(L14),基本資料填寫!$C:$DU,COLUMN(基本資料填寫!T15),0),"")</f>
        <v/>
      </c>
      <c r="F17" s="114" t="str">
        <f>IFERROR(VLOOKUP(基本資料填寫!$C$1&amp;"-"&amp;ROW(F14),基本資料填寫!$C:$DU,COLUMN(基本資料填寫!N15),0),"")</f>
        <v/>
      </c>
      <c r="G17" s="114" t="str">
        <f>IFERROR(VLOOKUP(基本資料填寫!$C$1&amp;"-"&amp;ROW(C14),基本資料填寫!$C:$DU,COLUMN(基本資料填寫!O15),0),"")</f>
        <v/>
      </c>
      <c r="H17" s="115" t="str">
        <f>IFERROR(VLOOKUP(基本資料填寫!$C$1&amp;"-"&amp;ROW(E14),基本資料填寫!$C:$DU,COLUMN(基本資料填寫!M15),0),"")</f>
        <v/>
      </c>
      <c r="I17" s="114" t="str">
        <f>IFERROR(VLOOKUP(基本資料填寫!$C$1&amp;"-"&amp;ROW(M14),基本資料填寫!$C:$DU,COLUMN(基本資料填寫!U15),0),"")</f>
        <v/>
      </c>
      <c r="J17" s="13"/>
      <c r="K17" s="13"/>
      <c r="L17" s="13"/>
      <c r="M17" s="115" t="str">
        <f>IFERROR(VLOOKUP(基本資料填寫!$C$1&amp;"-"&amp;ROW(AJ14),基本資料填寫!$C:$DU,COLUMN(基本資料填寫!CI15),0),"")</f>
        <v/>
      </c>
      <c r="N17" s="13"/>
      <c r="O17" s="13"/>
      <c r="P17" s="174" t="str">
        <f>IFERROR(VLOOKUP(基本資料填寫!$C$1&amp;"-"&amp;ROW(AB14),基本資料填寫!$C:$DU,COLUMN(基本資料填寫!AJ15),0),"")</f>
        <v/>
      </c>
      <c r="W17" s="115" t="str">
        <f>IFERROR(VLOOKUP(基本資料填寫!$C$1&amp;"-"&amp;ROW(AI14),基本資料填寫!$C:$DU,COLUMN(基本資料填寫!CH15),0),"")</f>
        <v/>
      </c>
    </row>
    <row r="18" spans="2:77" x14ac:dyDescent="0.3">
      <c r="B18" s="114" t="str">
        <f>IF(G18="","",COUNTA($G$4:G18))</f>
        <v/>
      </c>
      <c r="C18" s="115" t="str">
        <f>IFERROR(VLOOKUP(基本資料填寫!$C$1&amp;"-"&amp;ROW(A15),基本資料填寫!$C:$DU,COLUMN(基本資料填寫!CN16),0),"")</f>
        <v/>
      </c>
      <c r="D18" s="115" t="str">
        <f>IFERROR(VLOOKUP(基本資料填寫!$C$1&amp;"-"&amp;ROW(I15),基本資料填寫!$C:$DU,COLUMN(基本資料填寫!Q16),0),"")</f>
        <v/>
      </c>
      <c r="E18" s="115" t="str">
        <f>IFERROR(VLOOKUP(基本資料填寫!$C$1&amp;"-"&amp;ROW(L15),基本資料填寫!$C:$DU,COLUMN(基本資料填寫!T16),0),"")</f>
        <v/>
      </c>
      <c r="F18" s="114" t="str">
        <f>IFERROR(VLOOKUP(基本資料填寫!$C$1&amp;"-"&amp;ROW(F15),基本資料填寫!$C:$DU,COLUMN(基本資料填寫!N16),0),"")</f>
        <v/>
      </c>
      <c r="G18" s="114" t="str">
        <f>IFERROR(VLOOKUP(基本資料填寫!$C$1&amp;"-"&amp;ROW(C15),基本資料填寫!$C:$DU,COLUMN(基本資料填寫!O16),0),"")</f>
        <v/>
      </c>
      <c r="H18" s="115" t="str">
        <f>IFERROR(VLOOKUP(基本資料填寫!$C$1&amp;"-"&amp;ROW(E15),基本資料填寫!$C:$DU,COLUMN(基本資料填寫!M16),0),"")</f>
        <v/>
      </c>
      <c r="I18" s="114" t="str">
        <f>IFERROR(VLOOKUP(基本資料填寫!$C$1&amp;"-"&amp;ROW(M15),基本資料填寫!$C:$DU,COLUMN(基本資料填寫!U16),0),"")</f>
        <v/>
      </c>
      <c r="J18" s="13"/>
      <c r="K18" s="13"/>
      <c r="L18" s="13"/>
      <c r="M18" s="115" t="str">
        <f>IFERROR(VLOOKUP(基本資料填寫!$C$1&amp;"-"&amp;ROW(AJ15),基本資料填寫!$C:$DU,COLUMN(基本資料填寫!CI16),0),"")</f>
        <v/>
      </c>
      <c r="N18" s="13"/>
      <c r="O18" s="13"/>
      <c r="P18" s="174" t="str">
        <f>IFERROR(VLOOKUP(基本資料填寫!$C$1&amp;"-"&amp;ROW(AB15),基本資料填寫!$C:$DU,COLUMN(基本資料填寫!AJ16),0),"")</f>
        <v/>
      </c>
      <c r="W18" s="115" t="str">
        <f>IFERROR(VLOOKUP(基本資料填寫!$C$1&amp;"-"&amp;ROW(AI15),基本資料填寫!$C:$DU,COLUMN(基本資料填寫!CH16),0),"")</f>
        <v/>
      </c>
    </row>
    <row r="19" spans="2:77" x14ac:dyDescent="0.3">
      <c r="B19" s="114" t="str">
        <f>IF(G19="","",COUNTA($G$4:G19))</f>
        <v/>
      </c>
      <c r="C19" s="115" t="str">
        <f>IFERROR(VLOOKUP(基本資料填寫!$C$1&amp;"-"&amp;ROW(A16),基本資料填寫!$C:$DU,COLUMN(基本資料填寫!CN17),0),"")</f>
        <v/>
      </c>
      <c r="D19" s="115" t="str">
        <f>IFERROR(VLOOKUP(基本資料填寫!$C$1&amp;"-"&amp;ROW(I16),基本資料填寫!$C:$DU,COLUMN(基本資料填寫!Q17),0),"")</f>
        <v/>
      </c>
      <c r="E19" s="115" t="str">
        <f>IFERROR(VLOOKUP(基本資料填寫!$C$1&amp;"-"&amp;ROW(L16),基本資料填寫!$C:$DU,COLUMN(基本資料填寫!T17),0),"")</f>
        <v/>
      </c>
      <c r="F19" s="114" t="str">
        <f>IFERROR(VLOOKUP(基本資料填寫!$C$1&amp;"-"&amp;ROW(F16),基本資料填寫!$C:$DU,COLUMN(基本資料填寫!N17),0),"")</f>
        <v/>
      </c>
      <c r="G19" s="114" t="str">
        <f>IFERROR(VLOOKUP(基本資料填寫!$C$1&amp;"-"&amp;ROW(C16),基本資料填寫!$C:$DU,COLUMN(基本資料填寫!O17),0),"")</f>
        <v/>
      </c>
      <c r="H19" s="115" t="str">
        <f>IFERROR(VLOOKUP(基本資料填寫!$C$1&amp;"-"&amp;ROW(E16),基本資料填寫!$C:$DU,COLUMN(基本資料填寫!M17),0),"")</f>
        <v/>
      </c>
      <c r="I19" s="114" t="str">
        <f>IFERROR(VLOOKUP(基本資料填寫!$C$1&amp;"-"&amp;ROW(M16),基本資料填寫!$C:$DU,COLUMN(基本資料填寫!U17),0),"")</f>
        <v/>
      </c>
      <c r="M19" s="115" t="str">
        <f>IFERROR(VLOOKUP(基本資料填寫!$C$1&amp;"-"&amp;ROW(AJ16),基本資料填寫!$C:$DU,COLUMN(基本資料填寫!CI17),0),"")</f>
        <v/>
      </c>
      <c r="P19" s="174" t="str">
        <f>IFERROR(VLOOKUP(基本資料填寫!$C$1&amp;"-"&amp;ROW(AB16),基本資料填寫!$C:$DU,COLUMN(基本資料填寫!AJ17),0),"")</f>
        <v/>
      </c>
      <c r="W19" s="115" t="str">
        <f>IFERROR(VLOOKUP(基本資料填寫!$C$1&amp;"-"&amp;ROW(AI16),基本資料填寫!$C:$DU,COLUMN(基本資料填寫!CH17),0),"")</f>
        <v/>
      </c>
      <c r="AC19" s="165"/>
    </row>
    <row r="20" spans="2:77" x14ac:dyDescent="0.3">
      <c r="B20" s="114" t="str">
        <f>IF(G20="","",COUNTA($G$4:G20))</f>
        <v/>
      </c>
      <c r="C20" s="115" t="str">
        <f>IFERROR(VLOOKUP(基本資料填寫!$C$1&amp;"-"&amp;ROW(A17),基本資料填寫!$C:$DU,COLUMN(基本資料填寫!CN18),0),"")</f>
        <v/>
      </c>
      <c r="D20" s="115" t="str">
        <f>IFERROR(VLOOKUP(基本資料填寫!$C$1&amp;"-"&amp;ROW(I17),基本資料填寫!$C:$DU,COLUMN(基本資料填寫!Q18),0),"")</f>
        <v/>
      </c>
      <c r="E20" s="115" t="str">
        <f>IFERROR(VLOOKUP(基本資料填寫!$C$1&amp;"-"&amp;ROW(L17),基本資料填寫!$C:$DU,COLUMN(基本資料填寫!T18),0),"")</f>
        <v/>
      </c>
      <c r="F20" s="114" t="str">
        <f>IFERROR(VLOOKUP(基本資料填寫!$C$1&amp;"-"&amp;ROW(F17),基本資料填寫!$C:$DU,COLUMN(基本資料填寫!N18),0),"")</f>
        <v/>
      </c>
      <c r="G20" s="114" t="str">
        <f>IFERROR(VLOOKUP(基本資料填寫!$C$1&amp;"-"&amp;ROW(C17),基本資料填寫!$C:$DU,COLUMN(基本資料填寫!O18),0),"")</f>
        <v/>
      </c>
      <c r="H20" s="115" t="str">
        <f>IFERROR(VLOOKUP(基本資料填寫!$C$1&amp;"-"&amp;ROW(E17),基本資料填寫!$C:$DU,COLUMN(基本資料填寫!M18),0),"")</f>
        <v/>
      </c>
      <c r="I20" s="114" t="str">
        <f>IFERROR(VLOOKUP(基本資料填寫!$C$1&amp;"-"&amp;ROW(M17),基本資料填寫!$C:$DU,COLUMN(基本資料填寫!U18),0),"")</f>
        <v/>
      </c>
      <c r="J20" s="114"/>
      <c r="L20" s="114"/>
      <c r="M20" s="115" t="str">
        <f>IFERROR(VLOOKUP(基本資料填寫!$C$1&amp;"-"&amp;ROW(AJ17),基本資料填寫!$C:$DU,COLUMN(基本資料填寫!CI18),0),"")</f>
        <v/>
      </c>
      <c r="N20" s="114"/>
      <c r="O20" s="114"/>
      <c r="P20" s="174" t="str">
        <f>IFERROR(VLOOKUP(基本資料填寫!$C$1&amp;"-"&amp;ROW(AB17),基本資料填寫!$C:$DU,COLUMN(基本資料填寫!AJ18),0),"")</f>
        <v/>
      </c>
      <c r="Q20" s="114"/>
      <c r="R20" s="114"/>
      <c r="S20" s="114"/>
      <c r="T20" s="114"/>
      <c r="U20" s="114"/>
      <c r="V20" s="114"/>
      <c r="W20" s="115" t="str">
        <f>IFERROR(VLOOKUP(基本資料填寫!$C$1&amp;"-"&amp;ROW(AI17),基本資料填寫!$C:$DU,COLUMN(基本資料填寫!CH18),0),"")</f>
        <v/>
      </c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M20" s="114"/>
      <c r="AN20" s="114"/>
      <c r="AO20" s="114"/>
      <c r="AP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14"/>
      <c r="BP20" s="114"/>
      <c r="BQ20" s="114"/>
      <c r="BR20" s="114"/>
      <c r="BS20" s="114"/>
      <c r="BT20" s="114"/>
      <c r="BU20" s="114"/>
      <c r="BV20" s="114"/>
      <c r="BW20" s="114"/>
      <c r="BX20" s="114"/>
      <c r="BY20" s="114"/>
    </row>
    <row r="21" spans="2:77" x14ac:dyDescent="0.3">
      <c r="B21" s="114" t="str">
        <f>IF(G21="","",COUNTA($G$4:G21))</f>
        <v/>
      </c>
      <c r="C21" s="115" t="str">
        <f>IFERROR(VLOOKUP(基本資料填寫!$C$1&amp;"-"&amp;ROW(A18),基本資料填寫!$C:$DU,COLUMN(基本資料填寫!CN19),0),"")</f>
        <v/>
      </c>
      <c r="D21" s="115" t="str">
        <f>IFERROR(VLOOKUP(基本資料填寫!$C$1&amp;"-"&amp;ROW(I18),基本資料填寫!$C:$DU,COLUMN(基本資料填寫!Q19),0),"")</f>
        <v/>
      </c>
      <c r="E21" s="115" t="str">
        <f>IFERROR(VLOOKUP(基本資料填寫!$C$1&amp;"-"&amp;ROW(L18),基本資料填寫!$C:$DU,COLUMN(基本資料填寫!T19),0),"")</f>
        <v/>
      </c>
      <c r="F21" s="114" t="str">
        <f>IFERROR(VLOOKUP(基本資料填寫!$C$1&amp;"-"&amp;ROW(F18),基本資料填寫!$C:$DU,COLUMN(基本資料填寫!N19),0),"")</f>
        <v/>
      </c>
      <c r="G21" s="114" t="str">
        <f>IFERROR(VLOOKUP(基本資料填寫!$C$1&amp;"-"&amp;ROW(C18),基本資料填寫!$C:$DU,COLUMN(基本資料填寫!O19),0),"")</f>
        <v/>
      </c>
      <c r="H21" s="115" t="str">
        <f>IFERROR(VLOOKUP(基本資料填寫!$C$1&amp;"-"&amp;ROW(E18),基本資料填寫!$C:$DU,COLUMN(基本資料填寫!M19),0),"")</f>
        <v/>
      </c>
      <c r="I21" s="114" t="str">
        <f>IFERROR(VLOOKUP(基本資料填寫!$C$1&amp;"-"&amp;ROW(M18),基本資料填寫!$C:$DU,COLUMN(基本資料填寫!U19),0),"")</f>
        <v/>
      </c>
      <c r="J21" s="114"/>
      <c r="K21" s="114"/>
      <c r="L21" s="114"/>
      <c r="M21" s="115" t="str">
        <f>IFERROR(VLOOKUP(基本資料填寫!$C$1&amp;"-"&amp;ROW(AJ18),基本資料填寫!$C:$DU,COLUMN(基本資料填寫!CI19),0),"")</f>
        <v/>
      </c>
      <c r="N21" s="114"/>
      <c r="O21" s="114"/>
      <c r="P21" s="174" t="str">
        <f>IFERROR(VLOOKUP(基本資料填寫!$C$1&amp;"-"&amp;ROW(AB18),基本資料填寫!$C:$DU,COLUMN(基本資料填寫!AJ19),0),"")</f>
        <v/>
      </c>
      <c r="Q21" s="114"/>
      <c r="R21" s="114"/>
      <c r="S21" s="114"/>
      <c r="T21" s="114"/>
      <c r="U21" s="114"/>
      <c r="V21" s="114"/>
      <c r="W21" s="115" t="str">
        <f>IFERROR(VLOOKUP(基本資料填寫!$C$1&amp;"-"&amp;ROW(AI18),基本資料填寫!$C:$DU,COLUMN(基本資料填寫!CH19),0),"")</f>
        <v/>
      </c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14"/>
      <c r="BP21" s="114"/>
      <c r="BQ21" s="114"/>
      <c r="BR21" s="114"/>
      <c r="BS21" s="114"/>
      <c r="BT21" s="114"/>
      <c r="BU21" s="114"/>
      <c r="BV21" s="114"/>
      <c r="BW21" s="114"/>
      <c r="BX21" s="114"/>
      <c r="BY21" s="114"/>
    </row>
    <row r="22" spans="2:77" x14ac:dyDescent="0.3">
      <c r="B22" s="114" t="str">
        <f>IF(G22="","",COUNTA($G$4:G22))</f>
        <v/>
      </c>
      <c r="C22" s="115" t="str">
        <f>IFERROR(VLOOKUP(基本資料填寫!$C$1&amp;"-"&amp;ROW(A19),基本資料填寫!$C:$DU,COLUMN(基本資料填寫!CN20),0),"")</f>
        <v/>
      </c>
      <c r="D22" s="115" t="str">
        <f>IFERROR(VLOOKUP(基本資料填寫!$C$1&amp;"-"&amp;ROW(I19),基本資料填寫!$C:$DU,COLUMN(基本資料填寫!Q20),0),"")</f>
        <v/>
      </c>
      <c r="E22" s="115" t="str">
        <f>IFERROR(VLOOKUP(基本資料填寫!$C$1&amp;"-"&amp;ROW(L19),基本資料填寫!$C:$DU,COLUMN(基本資料填寫!T20),0),"")</f>
        <v/>
      </c>
      <c r="F22" s="114" t="str">
        <f>IFERROR(VLOOKUP(基本資料填寫!$C$1&amp;"-"&amp;ROW(F19),基本資料填寫!$C:$DU,COLUMN(基本資料填寫!N20),0),"")</f>
        <v/>
      </c>
      <c r="G22" s="114" t="str">
        <f>IFERROR(VLOOKUP(基本資料填寫!$C$1&amp;"-"&amp;ROW(C19),基本資料填寫!$C:$DU,COLUMN(基本資料填寫!O20),0),"")</f>
        <v/>
      </c>
      <c r="H22" s="115" t="str">
        <f>IFERROR(VLOOKUP(基本資料填寫!$C$1&amp;"-"&amp;ROW(E19),基本資料填寫!$C:$DU,COLUMN(基本資料填寫!M20),0),"")</f>
        <v/>
      </c>
      <c r="I22" s="114" t="str">
        <f>IFERROR(VLOOKUP(基本資料填寫!$C$1&amp;"-"&amp;ROW(M19),基本資料填寫!$C:$DU,COLUMN(基本資料填寫!U20),0),"")</f>
        <v/>
      </c>
      <c r="J22" s="114"/>
      <c r="K22" s="114"/>
      <c r="L22" s="114"/>
      <c r="M22" s="115" t="str">
        <f>IFERROR(VLOOKUP(基本資料填寫!$C$1&amp;"-"&amp;ROW(AJ19),基本資料填寫!$C:$DU,COLUMN(基本資料填寫!CI20),0),"")</f>
        <v/>
      </c>
      <c r="N22" s="114"/>
      <c r="O22" s="114"/>
      <c r="P22" s="174" t="str">
        <f>IFERROR(VLOOKUP(基本資料填寫!$C$1&amp;"-"&amp;ROW(AB19),基本資料填寫!$C:$DU,COLUMN(基本資料填寫!AJ20),0),"")</f>
        <v/>
      </c>
      <c r="Q22" s="114"/>
      <c r="R22" s="114"/>
      <c r="S22" s="114"/>
      <c r="T22" s="114"/>
      <c r="U22" s="114"/>
      <c r="V22" s="114"/>
      <c r="W22" s="115" t="str">
        <f>IFERROR(VLOOKUP(基本資料填寫!$C$1&amp;"-"&amp;ROW(AI19),基本資料填寫!$C:$DU,COLUMN(基本資料填寫!CH20),0),"")</f>
        <v/>
      </c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4"/>
      <c r="BV22" s="114"/>
      <c r="BW22" s="114"/>
      <c r="BX22" s="114"/>
      <c r="BY22" s="114"/>
    </row>
    <row r="23" spans="2:77" x14ac:dyDescent="0.3">
      <c r="B23" s="114" t="str">
        <f>IF(G23="","",COUNTA($G$4:G23))</f>
        <v/>
      </c>
      <c r="C23" s="115" t="str">
        <f>IFERROR(VLOOKUP(基本資料填寫!$C$1&amp;"-"&amp;ROW(A20),基本資料填寫!$C:$DU,COLUMN(基本資料填寫!CN21),0),"")</f>
        <v/>
      </c>
      <c r="D23" s="115" t="str">
        <f>IFERROR(VLOOKUP(基本資料填寫!$C$1&amp;"-"&amp;ROW(I20),基本資料填寫!$C:$DU,COLUMN(基本資料填寫!Q21),0),"")</f>
        <v/>
      </c>
      <c r="E23" s="115" t="str">
        <f>IFERROR(VLOOKUP(基本資料填寫!$C$1&amp;"-"&amp;ROW(L20),基本資料填寫!$C:$DU,COLUMN(基本資料填寫!T21),0),"")</f>
        <v/>
      </c>
      <c r="F23" s="114" t="str">
        <f>IFERROR(VLOOKUP(基本資料填寫!$C$1&amp;"-"&amp;ROW(F20),基本資料填寫!$C:$DU,COLUMN(基本資料填寫!N21),0),"")</f>
        <v/>
      </c>
      <c r="G23" s="114" t="str">
        <f>IFERROR(VLOOKUP(基本資料填寫!$C$1&amp;"-"&amp;ROW(C20),基本資料填寫!$C:$DU,COLUMN(基本資料填寫!O21),0),"")</f>
        <v/>
      </c>
      <c r="H23" s="115" t="str">
        <f>IFERROR(VLOOKUP(基本資料填寫!$C$1&amp;"-"&amp;ROW(E20),基本資料填寫!$C:$DU,COLUMN(基本資料填寫!M21),0),"")</f>
        <v/>
      </c>
      <c r="I23" s="114" t="str">
        <f>IFERROR(VLOOKUP(基本資料填寫!$C$1&amp;"-"&amp;ROW(M20),基本資料填寫!$C:$DU,COLUMN(基本資料填寫!U21),0),"")</f>
        <v/>
      </c>
      <c r="J23" s="114"/>
      <c r="K23" s="114"/>
      <c r="M23" s="115" t="str">
        <f>IFERROR(VLOOKUP(基本資料填寫!$C$1&amp;"-"&amp;ROW(AJ20),基本資料填寫!$C:$DU,COLUMN(基本資料填寫!CI21),0),"")</f>
        <v/>
      </c>
      <c r="P23" s="174" t="str">
        <f>IFERROR(VLOOKUP(基本資料填寫!$C$1&amp;"-"&amp;ROW(AB20),基本資料填寫!$C:$DU,COLUMN(基本資料填寫!AJ21),0),"")</f>
        <v/>
      </c>
      <c r="W23" s="115" t="str">
        <f>IFERROR(VLOOKUP(基本資料填寫!$C$1&amp;"-"&amp;ROW(AI20),基本資料填寫!$C:$DU,COLUMN(基本資料填寫!CH21),0),"")</f>
        <v/>
      </c>
    </row>
    <row r="24" spans="2:77" x14ac:dyDescent="0.3">
      <c r="B24" s="114" t="str">
        <f>IF(G24="","",COUNTA($G$4:G24))</f>
        <v/>
      </c>
      <c r="C24" s="115" t="str">
        <f>IFERROR(VLOOKUP(基本資料填寫!$C$1&amp;"-"&amp;ROW(A21),基本資料填寫!$C:$DU,COLUMN(基本資料填寫!CN22),0),"")</f>
        <v/>
      </c>
      <c r="D24" s="115" t="str">
        <f>IFERROR(VLOOKUP(基本資料填寫!$C$1&amp;"-"&amp;ROW(I21),基本資料填寫!$C:$DU,COLUMN(基本資料填寫!Q22),0),"")</f>
        <v/>
      </c>
      <c r="E24" s="115" t="str">
        <f>IFERROR(VLOOKUP(基本資料填寫!$C$1&amp;"-"&amp;ROW(L21),基本資料填寫!$C:$DU,COLUMN(基本資料填寫!T22),0),"")</f>
        <v/>
      </c>
      <c r="F24" s="114" t="str">
        <f>IFERROR(VLOOKUP(基本資料填寫!$C$1&amp;"-"&amp;ROW(F21),基本資料填寫!$C:$DU,COLUMN(基本資料填寫!N22),0),"")</f>
        <v/>
      </c>
      <c r="G24" s="114" t="str">
        <f>IFERROR(VLOOKUP(基本資料填寫!$C$1&amp;"-"&amp;ROW(C21),基本資料填寫!$C:$DU,COLUMN(基本資料填寫!O22),0),"")</f>
        <v/>
      </c>
      <c r="H24" s="115" t="str">
        <f>IFERROR(VLOOKUP(基本資料填寫!$C$1&amp;"-"&amp;ROW(E21),基本資料填寫!$C:$DU,COLUMN(基本資料填寫!M22),0),"")</f>
        <v/>
      </c>
      <c r="I24" s="114" t="str">
        <f>IFERROR(VLOOKUP(基本資料填寫!$C$1&amp;"-"&amp;ROW(M21),基本資料填寫!$C:$DU,COLUMN(基本資料填寫!U22),0),"")</f>
        <v/>
      </c>
      <c r="J24" s="114"/>
      <c r="K24" s="114"/>
      <c r="M24" s="115" t="str">
        <f>IFERROR(VLOOKUP(基本資料填寫!$C$1&amp;"-"&amp;ROW(AJ21),基本資料填寫!$C:$DU,COLUMN(基本資料填寫!CI22),0),"")</f>
        <v/>
      </c>
      <c r="P24" s="174" t="str">
        <f>IFERROR(VLOOKUP(基本資料填寫!$C$1&amp;"-"&amp;ROW(AB21),基本資料填寫!$C:$DU,COLUMN(基本資料填寫!AJ22),0),"")</f>
        <v/>
      </c>
      <c r="W24" s="115" t="str">
        <f>IFERROR(VLOOKUP(基本資料填寫!$C$1&amp;"-"&amp;ROW(AI21),基本資料填寫!$C:$DU,COLUMN(基本資料填寫!CH22),0),"")</f>
        <v/>
      </c>
    </row>
    <row r="25" spans="2:77" x14ac:dyDescent="0.3">
      <c r="B25" s="114" t="str">
        <f>IF(G25="","",COUNTA($G$4:G25))</f>
        <v/>
      </c>
      <c r="C25" s="115" t="str">
        <f>IFERROR(VLOOKUP(基本資料填寫!$C$1&amp;"-"&amp;ROW(A22),基本資料填寫!$C:$DU,COLUMN(基本資料填寫!CN23),0),"")</f>
        <v/>
      </c>
      <c r="D25" s="115" t="str">
        <f>IFERROR(VLOOKUP(基本資料填寫!$C$1&amp;"-"&amp;ROW(I22),基本資料填寫!$C:$DU,COLUMN(基本資料填寫!Q23),0),"")</f>
        <v/>
      </c>
      <c r="E25" s="115" t="str">
        <f>IFERROR(VLOOKUP(基本資料填寫!$C$1&amp;"-"&amp;ROW(L22),基本資料填寫!$C:$DU,COLUMN(基本資料填寫!T23),0),"")</f>
        <v/>
      </c>
      <c r="F25" s="114" t="str">
        <f>IFERROR(VLOOKUP(基本資料填寫!$C$1&amp;"-"&amp;ROW(F22),基本資料填寫!$C:$DU,COLUMN(基本資料填寫!N23),0),"")</f>
        <v/>
      </c>
      <c r="G25" s="114" t="str">
        <f>IFERROR(VLOOKUP(基本資料填寫!$C$1&amp;"-"&amp;ROW(C22),基本資料填寫!$C:$DU,COLUMN(基本資料填寫!O23),0),"")</f>
        <v/>
      </c>
      <c r="H25" s="115" t="str">
        <f>IFERROR(VLOOKUP(基本資料填寫!$C$1&amp;"-"&amp;ROW(E22),基本資料填寫!$C:$DU,COLUMN(基本資料填寫!M23),0),"")</f>
        <v/>
      </c>
      <c r="I25" s="114" t="str">
        <f>IFERROR(VLOOKUP(基本資料填寫!$C$1&amp;"-"&amp;ROW(M22),基本資料填寫!$C:$DU,COLUMN(基本資料填寫!U23),0),"")</f>
        <v/>
      </c>
      <c r="J25" s="114"/>
      <c r="K25" s="114"/>
      <c r="M25" s="115" t="str">
        <f>IFERROR(VLOOKUP(基本資料填寫!$C$1&amp;"-"&amp;ROW(AJ22),基本資料填寫!$C:$DU,COLUMN(基本資料填寫!CI23),0),"")</f>
        <v/>
      </c>
      <c r="P25" s="174" t="str">
        <f>IFERROR(VLOOKUP(基本資料填寫!$C$1&amp;"-"&amp;ROW(AB22),基本資料填寫!$C:$DU,COLUMN(基本資料填寫!AJ23),0),"")</f>
        <v/>
      </c>
      <c r="W25" s="115" t="str">
        <f>IFERROR(VLOOKUP(基本資料填寫!$C$1&amp;"-"&amp;ROW(AI22),基本資料填寫!$C:$DU,COLUMN(基本資料填寫!CH23),0),"")</f>
        <v/>
      </c>
    </row>
    <row r="26" spans="2:77" x14ac:dyDescent="0.3">
      <c r="B26" s="114" t="str">
        <f>IF(G26="","",COUNTA($G$4:G26))</f>
        <v/>
      </c>
      <c r="C26" s="115" t="str">
        <f>IFERROR(VLOOKUP(基本資料填寫!$C$1&amp;"-"&amp;ROW(A23),基本資料填寫!$C:$DU,COLUMN(基本資料填寫!CN24),0),"")</f>
        <v/>
      </c>
      <c r="D26" s="115" t="str">
        <f>IFERROR(VLOOKUP(基本資料填寫!$C$1&amp;"-"&amp;ROW(I23),基本資料填寫!$C:$DU,COLUMN(基本資料填寫!Q24),0),"")</f>
        <v/>
      </c>
      <c r="E26" s="115" t="str">
        <f>IFERROR(VLOOKUP(基本資料填寫!$C$1&amp;"-"&amp;ROW(L23),基本資料填寫!$C:$DU,COLUMN(基本資料填寫!T24),0),"")</f>
        <v/>
      </c>
      <c r="F26" s="114" t="str">
        <f>IFERROR(VLOOKUP(基本資料填寫!$C$1&amp;"-"&amp;ROW(F23),基本資料填寫!$C:$DU,COLUMN(基本資料填寫!N24),0),"")</f>
        <v/>
      </c>
      <c r="G26" s="114" t="str">
        <f>IFERROR(VLOOKUP(基本資料填寫!$C$1&amp;"-"&amp;ROW(C23),基本資料填寫!$C:$DU,COLUMN(基本資料填寫!O24),0),"")</f>
        <v/>
      </c>
      <c r="H26" s="115" t="str">
        <f>IFERROR(VLOOKUP(基本資料填寫!$C$1&amp;"-"&amp;ROW(E23),基本資料填寫!$C:$DU,COLUMN(基本資料填寫!M24),0),"")</f>
        <v/>
      </c>
      <c r="I26" s="114" t="str">
        <f>IFERROR(VLOOKUP(基本資料填寫!$C$1&amp;"-"&amp;ROW(M23),基本資料填寫!$C:$DU,COLUMN(基本資料填寫!U24),0),"")</f>
        <v/>
      </c>
      <c r="J26" s="114"/>
      <c r="K26" s="114"/>
      <c r="M26" s="115" t="str">
        <f>IFERROR(VLOOKUP(基本資料填寫!$C$1&amp;"-"&amp;ROW(AJ23),基本資料填寫!$C:$DU,COLUMN(基本資料填寫!CI24),0),"")</f>
        <v/>
      </c>
      <c r="P26" s="174" t="str">
        <f>IFERROR(VLOOKUP(基本資料填寫!$C$1&amp;"-"&amp;ROW(AB23),基本資料填寫!$C:$DU,COLUMN(基本資料填寫!AJ24),0),"")</f>
        <v/>
      </c>
      <c r="W26" s="115" t="str">
        <f>IFERROR(VLOOKUP(基本資料填寫!$C$1&amp;"-"&amp;ROW(AI23),基本資料填寫!$C:$DU,COLUMN(基本資料填寫!CH24),0),"")</f>
        <v/>
      </c>
    </row>
    <row r="27" spans="2:77" x14ac:dyDescent="0.3">
      <c r="B27" s="114" t="str">
        <f>IF(G27="","",COUNTA($G$4:G27))</f>
        <v/>
      </c>
      <c r="C27" s="115" t="str">
        <f>IFERROR(VLOOKUP(基本資料填寫!$C$1&amp;"-"&amp;ROW(A24),基本資料填寫!$C:$DU,COLUMN(基本資料填寫!CN25),0),"")</f>
        <v/>
      </c>
      <c r="D27" s="115" t="str">
        <f>IFERROR(VLOOKUP(基本資料填寫!$C$1&amp;"-"&amp;ROW(I24),基本資料填寫!$C:$DU,COLUMN(基本資料填寫!Q25),0),"")</f>
        <v/>
      </c>
      <c r="E27" s="115" t="str">
        <f>IFERROR(VLOOKUP(基本資料填寫!$C$1&amp;"-"&amp;ROW(L24),基本資料填寫!$C:$DU,COLUMN(基本資料填寫!T25),0),"")</f>
        <v/>
      </c>
      <c r="F27" s="114" t="str">
        <f>IFERROR(VLOOKUP(基本資料填寫!$C$1&amp;"-"&amp;ROW(F24),基本資料填寫!$C:$DU,COLUMN(基本資料填寫!N25),0),"")</f>
        <v/>
      </c>
      <c r="G27" s="114" t="str">
        <f>IFERROR(VLOOKUP(基本資料填寫!$C$1&amp;"-"&amp;ROW(C24),基本資料填寫!$C:$DU,COLUMN(基本資料填寫!O25),0),"")</f>
        <v/>
      </c>
      <c r="H27" s="115" t="str">
        <f>IFERROR(VLOOKUP(基本資料填寫!$C$1&amp;"-"&amp;ROW(E24),基本資料填寫!$C:$DU,COLUMN(基本資料填寫!M25),0),"")</f>
        <v/>
      </c>
      <c r="I27" s="114" t="str">
        <f>IFERROR(VLOOKUP(基本資料填寫!$C$1&amp;"-"&amp;ROW(M24),基本資料填寫!$C:$DU,COLUMN(基本資料填寫!U25),0),"")</f>
        <v/>
      </c>
      <c r="M27" s="115" t="str">
        <f>IFERROR(VLOOKUP(基本資料填寫!$C$1&amp;"-"&amp;ROW(AJ24),基本資料填寫!$C:$DU,COLUMN(基本資料填寫!CI25),0),"")</f>
        <v/>
      </c>
      <c r="P27" s="174" t="str">
        <f>IFERROR(VLOOKUP(基本資料填寫!$C$1&amp;"-"&amp;ROW(AB24),基本資料填寫!$C:$DU,COLUMN(基本資料填寫!AJ25),0),"")</f>
        <v/>
      </c>
      <c r="W27" s="115" t="str">
        <f>IFERROR(VLOOKUP(基本資料填寫!$C$1&amp;"-"&amp;ROW(AI24),基本資料填寫!$C:$DU,COLUMN(基本資料填寫!CH25),0),"")</f>
        <v/>
      </c>
    </row>
    <row r="28" spans="2:77" x14ac:dyDescent="0.3">
      <c r="B28" s="114" t="str">
        <f>IF(G28="","",COUNTA($G$4:G28))</f>
        <v/>
      </c>
      <c r="C28" s="115" t="str">
        <f>IFERROR(VLOOKUP(基本資料填寫!$C$1&amp;"-"&amp;ROW(A25),基本資料填寫!$C:$DU,COLUMN(基本資料填寫!CN26),0),"")</f>
        <v/>
      </c>
      <c r="D28" s="115" t="str">
        <f>IFERROR(VLOOKUP(基本資料填寫!$C$1&amp;"-"&amp;ROW(I25),基本資料填寫!$C:$DU,COLUMN(基本資料填寫!Q26),0),"")</f>
        <v/>
      </c>
      <c r="E28" s="115" t="str">
        <f>IFERROR(VLOOKUP(基本資料填寫!$C$1&amp;"-"&amp;ROW(L25),基本資料填寫!$C:$DU,COLUMN(基本資料填寫!T26),0),"")</f>
        <v/>
      </c>
      <c r="F28" s="114" t="str">
        <f>IFERROR(VLOOKUP(基本資料填寫!$C$1&amp;"-"&amp;ROW(F25),基本資料填寫!$C:$DU,COLUMN(基本資料填寫!N26),0),"")</f>
        <v/>
      </c>
      <c r="G28" s="114" t="str">
        <f>IFERROR(VLOOKUP(基本資料填寫!$C$1&amp;"-"&amp;ROW(C25),基本資料填寫!$C:$DU,COLUMN(基本資料填寫!O26),0),"")</f>
        <v/>
      </c>
      <c r="H28" s="115" t="str">
        <f>IFERROR(VLOOKUP(基本資料填寫!$C$1&amp;"-"&amp;ROW(E25),基本資料填寫!$C:$DU,COLUMN(基本資料填寫!M26),0),"")</f>
        <v/>
      </c>
      <c r="I28" s="114" t="str">
        <f>IFERROR(VLOOKUP(基本資料填寫!$C$1&amp;"-"&amp;ROW(M25),基本資料填寫!$C:$DU,COLUMN(基本資料填寫!U26),0),"")</f>
        <v/>
      </c>
      <c r="M28" s="115" t="str">
        <f>IFERROR(VLOOKUP(基本資料填寫!$C$1&amp;"-"&amp;ROW(AJ25),基本資料填寫!$C:$DU,COLUMN(基本資料填寫!CI26),0),"")</f>
        <v/>
      </c>
      <c r="P28" s="174" t="str">
        <f>IFERROR(VLOOKUP(基本資料填寫!$C$1&amp;"-"&amp;ROW(AB25),基本資料填寫!$C:$DU,COLUMN(基本資料填寫!AJ26),0),"")</f>
        <v/>
      </c>
      <c r="W28" s="115" t="str">
        <f>IFERROR(VLOOKUP(基本資料填寫!$C$1&amp;"-"&amp;ROW(AI25),基本資料填寫!$C:$DU,COLUMN(基本資料填寫!CH26),0),"")</f>
        <v/>
      </c>
    </row>
    <row r="29" spans="2:77" x14ac:dyDescent="0.3">
      <c r="B29" s="114" t="str">
        <f>IF(G29="","",COUNTA($G$4:G29))</f>
        <v/>
      </c>
      <c r="C29" s="115" t="str">
        <f>IFERROR(VLOOKUP(基本資料填寫!$C$1&amp;"-"&amp;ROW(A26),基本資料填寫!$C:$DU,COLUMN(基本資料填寫!CN27),0),"")</f>
        <v/>
      </c>
      <c r="D29" s="115" t="str">
        <f>IFERROR(VLOOKUP(基本資料填寫!$C$1&amp;"-"&amp;ROW(I26),基本資料填寫!$C:$DU,COLUMN(基本資料填寫!Q27),0),"")</f>
        <v/>
      </c>
      <c r="E29" s="115" t="str">
        <f>IFERROR(VLOOKUP(基本資料填寫!$C$1&amp;"-"&amp;ROW(L26),基本資料填寫!$C:$DU,COLUMN(基本資料填寫!T27),0),"")</f>
        <v/>
      </c>
      <c r="F29" s="114" t="str">
        <f>IFERROR(VLOOKUP(基本資料填寫!$C$1&amp;"-"&amp;ROW(F26),基本資料填寫!$C:$DU,COLUMN(基本資料填寫!N27),0),"")</f>
        <v/>
      </c>
      <c r="G29" s="114" t="str">
        <f>IFERROR(VLOOKUP(基本資料填寫!$C$1&amp;"-"&amp;ROW(C26),基本資料填寫!$C:$DU,COLUMN(基本資料填寫!O27),0),"")</f>
        <v/>
      </c>
      <c r="H29" s="115" t="str">
        <f>IFERROR(VLOOKUP(基本資料填寫!$C$1&amp;"-"&amp;ROW(E26),基本資料填寫!$C:$DU,COLUMN(基本資料填寫!M27),0),"")</f>
        <v/>
      </c>
      <c r="I29" s="114" t="str">
        <f>IFERROR(VLOOKUP(基本資料填寫!$C$1&amp;"-"&amp;ROW(M26),基本資料填寫!$C:$DU,COLUMN(基本資料填寫!U27),0),"")</f>
        <v/>
      </c>
      <c r="M29" s="115" t="str">
        <f>IFERROR(VLOOKUP(基本資料填寫!$C$1&amp;"-"&amp;ROW(AJ26),基本資料填寫!$C:$DU,COLUMN(基本資料填寫!CI27),0),"")</f>
        <v/>
      </c>
      <c r="P29" s="174" t="str">
        <f>IFERROR(VLOOKUP(基本資料填寫!$C$1&amp;"-"&amp;ROW(AB26),基本資料填寫!$C:$DU,COLUMN(基本資料填寫!AJ27),0),"")</f>
        <v/>
      </c>
      <c r="W29" s="115" t="str">
        <f>IFERROR(VLOOKUP(基本資料填寫!$C$1&amp;"-"&amp;ROW(AI26),基本資料填寫!$C:$DU,COLUMN(基本資料填寫!CH27),0),"")</f>
        <v/>
      </c>
    </row>
    <row r="30" spans="2:77" x14ac:dyDescent="0.3">
      <c r="B30" s="114" t="str">
        <f>IF(G30="","",COUNTA($G$4:G30))</f>
        <v/>
      </c>
      <c r="C30" s="115" t="str">
        <f>IFERROR(VLOOKUP(基本資料填寫!$C$1&amp;"-"&amp;ROW(A27),基本資料填寫!$C:$DU,COLUMN(基本資料填寫!CN28),0),"")</f>
        <v/>
      </c>
      <c r="D30" s="115" t="str">
        <f>IFERROR(VLOOKUP(基本資料填寫!$C$1&amp;"-"&amp;ROW(I27),基本資料填寫!$C:$DU,COLUMN(基本資料填寫!Q28),0),"")</f>
        <v/>
      </c>
      <c r="E30" s="115" t="str">
        <f>IFERROR(VLOOKUP(基本資料填寫!$C$1&amp;"-"&amp;ROW(L27),基本資料填寫!$C:$DU,COLUMN(基本資料填寫!T28),0),"")</f>
        <v/>
      </c>
      <c r="F30" s="114" t="str">
        <f>IFERROR(VLOOKUP(基本資料填寫!$C$1&amp;"-"&amp;ROW(F27),基本資料填寫!$C:$DU,COLUMN(基本資料填寫!N28),0),"")</f>
        <v/>
      </c>
      <c r="G30" s="114" t="str">
        <f>IFERROR(VLOOKUP(基本資料填寫!$C$1&amp;"-"&amp;ROW(C27),基本資料填寫!$C:$DU,COLUMN(基本資料填寫!O28),0),"")</f>
        <v/>
      </c>
      <c r="H30" s="115" t="str">
        <f>IFERROR(VLOOKUP(基本資料填寫!$C$1&amp;"-"&amp;ROW(E27),基本資料填寫!$C:$DU,COLUMN(基本資料填寫!M28),0),"")</f>
        <v/>
      </c>
      <c r="I30" s="114" t="str">
        <f>IFERROR(VLOOKUP(基本資料填寫!$C$1&amp;"-"&amp;ROW(M27),基本資料填寫!$C:$DU,COLUMN(基本資料填寫!U28),0),"")</f>
        <v/>
      </c>
      <c r="M30" s="115" t="str">
        <f>IFERROR(VLOOKUP(基本資料填寫!$C$1&amp;"-"&amp;ROW(AJ27),基本資料填寫!$C:$DU,COLUMN(基本資料填寫!CI28),0),"")</f>
        <v/>
      </c>
      <c r="P30" s="174" t="str">
        <f>IFERROR(VLOOKUP(基本資料填寫!$C$1&amp;"-"&amp;ROW(AB27),基本資料填寫!$C:$DU,COLUMN(基本資料填寫!AJ28),0),"")</f>
        <v/>
      </c>
      <c r="W30" s="115" t="str">
        <f>IFERROR(VLOOKUP(基本資料填寫!$C$1&amp;"-"&amp;ROW(AI27),基本資料填寫!$C:$DU,COLUMN(基本資料填寫!CH28),0),"")</f>
        <v/>
      </c>
    </row>
    <row r="31" spans="2:77" x14ac:dyDescent="0.3">
      <c r="B31" s="114" t="str">
        <f>IF(G31="","",COUNTA($G$4:G31))</f>
        <v/>
      </c>
      <c r="C31" s="115" t="str">
        <f>IFERROR(VLOOKUP(基本資料填寫!$C$1&amp;"-"&amp;ROW(A28),基本資料填寫!$C:$DU,COLUMN(基本資料填寫!CN29),0),"")</f>
        <v/>
      </c>
      <c r="D31" s="115" t="str">
        <f>IFERROR(VLOOKUP(基本資料填寫!$C$1&amp;"-"&amp;ROW(I28),基本資料填寫!$C:$DU,COLUMN(基本資料填寫!Q29),0),"")</f>
        <v/>
      </c>
      <c r="E31" s="115" t="str">
        <f>IFERROR(VLOOKUP(基本資料填寫!$C$1&amp;"-"&amp;ROW(L28),基本資料填寫!$C:$DU,COLUMN(基本資料填寫!T29),0),"")</f>
        <v/>
      </c>
      <c r="F31" s="114" t="str">
        <f>IFERROR(VLOOKUP(基本資料填寫!$C$1&amp;"-"&amp;ROW(F28),基本資料填寫!$C:$DU,COLUMN(基本資料填寫!N29),0),"")</f>
        <v/>
      </c>
      <c r="G31" s="114" t="str">
        <f>IFERROR(VLOOKUP(基本資料填寫!$C$1&amp;"-"&amp;ROW(C28),基本資料填寫!$C:$DU,COLUMN(基本資料填寫!O29),0),"")</f>
        <v/>
      </c>
      <c r="H31" s="115" t="str">
        <f>IFERROR(VLOOKUP(基本資料填寫!$C$1&amp;"-"&amp;ROW(E28),基本資料填寫!$C:$DU,COLUMN(基本資料填寫!M29),0),"")</f>
        <v/>
      </c>
      <c r="I31" s="114" t="str">
        <f>IFERROR(VLOOKUP(基本資料填寫!$C$1&amp;"-"&amp;ROW(M28),基本資料填寫!$C:$DU,COLUMN(基本資料填寫!U29),0),"")</f>
        <v/>
      </c>
      <c r="M31" s="115" t="str">
        <f>IFERROR(VLOOKUP(基本資料填寫!$C$1&amp;"-"&amp;ROW(AJ28),基本資料填寫!$C:$DU,COLUMN(基本資料填寫!CI29),0),"")</f>
        <v/>
      </c>
      <c r="P31" s="174" t="str">
        <f>IFERROR(VLOOKUP(基本資料填寫!$C$1&amp;"-"&amp;ROW(AB28),基本資料填寫!$C:$DU,COLUMN(基本資料填寫!AJ29),0),"")</f>
        <v/>
      </c>
      <c r="W31" s="115" t="str">
        <f>IFERROR(VLOOKUP(基本資料填寫!$C$1&amp;"-"&amp;ROW(AI28),基本資料填寫!$C:$DU,COLUMN(基本資料填寫!CH29),0),"")</f>
        <v/>
      </c>
    </row>
    <row r="32" spans="2:77" x14ac:dyDescent="0.3">
      <c r="B32" s="114" t="str">
        <f>IF(G32="","",COUNTA($G$4:G32))</f>
        <v/>
      </c>
      <c r="C32" s="115" t="str">
        <f>IFERROR(VLOOKUP(基本資料填寫!$C$1&amp;"-"&amp;ROW(A29),基本資料填寫!$C:$DU,COLUMN(基本資料填寫!CN30),0),"")</f>
        <v/>
      </c>
      <c r="D32" s="115" t="str">
        <f>IFERROR(VLOOKUP(基本資料填寫!$C$1&amp;"-"&amp;ROW(I29),基本資料填寫!$C:$DU,COLUMN(基本資料填寫!Q30),0),"")</f>
        <v/>
      </c>
      <c r="E32" s="115" t="str">
        <f>IFERROR(VLOOKUP(基本資料填寫!$C$1&amp;"-"&amp;ROW(L29),基本資料填寫!$C:$DU,COLUMN(基本資料填寫!T30),0),"")</f>
        <v/>
      </c>
      <c r="F32" s="114" t="str">
        <f>IFERROR(VLOOKUP(基本資料填寫!$C$1&amp;"-"&amp;ROW(F29),基本資料填寫!$C:$DU,COLUMN(基本資料填寫!N30),0),"")</f>
        <v/>
      </c>
      <c r="G32" s="114" t="str">
        <f>IFERROR(VLOOKUP(基本資料填寫!$C$1&amp;"-"&amp;ROW(C29),基本資料填寫!$C:$DU,COLUMN(基本資料填寫!O30),0),"")</f>
        <v/>
      </c>
      <c r="H32" s="115" t="str">
        <f>IFERROR(VLOOKUP(基本資料填寫!$C$1&amp;"-"&amp;ROW(E29),基本資料填寫!$C:$DU,COLUMN(基本資料填寫!M30),0),"")</f>
        <v/>
      </c>
      <c r="I32" s="114" t="str">
        <f>IFERROR(VLOOKUP(基本資料填寫!$C$1&amp;"-"&amp;ROW(M29),基本資料填寫!$C:$DU,COLUMN(基本資料填寫!U30),0),"")</f>
        <v/>
      </c>
      <c r="M32" s="115" t="str">
        <f>IFERROR(VLOOKUP(基本資料填寫!$C$1&amp;"-"&amp;ROW(AJ29),基本資料填寫!$C:$DU,COLUMN(基本資料填寫!CI30),0),"")</f>
        <v/>
      </c>
      <c r="P32" s="174" t="str">
        <f>IFERROR(VLOOKUP(基本資料填寫!$C$1&amp;"-"&amp;ROW(AB29),基本資料填寫!$C:$DU,COLUMN(基本資料填寫!AJ30),0),"")</f>
        <v/>
      </c>
      <c r="W32" s="115" t="str">
        <f>IFERROR(VLOOKUP(基本資料填寫!$C$1&amp;"-"&amp;ROW(AI29),基本資料填寫!$C:$DU,COLUMN(基本資料填寫!CH30),0),"")</f>
        <v/>
      </c>
    </row>
    <row r="33" spans="2:23" x14ac:dyDescent="0.3">
      <c r="B33" s="114" t="str">
        <f>IF(G33="","",COUNTA($G$4:G33))</f>
        <v/>
      </c>
      <c r="C33" s="115" t="str">
        <f>IFERROR(VLOOKUP(基本資料填寫!$C$1&amp;"-"&amp;ROW(A30),基本資料填寫!$C:$DU,COLUMN(基本資料填寫!CN31),0),"")</f>
        <v/>
      </c>
      <c r="D33" s="115" t="str">
        <f>IFERROR(VLOOKUP(基本資料填寫!$C$1&amp;"-"&amp;ROW(I30),基本資料填寫!$C:$DU,COLUMN(基本資料填寫!Q31),0),"")</f>
        <v/>
      </c>
      <c r="E33" s="115" t="str">
        <f>IFERROR(VLOOKUP(基本資料填寫!$C$1&amp;"-"&amp;ROW(L30),基本資料填寫!$C:$DU,COLUMN(基本資料填寫!T31),0),"")</f>
        <v/>
      </c>
      <c r="F33" s="114" t="str">
        <f>IFERROR(VLOOKUP(基本資料填寫!$C$1&amp;"-"&amp;ROW(F30),基本資料填寫!$C:$DU,COLUMN(基本資料填寫!N31),0),"")</f>
        <v/>
      </c>
      <c r="G33" s="114" t="str">
        <f>IFERROR(VLOOKUP(基本資料填寫!$C$1&amp;"-"&amp;ROW(C30),基本資料填寫!$C:$DU,COLUMN(基本資料填寫!O31),0),"")</f>
        <v/>
      </c>
      <c r="H33" s="115" t="str">
        <f>IFERROR(VLOOKUP(基本資料填寫!$C$1&amp;"-"&amp;ROW(E30),基本資料填寫!$C:$DU,COLUMN(基本資料填寫!M31),0),"")</f>
        <v/>
      </c>
      <c r="I33" s="114" t="str">
        <f>IFERROR(VLOOKUP(基本資料填寫!$C$1&amp;"-"&amp;ROW(M30),基本資料填寫!$C:$DU,COLUMN(基本資料填寫!U31),0),"")</f>
        <v/>
      </c>
      <c r="M33" s="115" t="str">
        <f>IFERROR(VLOOKUP(基本資料填寫!$C$1&amp;"-"&amp;ROW(AJ30),基本資料填寫!$C:$DU,COLUMN(基本資料填寫!CI31),0),"")</f>
        <v/>
      </c>
      <c r="P33" s="174" t="str">
        <f>IFERROR(VLOOKUP(基本資料填寫!$C$1&amp;"-"&amp;ROW(AB30),基本資料填寫!$C:$DU,COLUMN(基本資料填寫!AJ31),0),"")</f>
        <v/>
      </c>
      <c r="W33" s="115" t="str">
        <f>IFERROR(VLOOKUP(基本資料填寫!$C$1&amp;"-"&amp;ROW(AI30),基本資料填寫!$C:$DU,COLUMN(基本資料填寫!CH31),0),"")</f>
        <v/>
      </c>
    </row>
    <row r="34" spans="2:23" x14ac:dyDescent="0.3">
      <c r="B34" s="114" t="str">
        <f>IF(G34="","",COUNTA($G$4:G34))</f>
        <v/>
      </c>
      <c r="C34" s="115" t="str">
        <f>IFERROR(VLOOKUP(基本資料填寫!$C$1&amp;"-"&amp;ROW(A31),基本資料填寫!$C:$DU,COLUMN(基本資料填寫!CN32),0),"")</f>
        <v/>
      </c>
      <c r="D34" s="115" t="str">
        <f>IFERROR(VLOOKUP(基本資料填寫!$C$1&amp;"-"&amp;ROW(I31),基本資料填寫!$C:$DU,COLUMN(基本資料填寫!Q32),0),"")</f>
        <v/>
      </c>
      <c r="E34" s="115" t="str">
        <f>IFERROR(VLOOKUP(基本資料填寫!$C$1&amp;"-"&amp;ROW(L31),基本資料填寫!$C:$DU,COLUMN(基本資料填寫!T32),0),"")</f>
        <v/>
      </c>
      <c r="F34" s="114" t="str">
        <f>IFERROR(VLOOKUP(基本資料填寫!$C$1&amp;"-"&amp;ROW(F31),基本資料填寫!$C:$DU,COLUMN(基本資料填寫!N32),0),"")</f>
        <v/>
      </c>
      <c r="G34" s="114" t="str">
        <f>IFERROR(VLOOKUP(基本資料填寫!$C$1&amp;"-"&amp;ROW(C31),基本資料填寫!$C:$DU,COLUMN(基本資料填寫!O32),0),"")</f>
        <v/>
      </c>
      <c r="H34" s="115" t="str">
        <f>IFERROR(VLOOKUP(基本資料填寫!$C$1&amp;"-"&amp;ROW(E31),基本資料填寫!$C:$DU,COLUMN(基本資料填寫!M32),0),"")</f>
        <v/>
      </c>
      <c r="I34" s="114" t="str">
        <f>IFERROR(VLOOKUP(基本資料填寫!$C$1&amp;"-"&amp;ROW(M31),基本資料填寫!$C:$DU,COLUMN(基本資料填寫!U32),0),"")</f>
        <v/>
      </c>
      <c r="M34" s="115" t="str">
        <f>IFERROR(VLOOKUP(基本資料填寫!$C$1&amp;"-"&amp;ROW(AJ31),基本資料填寫!$C:$DU,COLUMN(基本資料填寫!CI32),0),"")</f>
        <v/>
      </c>
      <c r="P34" s="174" t="str">
        <f>IFERROR(VLOOKUP(基本資料填寫!$C$1&amp;"-"&amp;ROW(AB31),基本資料填寫!$C:$DU,COLUMN(基本資料填寫!AJ32),0),"")</f>
        <v/>
      </c>
      <c r="W34" s="115" t="str">
        <f>IFERROR(VLOOKUP(基本資料填寫!$C$1&amp;"-"&amp;ROW(AI31),基本資料填寫!$C:$DU,COLUMN(基本資料填寫!CH32),0),"")</f>
        <v/>
      </c>
    </row>
    <row r="35" spans="2:23" x14ac:dyDescent="0.3">
      <c r="B35" s="114" t="str">
        <f>IF(G35="","",COUNTA($G$4:G35))</f>
        <v/>
      </c>
      <c r="C35" s="115" t="str">
        <f>IFERROR(VLOOKUP(基本資料填寫!$C$1&amp;"-"&amp;ROW(A32),基本資料填寫!$C:$DU,COLUMN(基本資料填寫!CN33),0),"")</f>
        <v/>
      </c>
      <c r="D35" s="115" t="str">
        <f>IFERROR(VLOOKUP(基本資料填寫!$C$1&amp;"-"&amp;ROW(I32),基本資料填寫!$C:$DU,COLUMN(基本資料填寫!Q33),0),"")</f>
        <v/>
      </c>
      <c r="E35" s="115" t="str">
        <f>IFERROR(VLOOKUP(基本資料填寫!$C$1&amp;"-"&amp;ROW(L32),基本資料填寫!$C:$DU,COLUMN(基本資料填寫!T33),0),"")</f>
        <v/>
      </c>
      <c r="F35" s="114" t="str">
        <f>IFERROR(VLOOKUP(基本資料填寫!$C$1&amp;"-"&amp;ROW(F32),基本資料填寫!$C:$DU,COLUMN(基本資料填寫!N33),0),"")</f>
        <v/>
      </c>
      <c r="G35" s="114" t="str">
        <f>IFERROR(VLOOKUP(基本資料填寫!$C$1&amp;"-"&amp;ROW(C32),基本資料填寫!$C:$DU,COLUMN(基本資料填寫!O33),0),"")</f>
        <v/>
      </c>
      <c r="H35" s="115" t="str">
        <f>IFERROR(VLOOKUP(基本資料填寫!$C$1&amp;"-"&amp;ROW(E32),基本資料填寫!$C:$DU,COLUMN(基本資料填寫!M33),0),"")</f>
        <v/>
      </c>
      <c r="I35" s="114" t="str">
        <f>IFERROR(VLOOKUP(基本資料填寫!$C$1&amp;"-"&amp;ROW(M32),基本資料填寫!$C:$DU,COLUMN(基本資料填寫!U33),0),"")</f>
        <v/>
      </c>
      <c r="M35" s="115" t="str">
        <f>IFERROR(VLOOKUP(基本資料填寫!$C$1&amp;"-"&amp;ROW(AJ32),基本資料填寫!$C:$DU,COLUMN(基本資料填寫!CI33),0),"")</f>
        <v/>
      </c>
      <c r="P35" s="174" t="str">
        <f>IFERROR(VLOOKUP(基本資料填寫!$C$1&amp;"-"&amp;ROW(AB32),基本資料填寫!$C:$DU,COLUMN(基本資料填寫!AJ33),0),"")</f>
        <v/>
      </c>
      <c r="W35" s="115" t="str">
        <f>IFERROR(VLOOKUP(基本資料填寫!$C$1&amp;"-"&amp;ROW(AI32),基本資料填寫!$C:$DU,COLUMN(基本資料填寫!CH33),0),"")</f>
        <v/>
      </c>
    </row>
    <row r="36" spans="2:23" x14ac:dyDescent="0.3">
      <c r="B36" s="114" t="str">
        <f>IF(G36="","",COUNTA($G$4:G36))</f>
        <v/>
      </c>
      <c r="C36" s="115" t="str">
        <f>IFERROR(VLOOKUP(基本資料填寫!$C$1&amp;"-"&amp;ROW(A33),基本資料填寫!$C:$DU,COLUMN(基本資料填寫!CN34),0),"")</f>
        <v/>
      </c>
      <c r="D36" s="115" t="str">
        <f>IFERROR(VLOOKUP(基本資料填寫!$C$1&amp;"-"&amp;ROW(I33),基本資料填寫!$C:$DU,COLUMN(基本資料填寫!Q34),0),"")</f>
        <v/>
      </c>
      <c r="E36" s="115" t="str">
        <f>IFERROR(VLOOKUP(基本資料填寫!$C$1&amp;"-"&amp;ROW(L33),基本資料填寫!$C:$DU,COLUMN(基本資料填寫!T34),0),"")</f>
        <v/>
      </c>
      <c r="F36" s="114" t="str">
        <f>IFERROR(VLOOKUP(基本資料填寫!$C$1&amp;"-"&amp;ROW(F33),基本資料填寫!$C:$DU,COLUMN(基本資料填寫!N34),0),"")</f>
        <v/>
      </c>
      <c r="G36" s="114" t="str">
        <f>IFERROR(VLOOKUP(基本資料填寫!$C$1&amp;"-"&amp;ROW(C33),基本資料填寫!$C:$DU,COLUMN(基本資料填寫!O34),0),"")</f>
        <v/>
      </c>
      <c r="H36" s="115" t="str">
        <f>IFERROR(VLOOKUP(基本資料填寫!$C$1&amp;"-"&amp;ROW(E33),基本資料填寫!$C:$DU,COLUMN(基本資料填寫!M34),0),"")</f>
        <v/>
      </c>
      <c r="I36" s="114" t="str">
        <f>IFERROR(VLOOKUP(基本資料填寫!$C$1&amp;"-"&amp;ROW(M33),基本資料填寫!$C:$DU,COLUMN(基本資料填寫!U34),0),"")</f>
        <v/>
      </c>
      <c r="M36" s="115" t="str">
        <f>IFERROR(VLOOKUP(基本資料填寫!$C$1&amp;"-"&amp;ROW(AJ33),基本資料填寫!$C:$DU,COLUMN(基本資料填寫!CI34),0),"")</f>
        <v/>
      </c>
      <c r="P36" s="174" t="str">
        <f>IFERROR(VLOOKUP(基本資料填寫!$C$1&amp;"-"&amp;ROW(AB33),基本資料填寫!$C:$DU,COLUMN(基本資料填寫!AJ34),0),"")</f>
        <v/>
      </c>
      <c r="W36" s="115" t="str">
        <f>IFERROR(VLOOKUP(基本資料填寫!$C$1&amp;"-"&amp;ROW(AI33),基本資料填寫!$C:$DU,COLUMN(基本資料填寫!CH34),0),"")</f>
        <v/>
      </c>
    </row>
    <row r="37" spans="2:23" x14ac:dyDescent="0.3">
      <c r="B37" s="114" t="str">
        <f>IF(G37="","",COUNTA($G$4:G37))</f>
        <v/>
      </c>
      <c r="C37" s="115" t="str">
        <f>IFERROR(VLOOKUP(基本資料填寫!$C$1&amp;"-"&amp;ROW(A34),基本資料填寫!$C:$DU,COLUMN(基本資料填寫!CN35),0),"")</f>
        <v/>
      </c>
      <c r="D37" s="115" t="str">
        <f>IFERROR(VLOOKUP(基本資料填寫!$C$1&amp;"-"&amp;ROW(I34),基本資料填寫!$C:$DU,COLUMN(基本資料填寫!Q35),0),"")</f>
        <v/>
      </c>
      <c r="E37" s="115" t="str">
        <f>IFERROR(VLOOKUP(基本資料填寫!$C$1&amp;"-"&amp;ROW(L34),基本資料填寫!$C:$DU,COLUMN(基本資料填寫!T35),0),"")</f>
        <v/>
      </c>
      <c r="F37" s="114" t="str">
        <f>IFERROR(VLOOKUP(基本資料填寫!$C$1&amp;"-"&amp;ROW(F34),基本資料填寫!$C:$DU,COLUMN(基本資料填寫!N35),0),"")</f>
        <v/>
      </c>
      <c r="G37" s="114" t="str">
        <f>IFERROR(VLOOKUP(基本資料填寫!$C$1&amp;"-"&amp;ROW(C34),基本資料填寫!$C:$DU,COLUMN(基本資料填寫!O35),0),"")</f>
        <v/>
      </c>
      <c r="H37" s="115" t="str">
        <f>IFERROR(VLOOKUP(基本資料填寫!$C$1&amp;"-"&amp;ROW(E34),基本資料填寫!$C:$DU,COLUMN(基本資料填寫!M35),0),"")</f>
        <v/>
      </c>
      <c r="I37" s="114" t="str">
        <f>IFERROR(VLOOKUP(基本資料填寫!$C$1&amp;"-"&amp;ROW(M34),基本資料填寫!$C:$DU,COLUMN(基本資料填寫!U35),0),"")</f>
        <v/>
      </c>
      <c r="M37" s="115" t="str">
        <f>IFERROR(VLOOKUP(基本資料填寫!$C$1&amp;"-"&amp;ROW(AJ34),基本資料填寫!$C:$DU,COLUMN(基本資料填寫!CI35),0),"")</f>
        <v/>
      </c>
      <c r="P37" s="174" t="str">
        <f>IFERROR(VLOOKUP(基本資料填寫!$C$1&amp;"-"&amp;ROW(AB34),基本資料填寫!$C:$DU,COLUMN(基本資料填寫!AJ35),0),"")</f>
        <v/>
      </c>
      <c r="W37" s="115" t="str">
        <f>IFERROR(VLOOKUP(基本資料填寫!$C$1&amp;"-"&amp;ROW(AI34),基本資料填寫!$C:$DU,COLUMN(基本資料填寫!CH35),0),"")</f>
        <v/>
      </c>
    </row>
    <row r="38" spans="2:23" x14ac:dyDescent="0.3">
      <c r="B38" s="114" t="str">
        <f>IF(G38="","",COUNTA($G$4:G38))</f>
        <v/>
      </c>
      <c r="C38" s="115" t="str">
        <f>IFERROR(VLOOKUP(基本資料填寫!$C$1&amp;"-"&amp;ROW(A35),基本資料填寫!$C:$DU,COLUMN(基本資料填寫!CN36),0),"")</f>
        <v/>
      </c>
      <c r="D38" s="115" t="str">
        <f>IFERROR(VLOOKUP(基本資料填寫!$C$1&amp;"-"&amp;ROW(I35),基本資料填寫!$C:$DU,COLUMN(基本資料填寫!Q36),0),"")</f>
        <v/>
      </c>
      <c r="E38" s="115" t="str">
        <f>IFERROR(VLOOKUP(基本資料填寫!$C$1&amp;"-"&amp;ROW(L35),基本資料填寫!$C:$DU,COLUMN(基本資料填寫!T36),0),"")</f>
        <v/>
      </c>
      <c r="F38" s="114" t="str">
        <f>IFERROR(VLOOKUP(基本資料填寫!$C$1&amp;"-"&amp;ROW(F35),基本資料填寫!$C:$DU,COLUMN(基本資料填寫!N36),0),"")</f>
        <v/>
      </c>
      <c r="G38" s="114" t="str">
        <f>IFERROR(VLOOKUP(基本資料填寫!$C$1&amp;"-"&amp;ROW(C35),基本資料填寫!$C:$DU,COLUMN(基本資料填寫!O36),0),"")</f>
        <v/>
      </c>
      <c r="H38" s="115" t="str">
        <f>IFERROR(VLOOKUP(基本資料填寫!$C$1&amp;"-"&amp;ROW(E35),基本資料填寫!$C:$DU,COLUMN(基本資料填寫!M36),0),"")</f>
        <v/>
      </c>
      <c r="I38" s="114" t="str">
        <f>IFERROR(VLOOKUP(基本資料填寫!$C$1&amp;"-"&amp;ROW(M35),基本資料填寫!$C:$DU,COLUMN(基本資料填寫!U36),0),"")</f>
        <v/>
      </c>
      <c r="M38" s="115" t="str">
        <f>IFERROR(VLOOKUP(基本資料填寫!$C$1&amp;"-"&amp;ROW(AJ35),基本資料填寫!$C:$DU,COLUMN(基本資料填寫!CI36),0),"")</f>
        <v/>
      </c>
      <c r="P38" s="174" t="str">
        <f>IFERROR(VLOOKUP(基本資料填寫!$C$1&amp;"-"&amp;ROW(AB35),基本資料填寫!$C:$DU,COLUMN(基本資料填寫!AJ36),0),"")</f>
        <v/>
      </c>
      <c r="W38" s="115" t="str">
        <f>IFERROR(VLOOKUP(基本資料填寫!$C$1&amp;"-"&amp;ROW(AI35),基本資料填寫!$C:$DU,COLUMN(基本資料填寫!CH36),0),"")</f>
        <v/>
      </c>
    </row>
    <row r="39" spans="2:23" x14ac:dyDescent="0.3">
      <c r="B39" s="114" t="str">
        <f>IF(G39="","",COUNTA($G$4:G39))</f>
        <v/>
      </c>
      <c r="C39" s="115" t="str">
        <f>IFERROR(VLOOKUP(基本資料填寫!$C$1&amp;"-"&amp;ROW(A36),基本資料填寫!$C:$DU,COLUMN(基本資料填寫!CN37),0),"")</f>
        <v/>
      </c>
      <c r="D39" s="115" t="str">
        <f>IFERROR(VLOOKUP(基本資料填寫!$C$1&amp;"-"&amp;ROW(I36),基本資料填寫!$C:$DU,COLUMN(基本資料填寫!Q37),0),"")</f>
        <v/>
      </c>
      <c r="E39" s="115" t="str">
        <f>IFERROR(VLOOKUP(基本資料填寫!$C$1&amp;"-"&amp;ROW(L36),基本資料填寫!$C:$DU,COLUMN(基本資料填寫!T37),0),"")</f>
        <v/>
      </c>
      <c r="F39" s="114" t="str">
        <f>IFERROR(VLOOKUP(基本資料填寫!$C$1&amp;"-"&amp;ROW(F36),基本資料填寫!$C:$DU,COLUMN(基本資料填寫!N37),0),"")</f>
        <v/>
      </c>
      <c r="G39" s="114" t="str">
        <f>IFERROR(VLOOKUP(基本資料填寫!$C$1&amp;"-"&amp;ROW(C36),基本資料填寫!$C:$DU,COLUMN(基本資料填寫!O37),0),"")</f>
        <v/>
      </c>
      <c r="H39" s="115" t="str">
        <f>IFERROR(VLOOKUP(基本資料填寫!$C$1&amp;"-"&amp;ROW(E36),基本資料填寫!$C:$DU,COLUMN(基本資料填寫!M37),0),"")</f>
        <v/>
      </c>
      <c r="I39" s="114" t="str">
        <f>IFERROR(VLOOKUP(基本資料填寫!$C$1&amp;"-"&amp;ROW(M36),基本資料填寫!$C:$DU,COLUMN(基本資料填寫!U37),0),"")</f>
        <v/>
      </c>
      <c r="M39" s="115" t="str">
        <f>IFERROR(VLOOKUP(基本資料填寫!$C$1&amp;"-"&amp;ROW(AJ36),基本資料填寫!$C:$DU,COLUMN(基本資料填寫!CI37),0),"")</f>
        <v/>
      </c>
      <c r="P39" s="174" t="str">
        <f>IFERROR(VLOOKUP(基本資料填寫!$C$1&amp;"-"&amp;ROW(AB36),基本資料填寫!$C:$DU,COLUMN(基本資料填寫!AJ37),0),"")</f>
        <v/>
      </c>
      <c r="W39" s="115" t="str">
        <f>IFERROR(VLOOKUP(基本資料填寫!$C$1&amp;"-"&amp;ROW(AI36),基本資料填寫!$C:$DU,COLUMN(基本資料填寫!CH37),0),"")</f>
        <v/>
      </c>
    </row>
    <row r="40" spans="2:23" x14ac:dyDescent="0.3">
      <c r="B40" s="114" t="str">
        <f>IF(G40="","",COUNTA($G$4:G40))</f>
        <v/>
      </c>
      <c r="C40" s="115" t="str">
        <f>IFERROR(VLOOKUP(基本資料填寫!$C$1&amp;"-"&amp;ROW(A37),基本資料填寫!$C:$DU,COLUMN(基本資料填寫!CN38),0),"")</f>
        <v/>
      </c>
      <c r="D40" s="115" t="str">
        <f>IFERROR(VLOOKUP(基本資料填寫!$C$1&amp;"-"&amp;ROW(I37),基本資料填寫!$C:$DU,COLUMN(基本資料填寫!Q38),0),"")</f>
        <v/>
      </c>
      <c r="E40" s="115" t="str">
        <f>IFERROR(VLOOKUP(基本資料填寫!$C$1&amp;"-"&amp;ROW(L37),基本資料填寫!$C:$DU,COLUMN(基本資料填寫!T38),0),"")</f>
        <v/>
      </c>
      <c r="F40" s="114" t="str">
        <f>IFERROR(VLOOKUP(基本資料填寫!$C$1&amp;"-"&amp;ROW(F37),基本資料填寫!$C:$DU,COLUMN(基本資料填寫!N38),0),"")</f>
        <v/>
      </c>
      <c r="G40" s="114" t="str">
        <f>IFERROR(VLOOKUP(基本資料填寫!$C$1&amp;"-"&amp;ROW(C37),基本資料填寫!$C:$DU,COLUMN(基本資料填寫!O38),0),"")</f>
        <v/>
      </c>
      <c r="H40" s="115" t="str">
        <f>IFERROR(VLOOKUP(基本資料填寫!$C$1&amp;"-"&amp;ROW(E37),基本資料填寫!$C:$DU,COLUMN(基本資料填寫!M38),0),"")</f>
        <v/>
      </c>
      <c r="I40" s="114" t="str">
        <f>IFERROR(VLOOKUP(基本資料填寫!$C$1&amp;"-"&amp;ROW(M37),基本資料填寫!$C:$DU,COLUMN(基本資料填寫!U38),0),"")</f>
        <v/>
      </c>
      <c r="M40" s="115" t="str">
        <f>IFERROR(VLOOKUP(基本資料填寫!$C$1&amp;"-"&amp;ROW(AJ37),基本資料填寫!$C:$DU,COLUMN(基本資料填寫!CI38),0),"")</f>
        <v/>
      </c>
      <c r="P40" s="174" t="str">
        <f>IFERROR(VLOOKUP(基本資料填寫!$C$1&amp;"-"&amp;ROW(AB37),基本資料填寫!$C:$DU,COLUMN(基本資料填寫!AJ38),0),"")</f>
        <v/>
      </c>
      <c r="W40" s="115" t="str">
        <f>IFERROR(VLOOKUP(基本資料填寫!$C$1&amp;"-"&amp;ROW(AI37),基本資料填寫!$C:$DU,COLUMN(基本資料填寫!CH38),0),"")</f>
        <v/>
      </c>
    </row>
    <row r="41" spans="2:23" x14ac:dyDescent="0.3">
      <c r="B41" s="114" t="str">
        <f>IF(G41="","",COUNTA($G$4:G41))</f>
        <v/>
      </c>
      <c r="C41" s="115" t="str">
        <f>IFERROR(VLOOKUP(基本資料填寫!$C$1&amp;"-"&amp;ROW(A38),基本資料填寫!$C:$DU,COLUMN(基本資料填寫!CN39),0),"")</f>
        <v/>
      </c>
      <c r="D41" s="115" t="str">
        <f>IFERROR(VLOOKUP(基本資料填寫!$C$1&amp;"-"&amp;ROW(I38),基本資料填寫!$C:$DU,COLUMN(基本資料填寫!Q39),0),"")</f>
        <v/>
      </c>
      <c r="E41" s="115" t="str">
        <f>IFERROR(VLOOKUP(基本資料填寫!$C$1&amp;"-"&amp;ROW(L38),基本資料填寫!$C:$DU,COLUMN(基本資料填寫!T39),0),"")</f>
        <v/>
      </c>
      <c r="F41" s="114" t="str">
        <f>IFERROR(VLOOKUP(基本資料填寫!$C$1&amp;"-"&amp;ROW(F38),基本資料填寫!$C:$DU,COLUMN(基本資料填寫!N39),0),"")</f>
        <v/>
      </c>
      <c r="G41" s="114" t="str">
        <f>IFERROR(VLOOKUP(基本資料填寫!$C$1&amp;"-"&amp;ROW(C38),基本資料填寫!$C:$DU,COLUMN(基本資料填寫!O39),0),"")</f>
        <v/>
      </c>
      <c r="H41" s="115" t="str">
        <f>IFERROR(VLOOKUP(基本資料填寫!$C$1&amp;"-"&amp;ROW(E38),基本資料填寫!$C:$DU,COLUMN(基本資料填寫!M39),0),"")</f>
        <v/>
      </c>
      <c r="I41" s="114" t="str">
        <f>IFERROR(VLOOKUP(基本資料填寫!$C$1&amp;"-"&amp;ROW(M38),基本資料填寫!$C:$DU,COLUMN(基本資料填寫!U39),0),"")</f>
        <v/>
      </c>
      <c r="M41" s="115" t="str">
        <f>IFERROR(VLOOKUP(基本資料填寫!$C$1&amp;"-"&amp;ROW(AJ38),基本資料填寫!$C:$DU,COLUMN(基本資料填寫!CI39),0),"")</f>
        <v/>
      </c>
      <c r="P41" s="174" t="str">
        <f>IFERROR(VLOOKUP(基本資料填寫!$C$1&amp;"-"&amp;ROW(AB38),基本資料填寫!$C:$DU,COLUMN(基本資料填寫!AJ39),0),"")</f>
        <v/>
      </c>
      <c r="W41" s="115" t="str">
        <f>IFERROR(VLOOKUP(基本資料填寫!$C$1&amp;"-"&amp;ROW(AI38),基本資料填寫!$C:$DU,COLUMN(基本資料填寫!CH39),0),"")</f>
        <v/>
      </c>
    </row>
    <row r="42" spans="2:23" x14ac:dyDescent="0.3">
      <c r="B42" s="114" t="str">
        <f>IF(G42="","",COUNTA($G$4:G42))</f>
        <v/>
      </c>
      <c r="C42" s="115" t="str">
        <f>IFERROR(VLOOKUP(基本資料填寫!$C$1&amp;"-"&amp;ROW(A39),基本資料填寫!$C:$DU,COLUMN(基本資料填寫!CN40),0),"")</f>
        <v/>
      </c>
      <c r="D42" s="115" t="str">
        <f>IFERROR(VLOOKUP(基本資料填寫!$C$1&amp;"-"&amp;ROW(I39),基本資料填寫!$C:$DU,COLUMN(基本資料填寫!Q40),0),"")</f>
        <v/>
      </c>
      <c r="E42" s="115" t="str">
        <f>IFERROR(VLOOKUP(基本資料填寫!$C$1&amp;"-"&amp;ROW(L39),基本資料填寫!$C:$DU,COLUMN(基本資料填寫!T40),0),"")</f>
        <v/>
      </c>
      <c r="F42" s="114" t="str">
        <f>IFERROR(VLOOKUP(基本資料填寫!$C$1&amp;"-"&amp;ROW(F39),基本資料填寫!$C:$DU,COLUMN(基本資料填寫!N40),0),"")</f>
        <v/>
      </c>
      <c r="G42" s="114" t="str">
        <f>IFERROR(VLOOKUP(基本資料填寫!$C$1&amp;"-"&amp;ROW(C39),基本資料填寫!$C:$DU,COLUMN(基本資料填寫!O40),0),"")</f>
        <v/>
      </c>
      <c r="H42" s="115" t="str">
        <f>IFERROR(VLOOKUP(基本資料填寫!$C$1&amp;"-"&amp;ROW(E39),基本資料填寫!$C:$DU,COLUMN(基本資料填寫!M40),0),"")</f>
        <v/>
      </c>
      <c r="I42" s="114" t="str">
        <f>IFERROR(VLOOKUP(基本資料填寫!$C$1&amp;"-"&amp;ROW(M39),基本資料填寫!$C:$DU,COLUMN(基本資料填寫!U40),0),"")</f>
        <v/>
      </c>
      <c r="M42" s="115" t="str">
        <f>IFERROR(VLOOKUP(基本資料填寫!$C$1&amp;"-"&amp;ROW(AJ39),基本資料填寫!$C:$DU,COLUMN(基本資料填寫!CI40),0),"")</f>
        <v/>
      </c>
      <c r="P42" s="174" t="str">
        <f>IFERROR(VLOOKUP(基本資料填寫!$C$1&amp;"-"&amp;ROW(AB39),基本資料填寫!$C:$DU,COLUMN(基本資料填寫!AJ40),0),"")</f>
        <v/>
      </c>
      <c r="W42" s="115" t="str">
        <f>IFERROR(VLOOKUP(基本資料填寫!$C$1&amp;"-"&amp;ROW(AI39),基本資料填寫!$C:$DU,COLUMN(基本資料填寫!CH40),0),"")</f>
        <v/>
      </c>
    </row>
    <row r="43" spans="2:23" x14ac:dyDescent="0.3">
      <c r="B43" s="114" t="str">
        <f>IF(G43="","",COUNTA($G$4:G43))</f>
        <v/>
      </c>
      <c r="C43" s="115" t="str">
        <f>IFERROR(VLOOKUP(基本資料填寫!$C$1&amp;"-"&amp;ROW(A40),基本資料填寫!$C:$DU,COLUMN(基本資料填寫!CN41),0),"")</f>
        <v/>
      </c>
      <c r="D43" s="115" t="str">
        <f>IFERROR(VLOOKUP(基本資料填寫!$C$1&amp;"-"&amp;ROW(I40),基本資料填寫!$C:$DU,COLUMN(基本資料填寫!Q41),0),"")</f>
        <v/>
      </c>
      <c r="E43" s="115" t="str">
        <f>IFERROR(VLOOKUP(基本資料填寫!$C$1&amp;"-"&amp;ROW(L40),基本資料填寫!$C:$DU,COLUMN(基本資料填寫!T41),0),"")</f>
        <v/>
      </c>
      <c r="F43" s="114" t="str">
        <f>IFERROR(VLOOKUP(基本資料填寫!$C$1&amp;"-"&amp;ROW(F40),基本資料填寫!$C:$DU,COLUMN(基本資料填寫!N41),0),"")</f>
        <v/>
      </c>
      <c r="G43" s="114" t="str">
        <f>IFERROR(VLOOKUP(基本資料填寫!$C$1&amp;"-"&amp;ROW(C40),基本資料填寫!$C:$DU,COLUMN(基本資料填寫!O41),0),"")</f>
        <v/>
      </c>
      <c r="H43" s="115" t="str">
        <f>IFERROR(VLOOKUP(基本資料填寫!$C$1&amp;"-"&amp;ROW(E40),基本資料填寫!$C:$DU,COLUMN(基本資料填寫!M41),0),"")</f>
        <v/>
      </c>
      <c r="I43" s="114" t="str">
        <f>IFERROR(VLOOKUP(基本資料填寫!$C$1&amp;"-"&amp;ROW(M40),基本資料填寫!$C:$DU,COLUMN(基本資料填寫!U41),0),"")</f>
        <v/>
      </c>
      <c r="M43" s="115" t="str">
        <f>IFERROR(VLOOKUP(基本資料填寫!$C$1&amp;"-"&amp;ROW(AJ40),基本資料填寫!$C:$DU,COLUMN(基本資料填寫!CI41),0),"")</f>
        <v/>
      </c>
      <c r="P43" s="174" t="str">
        <f>IFERROR(VLOOKUP(基本資料填寫!$C$1&amp;"-"&amp;ROW(AB40),基本資料填寫!$C:$DU,COLUMN(基本資料填寫!AJ41),0),"")</f>
        <v/>
      </c>
      <c r="W43" s="115" t="str">
        <f>IFERROR(VLOOKUP(基本資料填寫!$C$1&amp;"-"&amp;ROW(AI40),基本資料填寫!$C:$DU,COLUMN(基本資料填寫!CH41),0),"")</f>
        <v/>
      </c>
    </row>
    <row r="44" spans="2:23" x14ac:dyDescent="0.3">
      <c r="B44" s="114" t="str">
        <f>IF(G44="","",COUNTA($G$4:G44))</f>
        <v/>
      </c>
      <c r="C44" s="115" t="str">
        <f>IFERROR(VLOOKUP(基本資料填寫!$C$1&amp;"-"&amp;ROW(A41),基本資料填寫!$C:$DU,COLUMN(基本資料填寫!CN42),0),"")</f>
        <v/>
      </c>
      <c r="D44" s="115" t="str">
        <f>IFERROR(VLOOKUP(基本資料填寫!$C$1&amp;"-"&amp;ROW(I41),基本資料填寫!$C:$DU,COLUMN(基本資料填寫!Q42),0),"")</f>
        <v/>
      </c>
      <c r="E44" s="115" t="str">
        <f>IFERROR(VLOOKUP(基本資料填寫!$C$1&amp;"-"&amp;ROW(L41),基本資料填寫!$C:$DU,COLUMN(基本資料填寫!T42),0),"")</f>
        <v/>
      </c>
      <c r="F44" s="114" t="str">
        <f>IFERROR(VLOOKUP(基本資料填寫!$C$1&amp;"-"&amp;ROW(F41),基本資料填寫!$C:$DU,COLUMN(基本資料填寫!N42),0),"")</f>
        <v/>
      </c>
      <c r="G44" s="114" t="str">
        <f>IFERROR(VLOOKUP(基本資料填寫!$C$1&amp;"-"&amp;ROW(C41),基本資料填寫!$C:$DU,COLUMN(基本資料填寫!O42),0),"")</f>
        <v/>
      </c>
      <c r="H44" s="115" t="str">
        <f>IFERROR(VLOOKUP(基本資料填寫!$C$1&amp;"-"&amp;ROW(E41),基本資料填寫!$C:$DU,COLUMN(基本資料填寫!M42),0),"")</f>
        <v/>
      </c>
      <c r="I44" s="114" t="str">
        <f>IFERROR(VLOOKUP(基本資料填寫!$C$1&amp;"-"&amp;ROW(M41),基本資料填寫!$C:$DU,COLUMN(基本資料填寫!U42),0),"")</f>
        <v/>
      </c>
      <c r="M44" s="115" t="str">
        <f>IFERROR(VLOOKUP(基本資料填寫!$C$1&amp;"-"&amp;ROW(AJ41),基本資料填寫!$C:$DU,COLUMN(基本資料填寫!CI42),0),"")</f>
        <v/>
      </c>
      <c r="P44" s="174" t="str">
        <f>IFERROR(VLOOKUP(基本資料填寫!$C$1&amp;"-"&amp;ROW(AB41),基本資料填寫!$C:$DU,COLUMN(基本資料填寫!AJ42),0),"")</f>
        <v/>
      </c>
      <c r="W44" s="115" t="str">
        <f>IFERROR(VLOOKUP(基本資料填寫!$C$1&amp;"-"&amp;ROW(AI41),基本資料填寫!$C:$DU,COLUMN(基本資料填寫!CH42),0),"")</f>
        <v/>
      </c>
    </row>
    <row r="45" spans="2:23" x14ac:dyDescent="0.3">
      <c r="B45" s="114" t="str">
        <f>IF(G45="","",COUNTA($G$4:G45))</f>
        <v/>
      </c>
      <c r="C45" s="115" t="str">
        <f>IFERROR(VLOOKUP(基本資料填寫!$C$1&amp;"-"&amp;ROW(A42),基本資料填寫!$C:$DU,COLUMN(基本資料填寫!CN43),0),"")</f>
        <v/>
      </c>
      <c r="D45" s="115" t="str">
        <f>IFERROR(VLOOKUP(基本資料填寫!$C$1&amp;"-"&amp;ROW(I42),基本資料填寫!$C:$DU,COLUMN(基本資料填寫!Q43),0),"")</f>
        <v/>
      </c>
      <c r="E45" s="115" t="str">
        <f>IFERROR(VLOOKUP(基本資料填寫!$C$1&amp;"-"&amp;ROW(L42),基本資料填寫!$C:$DU,COLUMN(基本資料填寫!T43),0),"")</f>
        <v/>
      </c>
      <c r="F45" s="114" t="str">
        <f>IFERROR(VLOOKUP(基本資料填寫!$C$1&amp;"-"&amp;ROW(F42),基本資料填寫!$C:$DU,COLUMN(基本資料填寫!N43),0),"")</f>
        <v/>
      </c>
      <c r="G45" s="114" t="str">
        <f>IFERROR(VLOOKUP(基本資料填寫!$C$1&amp;"-"&amp;ROW(C42),基本資料填寫!$C:$DU,COLUMN(基本資料填寫!O43),0),"")</f>
        <v/>
      </c>
      <c r="H45" s="115" t="str">
        <f>IFERROR(VLOOKUP(基本資料填寫!$C$1&amp;"-"&amp;ROW(E42),基本資料填寫!$C:$DU,COLUMN(基本資料填寫!M43),0),"")</f>
        <v/>
      </c>
      <c r="I45" s="114" t="str">
        <f>IFERROR(VLOOKUP(基本資料填寫!$C$1&amp;"-"&amp;ROW(M42),基本資料填寫!$C:$DU,COLUMN(基本資料填寫!U43),0),"")</f>
        <v/>
      </c>
      <c r="M45" s="115" t="str">
        <f>IFERROR(VLOOKUP(基本資料填寫!$C$1&amp;"-"&amp;ROW(AJ42),基本資料填寫!$C:$DU,COLUMN(基本資料填寫!CI43),0),"")</f>
        <v/>
      </c>
      <c r="P45" s="174" t="str">
        <f>IFERROR(VLOOKUP(基本資料填寫!$C$1&amp;"-"&amp;ROW(AB42),基本資料填寫!$C:$DU,COLUMN(基本資料填寫!AJ43),0),"")</f>
        <v/>
      </c>
      <c r="W45" s="115" t="str">
        <f>IFERROR(VLOOKUP(基本資料填寫!$C$1&amp;"-"&amp;ROW(AI42),基本資料填寫!$C:$DU,COLUMN(基本資料填寫!CH43),0),"")</f>
        <v/>
      </c>
    </row>
    <row r="46" spans="2:23" x14ac:dyDescent="0.3">
      <c r="B46" s="114" t="str">
        <f>IF(G46="","",COUNTA($G$4:G46))</f>
        <v/>
      </c>
      <c r="C46" s="115" t="str">
        <f>IFERROR(VLOOKUP(基本資料填寫!$C$1&amp;"-"&amp;ROW(A43),基本資料填寫!$C:$DU,COLUMN(基本資料填寫!CN44),0),"")</f>
        <v/>
      </c>
      <c r="D46" s="115" t="str">
        <f>IFERROR(VLOOKUP(基本資料填寫!$C$1&amp;"-"&amp;ROW(I43),基本資料填寫!$C:$DU,COLUMN(基本資料填寫!Q44),0),"")</f>
        <v/>
      </c>
      <c r="E46" s="115" t="str">
        <f>IFERROR(VLOOKUP(基本資料填寫!$C$1&amp;"-"&amp;ROW(L43),基本資料填寫!$C:$DU,COLUMN(基本資料填寫!T44),0),"")</f>
        <v/>
      </c>
      <c r="F46" s="114" t="str">
        <f>IFERROR(VLOOKUP(基本資料填寫!$C$1&amp;"-"&amp;ROW(F43),基本資料填寫!$C:$DU,COLUMN(基本資料填寫!N44),0),"")</f>
        <v/>
      </c>
      <c r="G46" s="114" t="str">
        <f>IFERROR(VLOOKUP(基本資料填寫!$C$1&amp;"-"&amp;ROW(C43),基本資料填寫!$C:$DU,COLUMN(基本資料填寫!O44),0),"")</f>
        <v/>
      </c>
      <c r="H46" s="115" t="str">
        <f>IFERROR(VLOOKUP(基本資料填寫!$C$1&amp;"-"&amp;ROW(E43),基本資料填寫!$C:$DU,COLUMN(基本資料填寫!M44),0),"")</f>
        <v/>
      </c>
      <c r="I46" s="114" t="str">
        <f>IFERROR(VLOOKUP(基本資料填寫!$C$1&amp;"-"&amp;ROW(M43),基本資料填寫!$C:$DU,COLUMN(基本資料填寫!U44),0),"")</f>
        <v/>
      </c>
      <c r="M46" s="115" t="str">
        <f>IFERROR(VLOOKUP(基本資料填寫!$C$1&amp;"-"&amp;ROW(AJ43),基本資料填寫!$C:$DU,COLUMN(基本資料填寫!CI44),0),"")</f>
        <v/>
      </c>
      <c r="P46" s="174" t="str">
        <f>IFERROR(VLOOKUP(基本資料填寫!$C$1&amp;"-"&amp;ROW(AB43),基本資料填寫!$C:$DU,COLUMN(基本資料填寫!AJ44),0),"")</f>
        <v/>
      </c>
      <c r="W46" s="115" t="str">
        <f>IFERROR(VLOOKUP(基本資料填寫!$C$1&amp;"-"&amp;ROW(AI43),基本資料填寫!$C:$DU,COLUMN(基本資料填寫!CH44),0),"")</f>
        <v/>
      </c>
    </row>
    <row r="47" spans="2:23" x14ac:dyDescent="0.3">
      <c r="B47" s="114" t="str">
        <f>IF(G47="","",COUNTA($G$4:G47))</f>
        <v/>
      </c>
      <c r="C47" s="115" t="str">
        <f>IFERROR(VLOOKUP(基本資料填寫!$C$1&amp;"-"&amp;ROW(A44),基本資料填寫!$C:$DU,COLUMN(基本資料填寫!CN45),0),"")</f>
        <v/>
      </c>
      <c r="D47" s="115" t="str">
        <f>IFERROR(VLOOKUP(基本資料填寫!$C$1&amp;"-"&amp;ROW(I44),基本資料填寫!$C:$DU,COLUMN(基本資料填寫!Q45),0),"")</f>
        <v/>
      </c>
      <c r="E47" s="115" t="str">
        <f>IFERROR(VLOOKUP(基本資料填寫!$C$1&amp;"-"&amp;ROW(L44),基本資料填寫!$C:$DU,COLUMN(基本資料填寫!T45),0),"")</f>
        <v/>
      </c>
      <c r="F47" s="114" t="str">
        <f>IFERROR(VLOOKUP(基本資料填寫!$C$1&amp;"-"&amp;ROW(F44),基本資料填寫!$C:$DU,COLUMN(基本資料填寫!N45),0),"")</f>
        <v/>
      </c>
      <c r="G47" s="114" t="str">
        <f>IFERROR(VLOOKUP(基本資料填寫!$C$1&amp;"-"&amp;ROW(C44),基本資料填寫!$C:$DU,COLUMN(基本資料填寫!O45),0),"")</f>
        <v/>
      </c>
      <c r="H47" s="115" t="str">
        <f>IFERROR(VLOOKUP(基本資料填寫!$C$1&amp;"-"&amp;ROW(E44),基本資料填寫!$C:$DU,COLUMN(基本資料填寫!M45),0),"")</f>
        <v/>
      </c>
      <c r="I47" s="114" t="str">
        <f>IFERROR(VLOOKUP(基本資料填寫!$C$1&amp;"-"&amp;ROW(M44),基本資料填寫!$C:$DU,COLUMN(基本資料填寫!U45),0),"")</f>
        <v/>
      </c>
      <c r="M47" s="115" t="str">
        <f>IFERROR(VLOOKUP(基本資料填寫!$C$1&amp;"-"&amp;ROW(AJ44),基本資料填寫!$C:$DU,COLUMN(基本資料填寫!CI45),0),"")</f>
        <v/>
      </c>
      <c r="P47" s="174" t="str">
        <f>IFERROR(VLOOKUP(基本資料填寫!$C$1&amp;"-"&amp;ROW(AB44),基本資料填寫!$C:$DU,COLUMN(基本資料填寫!AJ45),0),"")</f>
        <v/>
      </c>
      <c r="W47" s="115" t="str">
        <f>IFERROR(VLOOKUP(基本資料填寫!$C$1&amp;"-"&amp;ROW(AI44),基本資料填寫!$C:$DU,COLUMN(基本資料填寫!CH45),0),"")</f>
        <v/>
      </c>
    </row>
    <row r="48" spans="2:23" x14ac:dyDescent="0.3">
      <c r="B48" s="114" t="str">
        <f>IF(G48="","",COUNTA($G$4:G48))</f>
        <v/>
      </c>
      <c r="C48" s="115" t="str">
        <f>IFERROR(VLOOKUP(基本資料填寫!$C$1&amp;"-"&amp;ROW(A45),基本資料填寫!$C:$DU,COLUMN(基本資料填寫!CN46),0),"")</f>
        <v/>
      </c>
      <c r="D48" s="115" t="str">
        <f>IFERROR(VLOOKUP(基本資料填寫!$C$1&amp;"-"&amp;ROW(I45),基本資料填寫!$C:$DU,COLUMN(基本資料填寫!Q46),0),"")</f>
        <v/>
      </c>
      <c r="E48" s="115" t="str">
        <f>IFERROR(VLOOKUP(基本資料填寫!$C$1&amp;"-"&amp;ROW(L45),基本資料填寫!$C:$DU,COLUMN(基本資料填寫!T46),0),"")</f>
        <v/>
      </c>
      <c r="F48" s="114" t="str">
        <f>IFERROR(VLOOKUP(基本資料填寫!$C$1&amp;"-"&amp;ROW(F45),基本資料填寫!$C:$DU,COLUMN(基本資料填寫!N46),0),"")</f>
        <v/>
      </c>
      <c r="G48" s="114" t="str">
        <f>IFERROR(VLOOKUP(基本資料填寫!$C$1&amp;"-"&amp;ROW(C45),基本資料填寫!$C:$DU,COLUMN(基本資料填寫!O46),0),"")</f>
        <v/>
      </c>
      <c r="H48" s="115" t="str">
        <f>IFERROR(VLOOKUP(基本資料填寫!$C$1&amp;"-"&amp;ROW(E45),基本資料填寫!$C:$DU,COLUMN(基本資料填寫!M46),0),"")</f>
        <v/>
      </c>
      <c r="I48" s="114" t="str">
        <f>IFERROR(VLOOKUP(基本資料填寫!$C$1&amp;"-"&amp;ROW(M45),基本資料填寫!$C:$DU,COLUMN(基本資料填寫!U46),0),"")</f>
        <v/>
      </c>
      <c r="M48" s="115" t="str">
        <f>IFERROR(VLOOKUP(基本資料填寫!$C$1&amp;"-"&amp;ROW(AJ45),基本資料填寫!$C:$DU,COLUMN(基本資料填寫!CI46),0),"")</f>
        <v/>
      </c>
      <c r="P48" s="174" t="str">
        <f>IFERROR(VLOOKUP(基本資料填寫!$C$1&amp;"-"&amp;ROW(AB45),基本資料填寫!$C:$DU,COLUMN(基本資料填寫!AJ46),0),"")</f>
        <v/>
      </c>
      <c r="W48" s="115" t="str">
        <f>IFERROR(VLOOKUP(基本資料填寫!$C$1&amp;"-"&amp;ROW(AI45),基本資料填寫!$C:$DU,COLUMN(基本資料填寫!CH46),0),"")</f>
        <v/>
      </c>
    </row>
    <row r="49" spans="2:23" x14ac:dyDescent="0.3">
      <c r="B49" s="114" t="str">
        <f>IF(G49="","",COUNTA($G$4:G49))</f>
        <v/>
      </c>
      <c r="C49" s="115" t="str">
        <f>IFERROR(VLOOKUP(基本資料填寫!$C$1&amp;"-"&amp;ROW(A46),基本資料填寫!$C:$DU,COLUMN(基本資料填寫!CN47),0),"")</f>
        <v/>
      </c>
      <c r="D49" s="115" t="str">
        <f>IFERROR(VLOOKUP(基本資料填寫!$C$1&amp;"-"&amp;ROW(I46),基本資料填寫!$C:$DU,COLUMN(基本資料填寫!Q47),0),"")</f>
        <v/>
      </c>
      <c r="E49" s="115" t="str">
        <f>IFERROR(VLOOKUP(基本資料填寫!$C$1&amp;"-"&amp;ROW(L46),基本資料填寫!$C:$DU,COLUMN(基本資料填寫!T47),0),"")</f>
        <v/>
      </c>
      <c r="F49" s="114" t="str">
        <f>IFERROR(VLOOKUP(基本資料填寫!$C$1&amp;"-"&amp;ROW(F46),基本資料填寫!$C:$DU,COLUMN(基本資料填寫!N47),0),"")</f>
        <v/>
      </c>
      <c r="G49" s="114" t="str">
        <f>IFERROR(VLOOKUP(基本資料填寫!$C$1&amp;"-"&amp;ROW(C46),基本資料填寫!$C:$DU,COLUMN(基本資料填寫!O47),0),"")</f>
        <v/>
      </c>
      <c r="H49" s="115" t="str">
        <f>IFERROR(VLOOKUP(基本資料填寫!$C$1&amp;"-"&amp;ROW(E46),基本資料填寫!$C:$DU,COLUMN(基本資料填寫!M47),0),"")</f>
        <v/>
      </c>
      <c r="I49" s="114" t="str">
        <f>IFERROR(VLOOKUP(基本資料填寫!$C$1&amp;"-"&amp;ROW(M46),基本資料填寫!$C:$DU,COLUMN(基本資料填寫!U47),0),"")</f>
        <v/>
      </c>
      <c r="M49" s="115" t="str">
        <f>IFERROR(VLOOKUP(基本資料填寫!$C$1&amp;"-"&amp;ROW(AJ46),基本資料填寫!$C:$DU,COLUMN(基本資料填寫!CI47),0),"")</f>
        <v/>
      </c>
      <c r="P49" s="174" t="str">
        <f>IFERROR(VLOOKUP(基本資料填寫!$C$1&amp;"-"&amp;ROW(AB46),基本資料填寫!$C:$DU,COLUMN(基本資料填寫!AJ47),0),"")</f>
        <v/>
      </c>
      <c r="W49" s="115" t="str">
        <f>IFERROR(VLOOKUP(基本資料填寫!$C$1&amp;"-"&amp;ROW(AI46),基本資料填寫!$C:$DU,COLUMN(基本資料填寫!CH47),0),"")</f>
        <v/>
      </c>
    </row>
    <row r="50" spans="2:23" x14ac:dyDescent="0.3">
      <c r="B50" s="114" t="str">
        <f>IF(G50="","",COUNTA($G$4:G50))</f>
        <v/>
      </c>
      <c r="C50" s="115" t="str">
        <f>IFERROR(VLOOKUP(基本資料填寫!$C$1&amp;"-"&amp;ROW(A47),基本資料填寫!$C:$DU,COLUMN(基本資料填寫!CN48),0),"")</f>
        <v/>
      </c>
      <c r="D50" s="115" t="str">
        <f>IFERROR(VLOOKUP(基本資料填寫!$C$1&amp;"-"&amp;ROW(I47),基本資料填寫!$C:$DU,COLUMN(基本資料填寫!Q48),0),"")</f>
        <v/>
      </c>
      <c r="E50" s="115" t="str">
        <f>IFERROR(VLOOKUP(基本資料填寫!$C$1&amp;"-"&amp;ROW(L47),基本資料填寫!$C:$DU,COLUMN(基本資料填寫!T48),0),"")</f>
        <v/>
      </c>
      <c r="F50" s="114" t="str">
        <f>IFERROR(VLOOKUP(基本資料填寫!$C$1&amp;"-"&amp;ROW(F47),基本資料填寫!$C:$DU,COLUMN(基本資料填寫!N48),0),"")</f>
        <v/>
      </c>
      <c r="G50" s="114" t="str">
        <f>IFERROR(VLOOKUP(基本資料填寫!$C$1&amp;"-"&amp;ROW(C47),基本資料填寫!$C:$DU,COLUMN(基本資料填寫!O48),0),"")</f>
        <v/>
      </c>
      <c r="H50" s="115" t="str">
        <f>IFERROR(VLOOKUP(基本資料填寫!$C$1&amp;"-"&amp;ROW(E47),基本資料填寫!$C:$DU,COLUMN(基本資料填寫!M48),0),"")</f>
        <v/>
      </c>
      <c r="I50" s="114" t="str">
        <f>IFERROR(VLOOKUP(基本資料填寫!$C$1&amp;"-"&amp;ROW(M47),基本資料填寫!$C:$DU,COLUMN(基本資料填寫!U48),0),"")</f>
        <v/>
      </c>
      <c r="M50" s="115" t="str">
        <f>IFERROR(VLOOKUP(基本資料填寫!$C$1&amp;"-"&amp;ROW(AJ47),基本資料填寫!$C:$DU,COLUMN(基本資料填寫!CI48),0),"")</f>
        <v/>
      </c>
      <c r="P50" s="174" t="str">
        <f>IFERROR(VLOOKUP(基本資料填寫!$C$1&amp;"-"&amp;ROW(AB47),基本資料填寫!$C:$DU,COLUMN(基本資料填寫!AJ48),0),"")</f>
        <v/>
      </c>
      <c r="W50" s="115" t="str">
        <f>IFERROR(VLOOKUP(基本資料填寫!$C$1&amp;"-"&amp;ROW(AI47),基本資料填寫!$C:$DU,COLUMN(基本資料填寫!CH48),0),"")</f>
        <v/>
      </c>
    </row>
    <row r="51" spans="2:23" x14ac:dyDescent="0.3">
      <c r="B51" s="114" t="str">
        <f>IF(G51="","",COUNTA($G$4:G51))</f>
        <v/>
      </c>
      <c r="C51" s="115" t="str">
        <f>IFERROR(VLOOKUP(基本資料填寫!$C$1&amp;"-"&amp;ROW(A48),基本資料填寫!$C:$DU,COLUMN(基本資料填寫!CN49),0),"")</f>
        <v/>
      </c>
      <c r="D51" s="115" t="str">
        <f>IFERROR(VLOOKUP(基本資料填寫!$C$1&amp;"-"&amp;ROW(I48),基本資料填寫!$C:$DU,COLUMN(基本資料填寫!Q49),0),"")</f>
        <v/>
      </c>
      <c r="E51" s="115" t="str">
        <f>IFERROR(VLOOKUP(基本資料填寫!$C$1&amp;"-"&amp;ROW(L48),基本資料填寫!$C:$DU,COLUMN(基本資料填寫!T49),0),"")</f>
        <v/>
      </c>
      <c r="F51" s="114" t="str">
        <f>IFERROR(VLOOKUP(基本資料填寫!$C$1&amp;"-"&amp;ROW(F48),基本資料填寫!$C:$DU,COLUMN(基本資料填寫!N49),0),"")</f>
        <v/>
      </c>
      <c r="G51" s="114" t="str">
        <f>IFERROR(VLOOKUP(基本資料填寫!$C$1&amp;"-"&amp;ROW(C48),基本資料填寫!$C:$DU,COLUMN(基本資料填寫!O49),0),"")</f>
        <v/>
      </c>
      <c r="H51" s="115" t="str">
        <f>IFERROR(VLOOKUP(基本資料填寫!$C$1&amp;"-"&amp;ROW(E48),基本資料填寫!$C:$DU,COLUMN(基本資料填寫!M49),0),"")</f>
        <v/>
      </c>
      <c r="I51" s="114" t="str">
        <f>IFERROR(VLOOKUP(基本資料填寫!$C$1&amp;"-"&amp;ROW(M48),基本資料填寫!$C:$DU,COLUMN(基本資料填寫!U49),0),"")</f>
        <v/>
      </c>
      <c r="M51" s="115" t="str">
        <f>IFERROR(VLOOKUP(基本資料填寫!$C$1&amp;"-"&amp;ROW(AJ48),基本資料填寫!$C:$DU,COLUMN(基本資料填寫!CI49),0),"")</f>
        <v/>
      </c>
      <c r="P51" s="174" t="str">
        <f>IFERROR(VLOOKUP(基本資料填寫!$C$1&amp;"-"&amp;ROW(AB48),基本資料填寫!$C:$DU,COLUMN(基本資料填寫!AJ49),0),"")</f>
        <v/>
      </c>
      <c r="W51" s="115" t="str">
        <f>IFERROR(VLOOKUP(基本資料填寫!$C$1&amp;"-"&amp;ROW(AI48),基本資料填寫!$C:$DU,COLUMN(基本資料填寫!CH49),0),"")</f>
        <v/>
      </c>
    </row>
    <row r="52" spans="2:23" x14ac:dyDescent="0.3">
      <c r="B52" s="114" t="str">
        <f>IF(G52="","",COUNTA($G$4:G52))</f>
        <v/>
      </c>
      <c r="C52" s="115" t="str">
        <f>IFERROR(VLOOKUP(基本資料填寫!$C$1&amp;"-"&amp;ROW(A49),基本資料填寫!$C:$DU,COLUMN(基本資料填寫!CN50),0),"")</f>
        <v/>
      </c>
      <c r="D52" s="115" t="str">
        <f>IFERROR(VLOOKUP(基本資料填寫!$C$1&amp;"-"&amp;ROW(I49),基本資料填寫!$C:$DU,COLUMN(基本資料填寫!Q50),0),"")</f>
        <v/>
      </c>
      <c r="E52" s="115" t="str">
        <f>IFERROR(VLOOKUP(基本資料填寫!$C$1&amp;"-"&amp;ROW(L49),基本資料填寫!$C:$DU,COLUMN(基本資料填寫!T50),0),"")</f>
        <v/>
      </c>
      <c r="F52" s="114" t="str">
        <f>IFERROR(VLOOKUP(基本資料填寫!$C$1&amp;"-"&amp;ROW(F49),基本資料填寫!$C:$DU,COLUMN(基本資料填寫!N50),0),"")</f>
        <v/>
      </c>
      <c r="G52" s="114" t="str">
        <f>IFERROR(VLOOKUP(基本資料填寫!$C$1&amp;"-"&amp;ROW(C49),基本資料填寫!$C:$DU,COLUMN(基本資料填寫!O50),0),"")</f>
        <v/>
      </c>
      <c r="H52" s="115" t="str">
        <f>IFERROR(VLOOKUP(基本資料填寫!$C$1&amp;"-"&amp;ROW(E49),基本資料填寫!$C:$DU,COLUMN(基本資料填寫!M50),0),"")</f>
        <v/>
      </c>
      <c r="I52" s="114" t="str">
        <f>IFERROR(VLOOKUP(基本資料填寫!$C$1&amp;"-"&amp;ROW(M49),基本資料填寫!$C:$DU,COLUMN(基本資料填寫!U50),0),"")</f>
        <v/>
      </c>
      <c r="M52" s="115" t="str">
        <f>IFERROR(VLOOKUP(基本資料填寫!$C$1&amp;"-"&amp;ROW(AJ49),基本資料填寫!$C:$DU,COLUMN(基本資料填寫!CI50),0),"")</f>
        <v/>
      </c>
      <c r="P52" s="174" t="str">
        <f>IFERROR(VLOOKUP(基本資料填寫!$C$1&amp;"-"&amp;ROW(AB49),基本資料填寫!$C:$DU,COLUMN(基本資料填寫!AJ50),0),"")</f>
        <v/>
      </c>
      <c r="W52" s="115" t="str">
        <f>IFERROR(VLOOKUP(基本資料填寫!$C$1&amp;"-"&amp;ROW(AI49),基本資料填寫!$C:$DU,COLUMN(基本資料填寫!CH50),0),"")</f>
        <v/>
      </c>
    </row>
    <row r="53" spans="2:23" x14ac:dyDescent="0.3">
      <c r="B53" s="114" t="str">
        <f>IF(G53="","",COUNTA($G$4:G53))</f>
        <v/>
      </c>
      <c r="C53" s="115" t="str">
        <f>IFERROR(VLOOKUP(基本資料填寫!$C$1&amp;"-"&amp;ROW(A50),基本資料填寫!$C:$DU,COLUMN(基本資料填寫!CN51),0),"")</f>
        <v/>
      </c>
      <c r="D53" s="115" t="str">
        <f>IFERROR(VLOOKUP(基本資料填寫!$C$1&amp;"-"&amp;ROW(I50),基本資料填寫!$C:$DU,COLUMN(基本資料填寫!Q51),0),"")</f>
        <v/>
      </c>
      <c r="E53" s="115" t="str">
        <f>IFERROR(VLOOKUP(基本資料填寫!$C$1&amp;"-"&amp;ROW(L50),基本資料填寫!$C:$DU,COLUMN(基本資料填寫!T51),0),"")</f>
        <v/>
      </c>
      <c r="F53" s="114" t="str">
        <f>IFERROR(VLOOKUP(基本資料填寫!$C$1&amp;"-"&amp;ROW(F50),基本資料填寫!$C:$DU,COLUMN(基本資料填寫!N51),0),"")</f>
        <v/>
      </c>
      <c r="G53" s="114" t="str">
        <f>IFERROR(VLOOKUP(基本資料填寫!$C$1&amp;"-"&amp;ROW(C50),基本資料填寫!$C:$DU,COLUMN(基本資料填寫!O51),0),"")</f>
        <v/>
      </c>
      <c r="H53" s="115" t="str">
        <f>IFERROR(VLOOKUP(基本資料填寫!$C$1&amp;"-"&amp;ROW(E50),基本資料填寫!$C:$DU,COLUMN(基本資料填寫!M51),0),"")</f>
        <v/>
      </c>
      <c r="I53" s="114" t="str">
        <f>IFERROR(VLOOKUP(基本資料填寫!$C$1&amp;"-"&amp;ROW(M50),基本資料填寫!$C:$DU,COLUMN(基本資料填寫!U51),0),"")</f>
        <v/>
      </c>
      <c r="M53" s="115" t="str">
        <f>IFERROR(VLOOKUP(基本資料填寫!$C$1&amp;"-"&amp;ROW(AJ50),基本資料填寫!$C:$DU,COLUMN(基本資料填寫!CI51),0),"")</f>
        <v/>
      </c>
      <c r="P53" s="174" t="str">
        <f>IFERROR(VLOOKUP(基本資料填寫!$C$1&amp;"-"&amp;ROW(AB50),基本資料填寫!$C:$DU,COLUMN(基本資料填寫!AJ51),0),"")</f>
        <v/>
      </c>
      <c r="W53" s="115" t="str">
        <f>IFERROR(VLOOKUP(基本資料填寫!$C$1&amp;"-"&amp;ROW(AI50),基本資料填寫!$C:$DU,COLUMN(基本資料填寫!CH51),0),"")</f>
        <v/>
      </c>
    </row>
    <row r="54" spans="2:23" x14ac:dyDescent="0.3">
      <c r="B54" s="114" t="str">
        <f>IF(G54="","",COUNTA($G$4:G54))</f>
        <v/>
      </c>
      <c r="C54" s="115" t="str">
        <f>IFERROR(VLOOKUP(基本資料填寫!$C$1&amp;"-"&amp;ROW(A51),基本資料填寫!$C:$DU,COLUMN(基本資料填寫!CN52),0),"")</f>
        <v/>
      </c>
      <c r="D54" s="115" t="str">
        <f>IFERROR(VLOOKUP(基本資料填寫!$C$1&amp;"-"&amp;ROW(I51),基本資料填寫!$C:$DU,COLUMN(基本資料填寫!Q52),0),"")</f>
        <v/>
      </c>
      <c r="E54" s="115" t="str">
        <f>IFERROR(VLOOKUP(基本資料填寫!$C$1&amp;"-"&amp;ROW(L51),基本資料填寫!$C:$DU,COLUMN(基本資料填寫!T52),0),"")</f>
        <v/>
      </c>
      <c r="F54" s="114" t="str">
        <f>IFERROR(VLOOKUP(基本資料填寫!$C$1&amp;"-"&amp;ROW(F51),基本資料填寫!$C:$DU,COLUMN(基本資料填寫!N52),0),"")</f>
        <v/>
      </c>
      <c r="G54" s="114" t="str">
        <f>IFERROR(VLOOKUP(基本資料填寫!$C$1&amp;"-"&amp;ROW(C51),基本資料填寫!$C:$DU,COLUMN(基本資料填寫!O52),0),"")</f>
        <v/>
      </c>
      <c r="H54" s="115" t="str">
        <f>IFERROR(VLOOKUP(基本資料填寫!$C$1&amp;"-"&amp;ROW(E51),基本資料填寫!$C:$DU,COLUMN(基本資料填寫!M52),0),"")</f>
        <v/>
      </c>
      <c r="I54" s="114" t="str">
        <f>IFERROR(VLOOKUP(基本資料填寫!$C$1&amp;"-"&amp;ROW(M51),基本資料填寫!$C:$DU,COLUMN(基本資料填寫!U52),0),"")</f>
        <v/>
      </c>
      <c r="M54" s="115" t="str">
        <f>IFERROR(VLOOKUP(基本資料填寫!$C$1&amp;"-"&amp;ROW(AJ51),基本資料填寫!$C:$DU,COLUMN(基本資料填寫!CI52),0),"")</f>
        <v/>
      </c>
      <c r="P54" s="174" t="str">
        <f>IFERROR(VLOOKUP(基本資料填寫!$C$1&amp;"-"&amp;ROW(AB51),基本資料填寫!$C:$DU,COLUMN(基本資料填寫!AJ52),0),"")</f>
        <v/>
      </c>
      <c r="W54" s="115" t="str">
        <f>IFERROR(VLOOKUP(基本資料填寫!$C$1&amp;"-"&amp;ROW(AI51),基本資料填寫!$C:$DU,COLUMN(基本資料填寫!CH52),0),"")</f>
        <v/>
      </c>
    </row>
    <row r="55" spans="2:23" x14ac:dyDescent="0.3">
      <c r="B55" s="114" t="str">
        <f>IF(G55="","",COUNTA($G$4:G55))</f>
        <v/>
      </c>
      <c r="C55" s="115" t="str">
        <f>IFERROR(VLOOKUP(基本資料填寫!$C$1&amp;"-"&amp;ROW(A52),基本資料填寫!$C:$DU,COLUMN(基本資料填寫!CN53),0),"")</f>
        <v/>
      </c>
      <c r="D55" s="115" t="str">
        <f>IFERROR(VLOOKUP(基本資料填寫!$C$1&amp;"-"&amp;ROW(I52),基本資料填寫!$C:$DU,COLUMN(基本資料填寫!Q53),0),"")</f>
        <v/>
      </c>
      <c r="E55" s="115" t="str">
        <f>IFERROR(VLOOKUP(基本資料填寫!$C$1&amp;"-"&amp;ROW(L52),基本資料填寫!$C:$DU,COLUMN(基本資料填寫!T53),0),"")</f>
        <v/>
      </c>
      <c r="F55" s="114" t="str">
        <f>IFERROR(VLOOKUP(基本資料填寫!$C$1&amp;"-"&amp;ROW(F52),基本資料填寫!$C:$DU,COLUMN(基本資料填寫!N53),0),"")</f>
        <v/>
      </c>
      <c r="G55" s="114" t="str">
        <f>IFERROR(VLOOKUP(基本資料填寫!$C$1&amp;"-"&amp;ROW(C52),基本資料填寫!$C:$DU,COLUMN(基本資料填寫!O53),0),"")</f>
        <v/>
      </c>
      <c r="H55" s="115" t="str">
        <f>IFERROR(VLOOKUP(基本資料填寫!$C$1&amp;"-"&amp;ROW(E52),基本資料填寫!$C:$DU,COLUMN(基本資料填寫!M53),0),"")</f>
        <v/>
      </c>
      <c r="I55" s="114" t="str">
        <f>IFERROR(VLOOKUP(基本資料填寫!$C$1&amp;"-"&amp;ROW(M52),基本資料填寫!$C:$DU,COLUMN(基本資料填寫!U53),0),"")</f>
        <v/>
      </c>
      <c r="M55" s="115" t="str">
        <f>IFERROR(VLOOKUP(基本資料填寫!$C$1&amp;"-"&amp;ROW(AJ52),基本資料填寫!$C:$DU,COLUMN(基本資料填寫!CI53),0),"")</f>
        <v/>
      </c>
      <c r="P55" s="174" t="str">
        <f>IFERROR(VLOOKUP(基本資料填寫!$C$1&amp;"-"&amp;ROW(AB52),基本資料填寫!$C:$DU,COLUMN(基本資料填寫!AJ53),0),"")</f>
        <v/>
      </c>
      <c r="W55" s="115" t="str">
        <f>IFERROR(VLOOKUP(基本資料填寫!$C$1&amp;"-"&amp;ROW(AI52),基本資料填寫!$C:$DU,COLUMN(基本資料填寫!CH53),0),"")</f>
        <v/>
      </c>
    </row>
    <row r="56" spans="2:23" x14ac:dyDescent="0.3">
      <c r="B56" s="114" t="str">
        <f>IF(G56="","",COUNTA($G$4:G56))</f>
        <v/>
      </c>
      <c r="C56" s="115" t="str">
        <f>IFERROR(VLOOKUP(基本資料填寫!$C$1&amp;"-"&amp;ROW(A53),基本資料填寫!$C:$DU,COLUMN(基本資料填寫!CN54),0),"")</f>
        <v/>
      </c>
      <c r="D56" s="115" t="str">
        <f>IFERROR(VLOOKUP(基本資料填寫!$C$1&amp;"-"&amp;ROW(I53),基本資料填寫!$C:$DU,COLUMN(基本資料填寫!Q54),0),"")</f>
        <v/>
      </c>
      <c r="E56" s="115" t="str">
        <f>IFERROR(VLOOKUP(基本資料填寫!$C$1&amp;"-"&amp;ROW(L53),基本資料填寫!$C:$DU,COLUMN(基本資料填寫!T54),0),"")</f>
        <v/>
      </c>
      <c r="F56" s="114" t="str">
        <f>IFERROR(VLOOKUP(基本資料填寫!$C$1&amp;"-"&amp;ROW(F53),基本資料填寫!$C:$DU,COLUMN(基本資料填寫!N54),0),"")</f>
        <v/>
      </c>
      <c r="G56" s="114" t="str">
        <f>IFERROR(VLOOKUP(基本資料填寫!$C$1&amp;"-"&amp;ROW(C53),基本資料填寫!$C:$DU,COLUMN(基本資料填寫!O54),0),"")</f>
        <v/>
      </c>
      <c r="H56" s="115" t="str">
        <f>IFERROR(VLOOKUP(基本資料填寫!$C$1&amp;"-"&amp;ROW(E53),基本資料填寫!$C:$DU,COLUMN(基本資料填寫!M54),0),"")</f>
        <v/>
      </c>
      <c r="I56" s="114" t="str">
        <f>IFERROR(VLOOKUP(基本資料填寫!$C$1&amp;"-"&amp;ROW(M53),基本資料填寫!$C:$DU,COLUMN(基本資料填寫!U54),0),"")</f>
        <v/>
      </c>
      <c r="M56" s="115" t="str">
        <f>IFERROR(VLOOKUP(基本資料填寫!$C$1&amp;"-"&amp;ROW(AJ53),基本資料填寫!$C:$DU,COLUMN(基本資料填寫!CI54),0),"")</f>
        <v/>
      </c>
      <c r="P56" s="174" t="str">
        <f>IFERROR(VLOOKUP(基本資料填寫!$C$1&amp;"-"&amp;ROW(AB53),基本資料填寫!$C:$DU,COLUMN(基本資料填寫!AJ54),0),"")</f>
        <v/>
      </c>
      <c r="W56" s="115" t="str">
        <f>IFERROR(VLOOKUP(基本資料填寫!$C$1&amp;"-"&amp;ROW(AI53),基本資料填寫!$C:$DU,COLUMN(基本資料填寫!CH54),0),"")</f>
        <v/>
      </c>
    </row>
    <row r="57" spans="2:23" x14ac:dyDescent="0.3">
      <c r="B57" s="114" t="str">
        <f>IF(G57="","",COUNTA($G$4:G57))</f>
        <v/>
      </c>
      <c r="C57" s="115" t="str">
        <f>IFERROR(VLOOKUP(基本資料填寫!$C$1&amp;"-"&amp;ROW(A54),基本資料填寫!$C:$DU,COLUMN(基本資料填寫!CN55),0),"")</f>
        <v/>
      </c>
      <c r="D57" s="115" t="str">
        <f>IFERROR(VLOOKUP(基本資料填寫!$C$1&amp;"-"&amp;ROW(I54),基本資料填寫!$C:$DU,COLUMN(基本資料填寫!Q55),0),"")</f>
        <v/>
      </c>
      <c r="E57" s="115" t="str">
        <f>IFERROR(VLOOKUP(基本資料填寫!$C$1&amp;"-"&amp;ROW(L54),基本資料填寫!$C:$DU,COLUMN(基本資料填寫!T55),0),"")</f>
        <v/>
      </c>
      <c r="F57" s="114" t="str">
        <f>IFERROR(VLOOKUP(基本資料填寫!$C$1&amp;"-"&amp;ROW(F54),基本資料填寫!$C:$DU,COLUMN(基本資料填寫!N55),0),"")</f>
        <v/>
      </c>
      <c r="G57" s="114" t="str">
        <f>IFERROR(VLOOKUP(基本資料填寫!$C$1&amp;"-"&amp;ROW(C54),基本資料填寫!$C:$DU,COLUMN(基本資料填寫!O55),0),"")</f>
        <v/>
      </c>
      <c r="H57" s="115" t="str">
        <f>IFERROR(VLOOKUP(基本資料填寫!$C$1&amp;"-"&amp;ROW(E54),基本資料填寫!$C:$DU,COLUMN(基本資料填寫!M55),0),"")</f>
        <v/>
      </c>
      <c r="I57" s="114" t="str">
        <f>IFERROR(VLOOKUP(基本資料填寫!$C$1&amp;"-"&amp;ROW(M54),基本資料填寫!$C:$DU,COLUMN(基本資料填寫!U55),0),"")</f>
        <v/>
      </c>
      <c r="M57" s="115" t="str">
        <f>IFERROR(VLOOKUP(基本資料填寫!$C$1&amp;"-"&amp;ROW(AJ54),基本資料填寫!$C:$DU,COLUMN(基本資料填寫!CI55),0),"")</f>
        <v/>
      </c>
      <c r="P57" s="174" t="str">
        <f>IFERROR(VLOOKUP(基本資料填寫!$C$1&amp;"-"&amp;ROW(AB54),基本資料填寫!$C:$DU,COLUMN(基本資料填寫!AJ55),0),"")</f>
        <v/>
      </c>
      <c r="W57" s="115" t="str">
        <f>IFERROR(VLOOKUP(基本資料填寫!$C$1&amp;"-"&amp;ROW(AI54),基本資料填寫!$C:$DU,COLUMN(基本資料填寫!CH55),0),"")</f>
        <v/>
      </c>
    </row>
    <row r="58" spans="2:23" x14ac:dyDescent="0.3">
      <c r="B58" s="114" t="str">
        <f>IF(G58="","",COUNTA($G$4:G58))</f>
        <v/>
      </c>
      <c r="C58" s="115" t="str">
        <f>IFERROR(VLOOKUP(基本資料填寫!$C$1&amp;"-"&amp;ROW(A55),基本資料填寫!$C:$DU,COLUMN(基本資料填寫!CN56),0),"")</f>
        <v/>
      </c>
      <c r="D58" s="115" t="str">
        <f>IFERROR(VLOOKUP(基本資料填寫!$C$1&amp;"-"&amp;ROW(I55),基本資料填寫!$C:$DU,COLUMN(基本資料填寫!Q56),0),"")</f>
        <v/>
      </c>
      <c r="E58" s="115" t="str">
        <f>IFERROR(VLOOKUP(基本資料填寫!$C$1&amp;"-"&amp;ROW(L55),基本資料填寫!$C:$DU,COLUMN(基本資料填寫!T56),0),"")</f>
        <v/>
      </c>
      <c r="F58" s="114" t="str">
        <f>IFERROR(VLOOKUP(基本資料填寫!$C$1&amp;"-"&amp;ROW(F55),基本資料填寫!$C:$DU,COLUMN(基本資料填寫!N56),0),"")</f>
        <v/>
      </c>
      <c r="G58" s="114" t="str">
        <f>IFERROR(VLOOKUP(基本資料填寫!$C$1&amp;"-"&amp;ROW(C55),基本資料填寫!$C:$DU,COLUMN(基本資料填寫!O56),0),"")</f>
        <v/>
      </c>
      <c r="H58" s="115" t="str">
        <f>IFERROR(VLOOKUP(基本資料填寫!$C$1&amp;"-"&amp;ROW(E55),基本資料填寫!$C:$DU,COLUMN(基本資料填寫!M56),0),"")</f>
        <v/>
      </c>
      <c r="I58" s="114" t="str">
        <f>IFERROR(VLOOKUP(基本資料填寫!$C$1&amp;"-"&amp;ROW(M55),基本資料填寫!$C:$DU,COLUMN(基本資料填寫!U56),0),"")</f>
        <v/>
      </c>
      <c r="M58" s="115" t="str">
        <f>IFERROR(VLOOKUP(基本資料填寫!$C$1&amp;"-"&amp;ROW(AJ55),基本資料填寫!$C:$DU,COLUMN(基本資料填寫!CI56),0),"")</f>
        <v/>
      </c>
      <c r="P58" s="174" t="str">
        <f>IFERROR(VLOOKUP(基本資料填寫!$C$1&amp;"-"&amp;ROW(AB55),基本資料填寫!$C:$DU,COLUMN(基本資料填寫!AJ56),0),"")</f>
        <v/>
      </c>
      <c r="W58" s="115" t="str">
        <f>IFERROR(VLOOKUP(基本資料填寫!$C$1&amp;"-"&amp;ROW(AI55),基本資料填寫!$C:$DU,COLUMN(基本資料填寫!CH56),0),"")</f>
        <v/>
      </c>
    </row>
    <row r="59" spans="2:23" x14ac:dyDescent="0.3">
      <c r="B59" s="114" t="str">
        <f>IF(G59="","",COUNTA($G$4:G59))</f>
        <v/>
      </c>
      <c r="C59" s="115" t="str">
        <f>IFERROR(VLOOKUP(基本資料填寫!$C$1&amp;"-"&amp;ROW(A56),基本資料填寫!$C:$DU,COLUMN(基本資料填寫!CN57),0),"")</f>
        <v/>
      </c>
      <c r="D59" s="115" t="str">
        <f>IFERROR(VLOOKUP(基本資料填寫!$C$1&amp;"-"&amp;ROW(I56),基本資料填寫!$C:$DU,COLUMN(基本資料填寫!Q57),0),"")</f>
        <v/>
      </c>
      <c r="E59" s="115" t="str">
        <f>IFERROR(VLOOKUP(基本資料填寫!$C$1&amp;"-"&amp;ROW(L56),基本資料填寫!$C:$DU,COLUMN(基本資料填寫!T57),0),"")</f>
        <v/>
      </c>
      <c r="F59" s="114" t="str">
        <f>IFERROR(VLOOKUP(基本資料填寫!$C$1&amp;"-"&amp;ROW(F56),基本資料填寫!$C:$DU,COLUMN(基本資料填寫!N57),0),"")</f>
        <v/>
      </c>
      <c r="G59" s="114" t="str">
        <f>IFERROR(VLOOKUP(基本資料填寫!$C$1&amp;"-"&amp;ROW(C56),基本資料填寫!$C:$DU,COLUMN(基本資料填寫!O57),0),"")</f>
        <v/>
      </c>
      <c r="H59" s="115" t="str">
        <f>IFERROR(VLOOKUP(基本資料填寫!$C$1&amp;"-"&amp;ROW(E56),基本資料填寫!$C:$DU,COLUMN(基本資料填寫!M57),0),"")</f>
        <v/>
      </c>
      <c r="I59" s="114" t="str">
        <f>IFERROR(VLOOKUP(基本資料填寫!$C$1&amp;"-"&amp;ROW(M56),基本資料填寫!$C:$DU,COLUMN(基本資料填寫!U57),0),"")</f>
        <v/>
      </c>
      <c r="M59" s="115" t="str">
        <f>IFERROR(VLOOKUP(基本資料填寫!$C$1&amp;"-"&amp;ROW(AJ56),基本資料填寫!$C:$DU,COLUMN(基本資料填寫!CI57),0),"")</f>
        <v/>
      </c>
      <c r="P59" s="174" t="str">
        <f>IFERROR(VLOOKUP(基本資料填寫!$C$1&amp;"-"&amp;ROW(AB56),基本資料填寫!$C:$DU,COLUMN(基本資料填寫!AJ57),0),"")</f>
        <v/>
      </c>
      <c r="W59" s="115" t="str">
        <f>IFERROR(VLOOKUP(基本資料填寫!$C$1&amp;"-"&amp;ROW(AI56),基本資料填寫!$C:$DU,COLUMN(基本資料填寫!CH57),0),"")</f>
        <v/>
      </c>
    </row>
    <row r="60" spans="2:23" x14ac:dyDescent="0.3">
      <c r="B60" s="114" t="str">
        <f>IF(G60="","",COUNTA($G$4:G60))</f>
        <v/>
      </c>
      <c r="C60" s="115" t="str">
        <f>IFERROR(VLOOKUP(基本資料填寫!$C$1&amp;"-"&amp;ROW(A57),基本資料填寫!$C:$DU,COLUMN(基本資料填寫!CN58),0),"")</f>
        <v/>
      </c>
      <c r="D60" s="115" t="str">
        <f>IFERROR(VLOOKUP(基本資料填寫!$C$1&amp;"-"&amp;ROW(I57),基本資料填寫!$C:$DU,COLUMN(基本資料填寫!Q58),0),"")</f>
        <v/>
      </c>
      <c r="E60" s="115" t="str">
        <f>IFERROR(VLOOKUP(基本資料填寫!$C$1&amp;"-"&amp;ROW(L57),基本資料填寫!$C:$DU,COLUMN(基本資料填寫!T58),0),"")</f>
        <v/>
      </c>
      <c r="F60" s="114" t="str">
        <f>IFERROR(VLOOKUP(基本資料填寫!$C$1&amp;"-"&amp;ROW(F57),基本資料填寫!$C:$DU,COLUMN(基本資料填寫!N58),0),"")</f>
        <v/>
      </c>
      <c r="G60" s="114" t="str">
        <f>IFERROR(VLOOKUP(基本資料填寫!$C$1&amp;"-"&amp;ROW(C57),基本資料填寫!$C:$DU,COLUMN(基本資料填寫!O58),0),"")</f>
        <v/>
      </c>
      <c r="H60" s="115" t="str">
        <f>IFERROR(VLOOKUP(基本資料填寫!$C$1&amp;"-"&amp;ROW(E57),基本資料填寫!$C:$DU,COLUMN(基本資料填寫!M58),0),"")</f>
        <v/>
      </c>
      <c r="I60" s="114" t="str">
        <f>IFERROR(VLOOKUP(基本資料填寫!$C$1&amp;"-"&amp;ROW(M57),基本資料填寫!$C:$DU,COLUMN(基本資料填寫!U58),0),"")</f>
        <v/>
      </c>
      <c r="M60" s="115" t="str">
        <f>IFERROR(VLOOKUP(基本資料填寫!$C$1&amp;"-"&amp;ROW(AJ57),基本資料填寫!$C:$DU,COLUMN(基本資料填寫!CI58),0),"")</f>
        <v/>
      </c>
      <c r="P60" s="174" t="str">
        <f>IFERROR(VLOOKUP(基本資料填寫!$C$1&amp;"-"&amp;ROW(AB57),基本資料填寫!$C:$DU,COLUMN(基本資料填寫!AJ58),0),"")</f>
        <v/>
      </c>
      <c r="W60" s="115" t="str">
        <f>IFERROR(VLOOKUP(基本資料填寫!$C$1&amp;"-"&amp;ROW(AI57),基本資料填寫!$C:$DU,COLUMN(基本資料填寫!CH58),0),"")</f>
        <v/>
      </c>
    </row>
    <row r="61" spans="2:23" x14ac:dyDescent="0.3">
      <c r="B61" s="114" t="str">
        <f>IF(G61="","",COUNTA($G$4:G61))</f>
        <v/>
      </c>
      <c r="C61" s="115" t="str">
        <f>IFERROR(VLOOKUP(基本資料填寫!$C$1&amp;"-"&amp;ROW(A58),基本資料填寫!$C:$DU,COLUMN(基本資料填寫!CN59),0),"")</f>
        <v/>
      </c>
      <c r="D61" s="115" t="str">
        <f>IFERROR(VLOOKUP(基本資料填寫!$C$1&amp;"-"&amp;ROW(I58),基本資料填寫!$C:$DU,COLUMN(基本資料填寫!Q59),0),"")</f>
        <v/>
      </c>
      <c r="E61" s="115" t="str">
        <f>IFERROR(VLOOKUP(基本資料填寫!$C$1&amp;"-"&amp;ROW(L58),基本資料填寫!$C:$DU,COLUMN(基本資料填寫!T59),0),"")</f>
        <v/>
      </c>
      <c r="F61" s="114" t="str">
        <f>IFERROR(VLOOKUP(基本資料填寫!$C$1&amp;"-"&amp;ROW(F58),基本資料填寫!$C:$DU,COLUMN(基本資料填寫!N59),0),"")</f>
        <v/>
      </c>
      <c r="G61" s="114" t="str">
        <f>IFERROR(VLOOKUP(基本資料填寫!$C$1&amp;"-"&amp;ROW(C58),基本資料填寫!$C:$DU,COLUMN(基本資料填寫!O59),0),"")</f>
        <v/>
      </c>
      <c r="H61" s="115" t="str">
        <f>IFERROR(VLOOKUP(基本資料填寫!$C$1&amp;"-"&amp;ROW(E58),基本資料填寫!$C:$DU,COLUMN(基本資料填寫!M59),0),"")</f>
        <v/>
      </c>
      <c r="I61" s="114" t="str">
        <f>IFERROR(VLOOKUP(基本資料填寫!$C$1&amp;"-"&amp;ROW(M58),基本資料填寫!$C:$DU,COLUMN(基本資料填寫!U59),0),"")</f>
        <v/>
      </c>
      <c r="M61" s="115" t="str">
        <f>IFERROR(VLOOKUP(基本資料填寫!$C$1&amp;"-"&amp;ROW(AJ58),基本資料填寫!$C:$DU,COLUMN(基本資料填寫!CI59),0),"")</f>
        <v/>
      </c>
      <c r="P61" s="174" t="str">
        <f>IFERROR(VLOOKUP(基本資料填寫!$C$1&amp;"-"&amp;ROW(AB58),基本資料填寫!$C:$DU,COLUMN(基本資料填寫!AJ59),0),"")</f>
        <v/>
      </c>
      <c r="W61" s="115" t="str">
        <f>IFERROR(VLOOKUP(基本資料填寫!$C$1&amp;"-"&amp;ROW(AI58),基本資料填寫!$C:$DU,COLUMN(基本資料填寫!CH59),0),"")</f>
        <v/>
      </c>
    </row>
    <row r="62" spans="2:23" x14ac:dyDescent="0.3">
      <c r="B62" s="114" t="str">
        <f>IF(G62="","",COUNTA($G$4:G62))</f>
        <v/>
      </c>
      <c r="C62" s="115" t="str">
        <f>IFERROR(VLOOKUP(基本資料填寫!$C$1&amp;"-"&amp;ROW(A59),基本資料填寫!$C:$DU,COLUMN(基本資料填寫!CN60),0),"")</f>
        <v/>
      </c>
      <c r="D62" s="115" t="str">
        <f>IFERROR(VLOOKUP(基本資料填寫!$C$1&amp;"-"&amp;ROW(I59),基本資料填寫!$C:$DU,COLUMN(基本資料填寫!Q60),0),"")</f>
        <v/>
      </c>
      <c r="E62" s="115" t="str">
        <f>IFERROR(VLOOKUP(基本資料填寫!$C$1&amp;"-"&amp;ROW(L59),基本資料填寫!$C:$DU,COLUMN(基本資料填寫!T60),0),"")</f>
        <v/>
      </c>
      <c r="F62" s="114" t="str">
        <f>IFERROR(VLOOKUP(基本資料填寫!$C$1&amp;"-"&amp;ROW(F59),基本資料填寫!$C:$DU,COLUMN(基本資料填寫!N60),0),"")</f>
        <v/>
      </c>
      <c r="G62" s="114" t="str">
        <f>IFERROR(VLOOKUP(基本資料填寫!$C$1&amp;"-"&amp;ROW(C59),基本資料填寫!$C:$DU,COLUMN(基本資料填寫!O60),0),"")</f>
        <v/>
      </c>
      <c r="H62" s="115" t="str">
        <f>IFERROR(VLOOKUP(基本資料填寫!$C$1&amp;"-"&amp;ROW(E59),基本資料填寫!$C:$DU,COLUMN(基本資料填寫!M60),0),"")</f>
        <v/>
      </c>
      <c r="I62" s="114" t="str">
        <f>IFERROR(VLOOKUP(基本資料填寫!$C$1&amp;"-"&amp;ROW(M59),基本資料填寫!$C:$DU,COLUMN(基本資料填寫!U60),0),"")</f>
        <v/>
      </c>
      <c r="M62" s="115" t="str">
        <f>IFERROR(VLOOKUP(基本資料填寫!$C$1&amp;"-"&amp;ROW(AJ59),基本資料填寫!$C:$DU,COLUMN(基本資料填寫!CI60),0),"")</f>
        <v/>
      </c>
      <c r="P62" s="174" t="str">
        <f>IFERROR(VLOOKUP(基本資料填寫!$C$1&amp;"-"&amp;ROW(AB59),基本資料填寫!$C:$DU,COLUMN(基本資料填寫!AJ60),0),"")</f>
        <v/>
      </c>
      <c r="W62" s="115" t="str">
        <f>IFERROR(VLOOKUP(基本資料填寫!$C$1&amp;"-"&amp;ROW(AI59),基本資料填寫!$C:$DU,COLUMN(基本資料填寫!CH60),0),"")</f>
        <v/>
      </c>
    </row>
    <row r="63" spans="2:23" x14ac:dyDescent="0.3">
      <c r="B63" s="114" t="str">
        <f>IF(G63="","",COUNTA($G$4:G63))</f>
        <v/>
      </c>
      <c r="C63" s="115" t="str">
        <f>IFERROR(VLOOKUP(基本資料填寫!$C$1&amp;"-"&amp;ROW(A60),基本資料填寫!$C:$DU,COLUMN(基本資料填寫!CN61),0),"")</f>
        <v/>
      </c>
      <c r="D63" s="115" t="str">
        <f>IFERROR(VLOOKUP(基本資料填寫!$C$1&amp;"-"&amp;ROW(I60),基本資料填寫!$C:$DU,COLUMN(基本資料填寫!Q61),0),"")</f>
        <v/>
      </c>
      <c r="E63" s="115" t="str">
        <f>IFERROR(VLOOKUP(基本資料填寫!$C$1&amp;"-"&amp;ROW(L60),基本資料填寫!$C:$DU,COLUMN(基本資料填寫!T61),0),"")</f>
        <v/>
      </c>
      <c r="F63" s="114" t="str">
        <f>IFERROR(VLOOKUP(基本資料填寫!$C$1&amp;"-"&amp;ROW(F60),基本資料填寫!$C:$DU,COLUMN(基本資料填寫!N61),0),"")</f>
        <v/>
      </c>
      <c r="G63" s="114" t="str">
        <f>IFERROR(VLOOKUP(基本資料填寫!$C$1&amp;"-"&amp;ROW(C60),基本資料填寫!$C:$DU,COLUMN(基本資料填寫!O61),0),"")</f>
        <v/>
      </c>
      <c r="H63" s="115" t="str">
        <f>IFERROR(VLOOKUP(基本資料填寫!$C$1&amp;"-"&amp;ROW(E60),基本資料填寫!$C:$DU,COLUMN(基本資料填寫!M61),0),"")</f>
        <v/>
      </c>
      <c r="I63" s="114" t="str">
        <f>IFERROR(VLOOKUP(基本資料填寫!$C$1&amp;"-"&amp;ROW(M60),基本資料填寫!$C:$DU,COLUMN(基本資料填寫!U61),0),"")</f>
        <v/>
      </c>
      <c r="M63" s="115" t="str">
        <f>IFERROR(VLOOKUP(基本資料填寫!$C$1&amp;"-"&amp;ROW(AJ60),基本資料填寫!$C:$DU,COLUMN(基本資料填寫!CI61),0),"")</f>
        <v/>
      </c>
      <c r="P63" s="174" t="str">
        <f>IFERROR(VLOOKUP(基本資料填寫!$C$1&amp;"-"&amp;ROW(AB60),基本資料填寫!$C:$DU,COLUMN(基本資料填寫!AJ61),0),"")</f>
        <v/>
      </c>
      <c r="W63" s="115" t="str">
        <f>IFERROR(VLOOKUP(基本資料填寫!$C$1&amp;"-"&amp;ROW(AI60),基本資料填寫!$C:$DU,COLUMN(基本資料填寫!CH61),0),"")</f>
        <v/>
      </c>
    </row>
    <row r="64" spans="2:23" x14ac:dyDescent="0.3">
      <c r="B64" s="114" t="str">
        <f>IF(G64="","",COUNTA($G$4:G64))</f>
        <v/>
      </c>
      <c r="C64" s="115" t="str">
        <f>IFERROR(VLOOKUP(基本資料填寫!$C$1&amp;"-"&amp;ROW(A61),基本資料填寫!$C:$DU,COLUMN(基本資料填寫!CN62),0),"")</f>
        <v/>
      </c>
      <c r="D64" s="115" t="str">
        <f>IFERROR(VLOOKUP(基本資料填寫!$C$1&amp;"-"&amp;ROW(I61),基本資料填寫!$C:$DU,COLUMN(基本資料填寫!Q62),0),"")</f>
        <v/>
      </c>
      <c r="E64" s="115" t="str">
        <f>IFERROR(VLOOKUP(基本資料填寫!$C$1&amp;"-"&amp;ROW(L61),基本資料填寫!$C:$DU,COLUMN(基本資料填寫!T62),0),"")</f>
        <v/>
      </c>
      <c r="F64" s="114" t="str">
        <f>IFERROR(VLOOKUP(基本資料填寫!$C$1&amp;"-"&amp;ROW(F61),基本資料填寫!$C:$DU,COLUMN(基本資料填寫!N62),0),"")</f>
        <v/>
      </c>
      <c r="G64" s="114" t="str">
        <f>IFERROR(VLOOKUP(基本資料填寫!$C$1&amp;"-"&amp;ROW(C61),基本資料填寫!$C:$DU,COLUMN(基本資料填寫!O62),0),"")</f>
        <v/>
      </c>
      <c r="H64" s="115" t="str">
        <f>IFERROR(VLOOKUP(基本資料填寫!$C$1&amp;"-"&amp;ROW(E61),基本資料填寫!$C:$DU,COLUMN(基本資料填寫!M62),0),"")</f>
        <v/>
      </c>
      <c r="I64" s="114" t="str">
        <f>IFERROR(VLOOKUP(基本資料填寫!$C$1&amp;"-"&amp;ROW(M61),基本資料填寫!$C:$DU,COLUMN(基本資料填寫!U62),0),"")</f>
        <v/>
      </c>
      <c r="M64" s="115" t="str">
        <f>IFERROR(VLOOKUP(基本資料填寫!$C$1&amp;"-"&amp;ROW(AJ61),基本資料填寫!$C:$DU,COLUMN(基本資料填寫!CI62),0),"")</f>
        <v/>
      </c>
      <c r="P64" s="174" t="str">
        <f>IFERROR(VLOOKUP(基本資料填寫!$C$1&amp;"-"&amp;ROW(AB61),基本資料填寫!$C:$DU,COLUMN(基本資料填寫!AJ62),0),"")</f>
        <v/>
      </c>
      <c r="W64" s="115" t="str">
        <f>IFERROR(VLOOKUP(基本資料填寫!$C$1&amp;"-"&amp;ROW(AI61),基本資料填寫!$C:$DU,COLUMN(基本資料填寫!CH62),0),"")</f>
        <v/>
      </c>
    </row>
    <row r="65" spans="2:23" x14ac:dyDescent="0.3">
      <c r="B65" s="114" t="str">
        <f>IF(G65="","",COUNTA($G$4:G65))</f>
        <v/>
      </c>
      <c r="C65" s="115" t="str">
        <f>IFERROR(VLOOKUP(基本資料填寫!$C$1&amp;"-"&amp;ROW(A62),基本資料填寫!$C:$DU,COLUMN(基本資料填寫!CN63),0),"")</f>
        <v/>
      </c>
      <c r="D65" s="115" t="str">
        <f>IFERROR(VLOOKUP(基本資料填寫!$C$1&amp;"-"&amp;ROW(I62),基本資料填寫!$C:$DU,COLUMN(基本資料填寫!Q63),0),"")</f>
        <v/>
      </c>
      <c r="E65" s="115" t="str">
        <f>IFERROR(VLOOKUP(基本資料填寫!$C$1&amp;"-"&amp;ROW(L62),基本資料填寫!$C:$DU,COLUMN(基本資料填寫!T63),0),"")</f>
        <v/>
      </c>
      <c r="F65" s="114" t="str">
        <f>IFERROR(VLOOKUP(基本資料填寫!$C$1&amp;"-"&amp;ROW(F62),基本資料填寫!$C:$DU,COLUMN(基本資料填寫!N63),0),"")</f>
        <v/>
      </c>
      <c r="G65" s="114" t="str">
        <f>IFERROR(VLOOKUP(基本資料填寫!$C$1&amp;"-"&amp;ROW(C62),基本資料填寫!$C:$DU,COLUMN(基本資料填寫!O63),0),"")</f>
        <v/>
      </c>
      <c r="H65" s="115" t="str">
        <f>IFERROR(VLOOKUP(基本資料填寫!$C$1&amp;"-"&amp;ROW(E62),基本資料填寫!$C:$DU,COLUMN(基本資料填寫!M63),0),"")</f>
        <v/>
      </c>
      <c r="I65" s="114" t="str">
        <f>IFERROR(VLOOKUP(基本資料填寫!$C$1&amp;"-"&amp;ROW(M62),基本資料填寫!$C:$DU,COLUMN(基本資料填寫!U63),0),"")</f>
        <v/>
      </c>
      <c r="M65" s="115" t="str">
        <f>IFERROR(VLOOKUP(基本資料填寫!$C$1&amp;"-"&amp;ROW(AJ62),基本資料填寫!$C:$DU,COLUMN(基本資料填寫!CI63),0),"")</f>
        <v/>
      </c>
      <c r="P65" s="174" t="str">
        <f>IFERROR(VLOOKUP(基本資料填寫!$C$1&amp;"-"&amp;ROW(AB62),基本資料填寫!$C:$DU,COLUMN(基本資料填寫!AJ63),0),"")</f>
        <v/>
      </c>
      <c r="W65" s="115" t="str">
        <f>IFERROR(VLOOKUP(基本資料填寫!$C$1&amp;"-"&amp;ROW(AI62),基本資料填寫!$C:$DU,COLUMN(基本資料填寫!CH63),0),"")</f>
        <v/>
      </c>
    </row>
    <row r="66" spans="2:23" x14ac:dyDescent="0.3">
      <c r="B66" s="114" t="str">
        <f>IF(G66="","",COUNTA($G$4:G66))</f>
        <v/>
      </c>
      <c r="C66" s="115" t="str">
        <f>IFERROR(VLOOKUP(基本資料填寫!$C$1&amp;"-"&amp;ROW(A63),基本資料填寫!$C:$DU,COLUMN(基本資料填寫!CN64),0),"")</f>
        <v/>
      </c>
      <c r="D66" s="115" t="str">
        <f>IFERROR(VLOOKUP(基本資料填寫!$C$1&amp;"-"&amp;ROW(I63),基本資料填寫!$C:$DU,COLUMN(基本資料填寫!Q64),0),"")</f>
        <v/>
      </c>
      <c r="E66" s="115" t="str">
        <f>IFERROR(VLOOKUP(基本資料填寫!$C$1&amp;"-"&amp;ROW(L63),基本資料填寫!$C:$DU,COLUMN(基本資料填寫!T64),0),"")</f>
        <v/>
      </c>
      <c r="F66" s="114" t="str">
        <f>IFERROR(VLOOKUP(基本資料填寫!$C$1&amp;"-"&amp;ROW(F63),基本資料填寫!$C:$DU,COLUMN(基本資料填寫!N64),0),"")</f>
        <v/>
      </c>
      <c r="G66" s="114" t="str">
        <f>IFERROR(VLOOKUP(基本資料填寫!$C$1&amp;"-"&amp;ROW(C63),基本資料填寫!$C:$DU,COLUMN(基本資料填寫!O64),0),"")</f>
        <v/>
      </c>
      <c r="H66" s="115" t="str">
        <f>IFERROR(VLOOKUP(基本資料填寫!$C$1&amp;"-"&amp;ROW(E63),基本資料填寫!$C:$DU,COLUMN(基本資料填寫!M64),0),"")</f>
        <v/>
      </c>
      <c r="I66" s="114" t="str">
        <f>IFERROR(VLOOKUP(基本資料填寫!$C$1&amp;"-"&amp;ROW(M63),基本資料填寫!$C:$DU,COLUMN(基本資料填寫!U64),0),"")</f>
        <v/>
      </c>
      <c r="M66" s="115" t="str">
        <f>IFERROR(VLOOKUP(基本資料填寫!$C$1&amp;"-"&amp;ROW(AJ63),基本資料填寫!$C:$DU,COLUMN(基本資料填寫!CI64),0),"")</f>
        <v/>
      </c>
      <c r="P66" s="174" t="str">
        <f>IFERROR(VLOOKUP(基本資料填寫!$C$1&amp;"-"&amp;ROW(AB63),基本資料填寫!$C:$DU,COLUMN(基本資料填寫!AJ64),0),"")</f>
        <v/>
      </c>
      <c r="W66" s="115" t="str">
        <f>IFERROR(VLOOKUP(基本資料填寫!$C$1&amp;"-"&amp;ROW(AI63),基本資料填寫!$C:$DU,COLUMN(基本資料填寫!CH64),0),"")</f>
        <v/>
      </c>
    </row>
    <row r="67" spans="2:23" x14ac:dyDescent="0.3">
      <c r="B67" s="114" t="str">
        <f>IF(G67="","",COUNTA($G$4:G67))</f>
        <v/>
      </c>
      <c r="C67" s="115" t="str">
        <f>IFERROR(VLOOKUP(基本資料填寫!$C$1&amp;"-"&amp;ROW(A64),基本資料填寫!$C:$DU,COLUMN(基本資料填寫!CN65),0),"")</f>
        <v/>
      </c>
      <c r="D67" s="115" t="str">
        <f>IFERROR(VLOOKUP(基本資料填寫!$C$1&amp;"-"&amp;ROW(I64),基本資料填寫!$C:$DU,COLUMN(基本資料填寫!Q65),0),"")</f>
        <v/>
      </c>
      <c r="E67" s="115" t="str">
        <f>IFERROR(VLOOKUP(基本資料填寫!$C$1&amp;"-"&amp;ROW(L64),基本資料填寫!$C:$DU,COLUMN(基本資料填寫!T65),0),"")</f>
        <v/>
      </c>
      <c r="F67" s="114" t="str">
        <f>IFERROR(VLOOKUP(基本資料填寫!$C$1&amp;"-"&amp;ROW(F64),基本資料填寫!$C:$DU,COLUMN(基本資料填寫!N65),0),"")</f>
        <v/>
      </c>
      <c r="G67" s="114" t="str">
        <f>IFERROR(VLOOKUP(基本資料填寫!$C$1&amp;"-"&amp;ROW(C64),基本資料填寫!$C:$DU,COLUMN(基本資料填寫!O65),0),"")</f>
        <v/>
      </c>
      <c r="H67" s="115" t="str">
        <f>IFERROR(VLOOKUP(基本資料填寫!$C$1&amp;"-"&amp;ROW(E64),基本資料填寫!$C:$DU,COLUMN(基本資料填寫!M65),0),"")</f>
        <v/>
      </c>
      <c r="I67" s="114" t="str">
        <f>IFERROR(VLOOKUP(基本資料填寫!$C$1&amp;"-"&amp;ROW(M64),基本資料填寫!$C:$DU,COLUMN(基本資料填寫!U65),0),"")</f>
        <v/>
      </c>
      <c r="M67" s="115" t="str">
        <f>IFERROR(VLOOKUP(基本資料填寫!$C$1&amp;"-"&amp;ROW(AJ64),基本資料填寫!$C:$DU,COLUMN(基本資料填寫!CI65),0),"")</f>
        <v/>
      </c>
      <c r="P67" s="174" t="str">
        <f>IFERROR(VLOOKUP(基本資料填寫!$C$1&amp;"-"&amp;ROW(AB64),基本資料填寫!$C:$DU,COLUMN(基本資料填寫!AJ65),0),"")</f>
        <v/>
      </c>
      <c r="W67" s="115" t="str">
        <f>IFERROR(VLOOKUP(基本資料填寫!$C$1&amp;"-"&amp;ROW(AI64),基本資料填寫!$C:$DU,COLUMN(基本資料填寫!CH65),0),"")</f>
        <v/>
      </c>
    </row>
    <row r="68" spans="2:23" x14ac:dyDescent="0.3">
      <c r="B68" s="114" t="str">
        <f>IF(G68="","",COUNTA($G$4:G68))</f>
        <v/>
      </c>
      <c r="C68" s="115" t="str">
        <f>IFERROR(VLOOKUP(基本資料填寫!$C$1&amp;"-"&amp;ROW(A65),基本資料填寫!$C:$DU,COLUMN(基本資料填寫!CN66),0),"")</f>
        <v/>
      </c>
      <c r="D68" s="115" t="str">
        <f>IFERROR(VLOOKUP(基本資料填寫!$C$1&amp;"-"&amp;ROW(I65),基本資料填寫!$C:$DU,COLUMN(基本資料填寫!Q66),0),"")</f>
        <v/>
      </c>
      <c r="E68" s="115" t="str">
        <f>IFERROR(VLOOKUP(基本資料填寫!$C$1&amp;"-"&amp;ROW(L65),基本資料填寫!$C:$DU,COLUMN(基本資料填寫!T66),0),"")</f>
        <v/>
      </c>
      <c r="F68" s="114" t="str">
        <f>IFERROR(VLOOKUP(基本資料填寫!$C$1&amp;"-"&amp;ROW(F65),基本資料填寫!$C:$DU,COLUMN(基本資料填寫!N66),0),"")</f>
        <v/>
      </c>
      <c r="G68" s="114" t="str">
        <f>IFERROR(VLOOKUP(基本資料填寫!$C$1&amp;"-"&amp;ROW(C65),基本資料填寫!$C:$DU,COLUMN(基本資料填寫!O66),0),"")</f>
        <v/>
      </c>
      <c r="H68" s="115" t="str">
        <f>IFERROR(VLOOKUP(基本資料填寫!$C$1&amp;"-"&amp;ROW(E65),基本資料填寫!$C:$DU,COLUMN(基本資料填寫!M66),0),"")</f>
        <v/>
      </c>
      <c r="I68" s="114" t="str">
        <f>IFERROR(VLOOKUP(基本資料填寫!$C$1&amp;"-"&amp;ROW(M65),基本資料填寫!$C:$DU,COLUMN(基本資料填寫!U66),0),"")</f>
        <v/>
      </c>
      <c r="M68" s="115" t="str">
        <f>IFERROR(VLOOKUP(基本資料填寫!$C$1&amp;"-"&amp;ROW(AJ65),基本資料填寫!$C:$DU,COLUMN(基本資料填寫!CI66),0),"")</f>
        <v/>
      </c>
      <c r="P68" s="174" t="str">
        <f>IFERROR(VLOOKUP(基本資料填寫!$C$1&amp;"-"&amp;ROW(AB65),基本資料填寫!$C:$DU,COLUMN(基本資料填寫!AJ66),0),"")</f>
        <v/>
      </c>
      <c r="W68" s="115" t="str">
        <f>IFERROR(VLOOKUP(基本資料填寫!$C$1&amp;"-"&amp;ROW(AI65),基本資料填寫!$C:$DU,COLUMN(基本資料填寫!CH66),0),"")</f>
        <v/>
      </c>
    </row>
    <row r="69" spans="2:23" x14ac:dyDescent="0.3">
      <c r="B69" s="114" t="str">
        <f>IF(G69="","",COUNTA($G$4:G69))</f>
        <v/>
      </c>
      <c r="C69" s="115" t="str">
        <f>IFERROR(VLOOKUP(基本資料填寫!$C$1&amp;"-"&amp;ROW(A66),基本資料填寫!$C:$DU,COLUMN(基本資料填寫!CN67),0),"")</f>
        <v/>
      </c>
      <c r="D69" s="115" t="str">
        <f>IFERROR(VLOOKUP(基本資料填寫!$C$1&amp;"-"&amp;ROW(I66),基本資料填寫!$C:$DU,COLUMN(基本資料填寫!Q67),0),"")</f>
        <v/>
      </c>
      <c r="E69" s="115" t="str">
        <f>IFERROR(VLOOKUP(基本資料填寫!$C$1&amp;"-"&amp;ROW(L66),基本資料填寫!$C:$DU,COLUMN(基本資料填寫!T67),0),"")</f>
        <v/>
      </c>
      <c r="F69" s="114" t="str">
        <f>IFERROR(VLOOKUP(基本資料填寫!$C$1&amp;"-"&amp;ROW(F66),基本資料填寫!$C:$DU,COLUMN(基本資料填寫!N67),0),"")</f>
        <v/>
      </c>
      <c r="G69" s="114" t="str">
        <f>IFERROR(VLOOKUP(基本資料填寫!$C$1&amp;"-"&amp;ROW(C66),基本資料填寫!$C:$DU,COLUMN(基本資料填寫!O67),0),"")</f>
        <v/>
      </c>
      <c r="H69" s="115" t="str">
        <f>IFERROR(VLOOKUP(基本資料填寫!$C$1&amp;"-"&amp;ROW(E66),基本資料填寫!$C:$DU,COLUMN(基本資料填寫!M67),0),"")</f>
        <v/>
      </c>
      <c r="I69" s="114" t="str">
        <f>IFERROR(VLOOKUP(基本資料填寫!$C$1&amp;"-"&amp;ROW(M66),基本資料填寫!$C:$DU,COLUMN(基本資料填寫!U67),0),"")</f>
        <v/>
      </c>
      <c r="M69" s="115" t="str">
        <f>IFERROR(VLOOKUP(基本資料填寫!$C$1&amp;"-"&amp;ROW(AJ66),基本資料填寫!$C:$DU,COLUMN(基本資料填寫!CI67),0),"")</f>
        <v/>
      </c>
      <c r="P69" s="174" t="str">
        <f>IFERROR(VLOOKUP(基本資料填寫!$C$1&amp;"-"&amp;ROW(AB66),基本資料填寫!$C:$DU,COLUMN(基本資料填寫!AJ67),0),"")</f>
        <v/>
      </c>
      <c r="W69" s="115" t="str">
        <f>IFERROR(VLOOKUP(基本資料填寫!$C$1&amp;"-"&amp;ROW(AI66),基本資料填寫!$C:$DU,COLUMN(基本資料填寫!CH67),0),"")</f>
        <v/>
      </c>
    </row>
    <row r="70" spans="2:23" x14ac:dyDescent="0.3">
      <c r="B70" s="114" t="str">
        <f>IF(G70="","",COUNTA($G$4:G70))</f>
        <v/>
      </c>
      <c r="C70" s="115" t="str">
        <f>IFERROR(VLOOKUP(基本資料填寫!$C$1&amp;"-"&amp;ROW(A67),基本資料填寫!$C:$DU,COLUMN(基本資料填寫!CN68),0),"")</f>
        <v/>
      </c>
      <c r="D70" s="115" t="str">
        <f>IFERROR(VLOOKUP(基本資料填寫!$C$1&amp;"-"&amp;ROW(I67),基本資料填寫!$C:$DU,COLUMN(基本資料填寫!Q68),0),"")</f>
        <v/>
      </c>
      <c r="E70" s="115" t="str">
        <f>IFERROR(VLOOKUP(基本資料填寫!$C$1&amp;"-"&amp;ROW(L67),基本資料填寫!$C:$DU,COLUMN(基本資料填寫!T68),0),"")</f>
        <v/>
      </c>
      <c r="F70" s="114" t="str">
        <f>IFERROR(VLOOKUP(基本資料填寫!$C$1&amp;"-"&amp;ROW(F67),基本資料填寫!$C:$DU,COLUMN(基本資料填寫!N68),0),"")</f>
        <v/>
      </c>
      <c r="G70" s="114" t="str">
        <f>IFERROR(VLOOKUP(基本資料填寫!$C$1&amp;"-"&amp;ROW(C67),基本資料填寫!$C:$DU,COLUMN(基本資料填寫!O68),0),"")</f>
        <v/>
      </c>
      <c r="H70" s="115" t="str">
        <f>IFERROR(VLOOKUP(基本資料填寫!$C$1&amp;"-"&amp;ROW(E67),基本資料填寫!$C:$DU,COLUMN(基本資料填寫!M68),0),"")</f>
        <v/>
      </c>
      <c r="I70" s="114" t="str">
        <f>IFERROR(VLOOKUP(基本資料填寫!$C$1&amp;"-"&amp;ROW(M67),基本資料填寫!$C:$DU,COLUMN(基本資料填寫!U68),0),"")</f>
        <v/>
      </c>
      <c r="M70" s="115" t="str">
        <f>IFERROR(VLOOKUP(基本資料填寫!$C$1&amp;"-"&amp;ROW(AJ67),基本資料填寫!$C:$DU,COLUMN(基本資料填寫!CI68),0),"")</f>
        <v/>
      </c>
      <c r="P70" s="174" t="str">
        <f>IFERROR(VLOOKUP(基本資料填寫!$C$1&amp;"-"&amp;ROW(AB67),基本資料填寫!$C:$DU,COLUMN(基本資料填寫!AJ68),0),"")</f>
        <v/>
      </c>
      <c r="W70" s="115" t="str">
        <f>IFERROR(VLOOKUP(基本資料填寫!$C$1&amp;"-"&amp;ROW(AI67),基本資料填寫!$C:$DU,COLUMN(基本資料填寫!CH68),0),"")</f>
        <v/>
      </c>
    </row>
    <row r="71" spans="2:23" x14ac:dyDescent="0.3">
      <c r="B71" s="114" t="str">
        <f>IF(G71="","",COUNTA($G$4:G71))</f>
        <v/>
      </c>
      <c r="C71" s="115" t="str">
        <f>IFERROR(VLOOKUP(基本資料填寫!$C$1&amp;"-"&amp;ROW(A68),基本資料填寫!$C:$DU,COLUMN(基本資料填寫!CN69),0),"")</f>
        <v/>
      </c>
      <c r="D71" s="115" t="str">
        <f>IFERROR(VLOOKUP(基本資料填寫!$C$1&amp;"-"&amp;ROW(I68),基本資料填寫!$C:$DU,COLUMN(基本資料填寫!Q69),0),"")</f>
        <v/>
      </c>
      <c r="E71" s="115" t="str">
        <f>IFERROR(VLOOKUP(基本資料填寫!$C$1&amp;"-"&amp;ROW(L68),基本資料填寫!$C:$DU,COLUMN(基本資料填寫!T69),0),"")</f>
        <v/>
      </c>
      <c r="F71" s="114" t="str">
        <f>IFERROR(VLOOKUP(基本資料填寫!$C$1&amp;"-"&amp;ROW(F68),基本資料填寫!$C:$DU,COLUMN(基本資料填寫!N69),0),"")</f>
        <v/>
      </c>
      <c r="G71" s="114" t="str">
        <f>IFERROR(VLOOKUP(基本資料填寫!$C$1&amp;"-"&amp;ROW(C68),基本資料填寫!$C:$DU,COLUMN(基本資料填寫!O69),0),"")</f>
        <v/>
      </c>
      <c r="H71" s="115" t="str">
        <f>IFERROR(VLOOKUP(基本資料填寫!$C$1&amp;"-"&amp;ROW(E68),基本資料填寫!$C:$DU,COLUMN(基本資料填寫!M69),0),"")</f>
        <v/>
      </c>
      <c r="I71" s="114" t="str">
        <f>IFERROR(VLOOKUP(基本資料填寫!$C$1&amp;"-"&amp;ROW(M68),基本資料填寫!$C:$DU,COLUMN(基本資料填寫!U69),0),"")</f>
        <v/>
      </c>
      <c r="M71" s="115" t="str">
        <f>IFERROR(VLOOKUP(基本資料填寫!$C$1&amp;"-"&amp;ROW(AJ68),基本資料填寫!$C:$DU,COLUMN(基本資料填寫!CI69),0),"")</f>
        <v/>
      </c>
      <c r="P71" s="174" t="str">
        <f>IFERROR(VLOOKUP(基本資料填寫!$C$1&amp;"-"&amp;ROW(AB68),基本資料填寫!$C:$DU,COLUMN(基本資料填寫!AJ69),0),"")</f>
        <v/>
      </c>
      <c r="W71" s="115" t="str">
        <f>IFERROR(VLOOKUP(基本資料填寫!$C$1&amp;"-"&amp;ROW(AI68),基本資料填寫!$C:$DU,COLUMN(基本資料填寫!CH69),0),"")</f>
        <v/>
      </c>
    </row>
    <row r="72" spans="2:23" x14ac:dyDescent="0.3">
      <c r="B72" s="114" t="str">
        <f>IF(G72="","",COUNTA($G$4:G72))</f>
        <v/>
      </c>
      <c r="C72" s="115" t="str">
        <f>IFERROR(VLOOKUP(基本資料填寫!$C$1&amp;"-"&amp;ROW(A69),基本資料填寫!$C:$DU,COLUMN(基本資料填寫!CN70),0),"")</f>
        <v/>
      </c>
      <c r="D72" s="115" t="str">
        <f>IFERROR(VLOOKUP(基本資料填寫!$C$1&amp;"-"&amp;ROW(I69),基本資料填寫!$C:$DU,COLUMN(基本資料填寫!Q70),0),"")</f>
        <v/>
      </c>
      <c r="E72" s="115" t="str">
        <f>IFERROR(VLOOKUP(基本資料填寫!$C$1&amp;"-"&amp;ROW(L69),基本資料填寫!$C:$DU,COLUMN(基本資料填寫!T70),0),"")</f>
        <v/>
      </c>
      <c r="F72" s="114" t="str">
        <f>IFERROR(VLOOKUP(基本資料填寫!$C$1&amp;"-"&amp;ROW(F69),基本資料填寫!$C:$DU,COLUMN(基本資料填寫!N70),0),"")</f>
        <v/>
      </c>
      <c r="G72" s="114" t="str">
        <f>IFERROR(VLOOKUP(基本資料填寫!$C$1&amp;"-"&amp;ROW(C69),基本資料填寫!$C:$DU,COLUMN(基本資料填寫!O70),0),"")</f>
        <v/>
      </c>
      <c r="H72" s="115" t="str">
        <f>IFERROR(VLOOKUP(基本資料填寫!$C$1&amp;"-"&amp;ROW(E69),基本資料填寫!$C:$DU,COLUMN(基本資料填寫!M70),0),"")</f>
        <v/>
      </c>
      <c r="I72" s="114" t="str">
        <f>IFERROR(VLOOKUP(基本資料填寫!$C$1&amp;"-"&amp;ROW(M69),基本資料填寫!$C:$DU,COLUMN(基本資料填寫!U70),0),"")</f>
        <v/>
      </c>
      <c r="M72" s="115" t="str">
        <f>IFERROR(VLOOKUP(基本資料填寫!$C$1&amp;"-"&amp;ROW(AJ69),基本資料填寫!$C:$DU,COLUMN(基本資料填寫!CI70),0),"")</f>
        <v/>
      </c>
      <c r="P72" s="174" t="str">
        <f>IFERROR(VLOOKUP(基本資料填寫!$C$1&amp;"-"&amp;ROW(AB69),基本資料填寫!$C:$DU,COLUMN(基本資料填寫!AJ70),0),"")</f>
        <v/>
      </c>
      <c r="W72" s="115" t="str">
        <f>IFERROR(VLOOKUP(基本資料填寫!$C$1&amp;"-"&amp;ROW(AI69),基本資料填寫!$C:$DU,COLUMN(基本資料填寫!CH70),0),"")</f>
        <v/>
      </c>
    </row>
    <row r="73" spans="2:23" x14ac:dyDescent="0.3">
      <c r="B73" s="114" t="str">
        <f>IF(G73="","",COUNTA($G$4:G73))</f>
        <v/>
      </c>
      <c r="C73" s="115" t="str">
        <f>IFERROR(VLOOKUP(基本資料填寫!$C$1&amp;"-"&amp;ROW(A70),基本資料填寫!$C:$DU,COLUMN(基本資料填寫!CN71),0),"")</f>
        <v/>
      </c>
      <c r="D73" s="115" t="str">
        <f>IFERROR(VLOOKUP(基本資料填寫!$C$1&amp;"-"&amp;ROW(I70),基本資料填寫!$C:$DU,COLUMN(基本資料填寫!Q71),0),"")</f>
        <v/>
      </c>
      <c r="E73" s="115" t="str">
        <f>IFERROR(VLOOKUP(基本資料填寫!$C$1&amp;"-"&amp;ROW(L70),基本資料填寫!$C:$DU,COLUMN(基本資料填寫!T71),0),"")</f>
        <v/>
      </c>
      <c r="F73" s="114" t="str">
        <f>IFERROR(VLOOKUP(基本資料填寫!$C$1&amp;"-"&amp;ROW(F70),基本資料填寫!$C:$DU,COLUMN(基本資料填寫!N71),0),"")</f>
        <v/>
      </c>
      <c r="G73" s="114" t="str">
        <f>IFERROR(VLOOKUP(基本資料填寫!$C$1&amp;"-"&amp;ROW(C70),基本資料填寫!$C:$DU,COLUMN(基本資料填寫!O71),0),"")</f>
        <v/>
      </c>
      <c r="H73" s="115" t="str">
        <f>IFERROR(VLOOKUP(基本資料填寫!$C$1&amp;"-"&amp;ROW(E70),基本資料填寫!$C:$DU,COLUMN(基本資料填寫!M71),0),"")</f>
        <v/>
      </c>
      <c r="I73" s="114" t="str">
        <f>IFERROR(VLOOKUP(基本資料填寫!$C$1&amp;"-"&amp;ROW(M70),基本資料填寫!$C:$DU,COLUMN(基本資料填寫!U71),0),"")</f>
        <v/>
      </c>
      <c r="M73" s="115" t="str">
        <f>IFERROR(VLOOKUP(基本資料填寫!$C$1&amp;"-"&amp;ROW(AJ70),基本資料填寫!$C:$DU,COLUMN(基本資料填寫!CI71),0),"")</f>
        <v/>
      </c>
      <c r="P73" s="174" t="str">
        <f>IFERROR(VLOOKUP(基本資料填寫!$C$1&amp;"-"&amp;ROW(AB70),基本資料填寫!$C:$DU,COLUMN(基本資料填寫!AJ71),0),"")</f>
        <v/>
      </c>
      <c r="W73" s="115" t="str">
        <f>IFERROR(VLOOKUP(基本資料填寫!$C$1&amp;"-"&amp;ROW(AI70),基本資料填寫!$C:$DU,COLUMN(基本資料填寫!CH71),0),"")</f>
        <v/>
      </c>
    </row>
    <row r="74" spans="2:23" x14ac:dyDescent="0.3">
      <c r="B74" s="114" t="str">
        <f>IF(G74="","",COUNTA($G$4:G74))</f>
        <v/>
      </c>
      <c r="C74" s="115" t="str">
        <f>IFERROR(VLOOKUP(基本資料填寫!$C$1&amp;"-"&amp;ROW(A71),基本資料填寫!$C:$DU,COLUMN(基本資料填寫!CN72),0),"")</f>
        <v/>
      </c>
      <c r="D74" s="115" t="str">
        <f>IFERROR(VLOOKUP(基本資料填寫!$C$1&amp;"-"&amp;ROW(I71),基本資料填寫!$C:$DU,COLUMN(基本資料填寫!Q72),0),"")</f>
        <v/>
      </c>
      <c r="E74" s="115" t="str">
        <f>IFERROR(VLOOKUP(基本資料填寫!$C$1&amp;"-"&amp;ROW(L71),基本資料填寫!$C:$DU,COLUMN(基本資料填寫!T72),0),"")</f>
        <v/>
      </c>
      <c r="F74" s="114" t="str">
        <f>IFERROR(VLOOKUP(基本資料填寫!$C$1&amp;"-"&amp;ROW(F71),基本資料填寫!$C:$DU,COLUMN(基本資料填寫!N72),0),"")</f>
        <v/>
      </c>
      <c r="G74" s="114" t="str">
        <f>IFERROR(VLOOKUP(基本資料填寫!$C$1&amp;"-"&amp;ROW(C71),基本資料填寫!$C:$DU,COLUMN(基本資料填寫!O72),0),"")</f>
        <v/>
      </c>
      <c r="H74" s="115" t="str">
        <f>IFERROR(VLOOKUP(基本資料填寫!$C$1&amp;"-"&amp;ROW(E71),基本資料填寫!$C:$DU,COLUMN(基本資料填寫!M72),0),"")</f>
        <v/>
      </c>
      <c r="I74" s="114" t="str">
        <f>IFERROR(VLOOKUP(基本資料填寫!$C$1&amp;"-"&amp;ROW(M71),基本資料填寫!$C:$DU,COLUMN(基本資料填寫!U72),0),"")</f>
        <v/>
      </c>
      <c r="M74" s="115" t="str">
        <f>IFERROR(VLOOKUP(基本資料填寫!$C$1&amp;"-"&amp;ROW(AJ71),基本資料填寫!$C:$DU,COLUMN(基本資料填寫!CI72),0),"")</f>
        <v/>
      </c>
      <c r="P74" s="174" t="str">
        <f>IFERROR(VLOOKUP(基本資料填寫!$C$1&amp;"-"&amp;ROW(AB71),基本資料填寫!$C:$DU,COLUMN(基本資料填寫!AJ72),0),"")</f>
        <v/>
      </c>
      <c r="W74" s="115" t="str">
        <f>IFERROR(VLOOKUP(基本資料填寫!$C$1&amp;"-"&amp;ROW(AI71),基本資料填寫!$C:$DU,COLUMN(基本資料填寫!CH72),0),"")</f>
        <v/>
      </c>
    </row>
    <row r="75" spans="2:23" x14ac:dyDescent="0.3">
      <c r="B75" s="114" t="str">
        <f>IF(G75="","",COUNTA($G$4:G75))</f>
        <v/>
      </c>
      <c r="C75" s="115" t="str">
        <f>IFERROR(VLOOKUP(基本資料填寫!$C$1&amp;"-"&amp;ROW(A72),基本資料填寫!$C:$DU,COLUMN(基本資料填寫!CN73),0),"")</f>
        <v/>
      </c>
      <c r="D75" s="115" t="str">
        <f>IFERROR(VLOOKUP(基本資料填寫!$C$1&amp;"-"&amp;ROW(I72),基本資料填寫!$C:$DU,COLUMN(基本資料填寫!Q73),0),"")</f>
        <v/>
      </c>
      <c r="E75" s="115" t="str">
        <f>IFERROR(VLOOKUP(基本資料填寫!$C$1&amp;"-"&amp;ROW(L72),基本資料填寫!$C:$DU,COLUMN(基本資料填寫!T73),0),"")</f>
        <v/>
      </c>
      <c r="F75" s="114" t="str">
        <f>IFERROR(VLOOKUP(基本資料填寫!$C$1&amp;"-"&amp;ROW(F72),基本資料填寫!$C:$DU,COLUMN(基本資料填寫!N73),0),"")</f>
        <v/>
      </c>
      <c r="G75" s="114" t="str">
        <f>IFERROR(VLOOKUP(基本資料填寫!$C$1&amp;"-"&amp;ROW(C72),基本資料填寫!$C:$DU,COLUMN(基本資料填寫!O73),0),"")</f>
        <v/>
      </c>
      <c r="H75" s="115" t="str">
        <f>IFERROR(VLOOKUP(基本資料填寫!$C$1&amp;"-"&amp;ROW(E72),基本資料填寫!$C:$DU,COLUMN(基本資料填寫!M73),0),"")</f>
        <v/>
      </c>
      <c r="I75" s="114" t="str">
        <f>IFERROR(VLOOKUP(基本資料填寫!$C$1&amp;"-"&amp;ROW(M72),基本資料填寫!$C:$DU,COLUMN(基本資料填寫!U73),0),"")</f>
        <v/>
      </c>
      <c r="M75" s="115" t="str">
        <f>IFERROR(VLOOKUP(基本資料填寫!$C$1&amp;"-"&amp;ROW(AJ72),基本資料填寫!$C:$DU,COLUMN(基本資料填寫!CI73),0),"")</f>
        <v/>
      </c>
      <c r="P75" s="174" t="str">
        <f>IFERROR(VLOOKUP(基本資料填寫!$C$1&amp;"-"&amp;ROW(AB72),基本資料填寫!$C:$DU,COLUMN(基本資料填寫!AJ73),0),"")</f>
        <v/>
      </c>
      <c r="W75" s="115" t="str">
        <f>IFERROR(VLOOKUP(基本資料填寫!$C$1&amp;"-"&amp;ROW(AI72),基本資料填寫!$C:$DU,COLUMN(基本資料填寫!CH73),0),"")</f>
        <v/>
      </c>
    </row>
    <row r="76" spans="2:23" x14ac:dyDescent="0.3">
      <c r="B76" s="114" t="str">
        <f>IF(G76="","",COUNTA($G$4:G76))</f>
        <v/>
      </c>
      <c r="C76" s="115" t="str">
        <f>IFERROR(VLOOKUP(基本資料填寫!$C$1&amp;"-"&amp;ROW(A73),基本資料填寫!$C:$DU,COLUMN(基本資料填寫!CN74),0),"")</f>
        <v/>
      </c>
      <c r="D76" s="115" t="str">
        <f>IFERROR(VLOOKUP(基本資料填寫!$C$1&amp;"-"&amp;ROW(I73),基本資料填寫!$C:$DU,COLUMN(基本資料填寫!Q74),0),"")</f>
        <v/>
      </c>
      <c r="E76" s="115" t="str">
        <f>IFERROR(VLOOKUP(基本資料填寫!$C$1&amp;"-"&amp;ROW(L73),基本資料填寫!$C:$DU,COLUMN(基本資料填寫!T74),0),"")</f>
        <v/>
      </c>
      <c r="F76" s="114" t="str">
        <f>IFERROR(VLOOKUP(基本資料填寫!$C$1&amp;"-"&amp;ROW(F73),基本資料填寫!$C:$DU,COLUMN(基本資料填寫!N74),0),"")</f>
        <v/>
      </c>
      <c r="G76" s="114" t="str">
        <f>IFERROR(VLOOKUP(基本資料填寫!$C$1&amp;"-"&amp;ROW(C73),基本資料填寫!$C:$DU,COLUMN(基本資料填寫!O74),0),"")</f>
        <v/>
      </c>
      <c r="H76" s="115" t="str">
        <f>IFERROR(VLOOKUP(基本資料填寫!$C$1&amp;"-"&amp;ROW(E73),基本資料填寫!$C:$DU,COLUMN(基本資料填寫!M74),0),"")</f>
        <v/>
      </c>
      <c r="I76" s="114" t="str">
        <f>IFERROR(VLOOKUP(基本資料填寫!$C$1&amp;"-"&amp;ROW(M73),基本資料填寫!$C:$DU,COLUMN(基本資料填寫!U74),0),"")</f>
        <v/>
      </c>
      <c r="M76" s="115" t="str">
        <f>IFERROR(VLOOKUP(基本資料填寫!$C$1&amp;"-"&amp;ROW(AJ73),基本資料填寫!$C:$DU,COLUMN(基本資料填寫!CI74),0),"")</f>
        <v/>
      </c>
      <c r="P76" s="174" t="str">
        <f>IFERROR(VLOOKUP(基本資料填寫!$C$1&amp;"-"&amp;ROW(AB73),基本資料填寫!$C:$DU,COLUMN(基本資料填寫!AJ74),0),"")</f>
        <v/>
      </c>
      <c r="W76" s="115" t="str">
        <f>IFERROR(VLOOKUP(基本資料填寫!$C$1&amp;"-"&amp;ROW(AI73),基本資料填寫!$C:$DU,COLUMN(基本資料填寫!CH74),0),"")</f>
        <v/>
      </c>
    </row>
    <row r="77" spans="2:23" x14ac:dyDescent="0.3">
      <c r="B77" s="114" t="str">
        <f>IF(G77="","",COUNTA($G$4:G77))</f>
        <v/>
      </c>
      <c r="C77" s="115" t="str">
        <f>IFERROR(VLOOKUP(基本資料填寫!$C$1&amp;"-"&amp;ROW(A74),基本資料填寫!$C:$DU,COLUMN(基本資料填寫!CN75),0),"")</f>
        <v/>
      </c>
      <c r="D77" s="115" t="str">
        <f>IFERROR(VLOOKUP(基本資料填寫!$C$1&amp;"-"&amp;ROW(I74),基本資料填寫!$C:$DU,COLUMN(基本資料填寫!Q75),0),"")</f>
        <v/>
      </c>
      <c r="E77" s="115" t="str">
        <f>IFERROR(VLOOKUP(基本資料填寫!$C$1&amp;"-"&amp;ROW(L74),基本資料填寫!$C:$DU,COLUMN(基本資料填寫!T75),0),"")</f>
        <v/>
      </c>
      <c r="F77" s="114" t="str">
        <f>IFERROR(VLOOKUP(基本資料填寫!$C$1&amp;"-"&amp;ROW(F74),基本資料填寫!$C:$DU,COLUMN(基本資料填寫!N75),0),"")</f>
        <v/>
      </c>
      <c r="G77" s="114" t="str">
        <f>IFERROR(VLOOKUP(基本資料填寫!$C$1&amp;"-"&amp;ROW(C74),基本資料填寫!$C:$DU,COLUMN(基本資料填寫!O75),0),"")</f>
        <v/>
      </c>
      <c r="H77" s="115" t="str">
        <f>IFERROR(VLOOKUP(基本資料填寫!$C$1&amp;"-"&amp;ROW(E74),基本資料填寫!$C:$DU,COLUMN(基本資料填寫!M75),0),"")</f>
        <v/>
      </c>
      <c r="I77" s="114" t="str">
        <f>IFERROR(VLOOKUP(基本資料填寫!$C$1&amp;"-"&amp;ROW(M74),基本資料填寫!$C:$DU,COLUMN(基本資料填寫!U75),0),"")</f>
        <v/>
      </c>
      <c r="M77" s="115" t="str">
        <f>IFERROR(VLOOKUP(基本資料填寫!$C$1&amp;"-"&amp;ROW(AJ74),基本資料填寫!$C:$DU,COLUMN(基本資料填寫!CI75),0),"")</f>
        <v/>
      </c>
      <c r="P77" s="174" t="str">
        <f>IFERROR(VLOOKUP(基本資料填寫!$C$1&amp;"-"&amp;ROW(AB74),基本資料填寫!$C:$DU,COLUMN(基本資料填寫!AJ75),0),"")</f>
        <v/>
      </c>
      <c r="W77" s="115" t="str">
        <f>IFERROR(VLOOKUP(基本資料填寫!$C$1&amp;"-"&amp;ROW(AI74),基本資料填寫!$C:$DU,COLUMN(基本資料填寫!CH75),0),"")</f>
        <v/>
      </c>
    </row>
    <row r="78" spans="2:23" x14ac:dyDescent="0.3">
      <c r="B78" s="114" t="str">
        <f>IF(G78="","",COUNTA($G$4:G78))</f>
        <v/>
      </c>
      <c r="C78" s="115" t="str">
        <f>IFERROR(VLOOKUP(基本資料填寫!$C$1&amp;"-"&amp;ROW(A75),基本資料填寫!$C:$DU,COLUMN(基本資料填寫!CN76),0),"")</f>
        <v/>
      </c>
      <c r="D78" s="115" t="str">
        <f>IFERROR(VLOOKUP(基本資料填寫!$C$1&amp;"-"&amp;ROW(I75),基本資料填寫!$C:$DU,COLUMN(基本資料填寫!Q76),0),"")</f>
        <v/>
      </c>
      <c r="E78" s="115" t="str">
        <f>IFERROR(VLOOKUP(基本資料填寫!$C$1&amp;"-"&amp;ROW(L75),基本資料填寫!$C:$DU,COLUMN(基本資料填寫!T76),0),"")</f>
        <v/>
      </c>
      <c r="F78" s="114" t="str">
        <f>IFERROR(VLOOKUP(基本資料填寫!$C$1&amp;"-"&amp;ROW(F75),基本資料填寫!$C:$DU,COLUMN(基本資料填寫!N76),0),"")</f>
        <v/>
      </c>
      <c r="G78" s="114" t="str">
        <f>IFERROR(VLOOKUP(基本資料填寫!$C$1&amp;"-"&amp;ROW(C75),基本資料填寫!$C:$DU,COLUMN(基本資料填寫!O76),0),"")</f>
        <v/>
      </c>
      <c r="H78" s="115" t="str">
        <f>IFERROR(VLOOKUP(基本資料填寫!$C$1&amp;"-"&amp;ROW(E75),基本資料填寫!$C:$DU,COLUMN(基本資料填寫!M76),0),"")</f>
        <v/>
      </c>
      <c r="I78" s="114" t="str">
        <f>IFERROR(VLOOKUP(基本資料填寫!$C$1&amp;"-"&amp;ROW(M75),基本資料填寫!$C:$DU,COLUMN(基本資料填寫!U76),0),"")</f>
        <v/>
      </c>
      <c r="M78" s="115" t="str">
        <f>IFERROR(VLOOKUP(基本資料填寫!$C$1&amp;"-"&amp;ROW(AJ75),基本資料填寫!$C:$DU,COLUMN(基本資料填寫!CI76),0),"")</f>
        <v/>
      </c>
      <c r="P78" s="174" t="str">
        <f>IFERROR(VLOOKUP(基本資料填寫!$C$1&amp;"-"&amp;ROW(AB75),基本資料填寫!$C:$DU,COLUMN(基本資料填寫!AJ76),0),"")</f>
        <v/>
      </c>
      <c r="W78" s="115" t="str">
        <f>IFERROR(VLOOKUP(基本資料填寫!$C$1&amp;"-"&amp;ROW(AI75),基本資料填寫!$C:$DU,COLUMN(基本資料填寫!CH76),0),"")</f>
        <v/>
      </c>
    </row>
    <row r="79" spans="2:23" x14ac:dyDescent="0.3">
      <c r="B79" s="114" t="str">
        <f>IF(G79="","",COUNTA($G$4:G79))</f>
        <v/>
      </c>
      <c r="C79" s="115" t="str">
        <f>IFERROR(VLOOKUP(基本資料填寫!$C$1&amp;"-"&amp;ROW(A76),基本資料填寫!$C:$DU,COLUMN(基本資料填寫!CN77),0),"")</f>
        <v/>
      </c>
      <c r="D79" s="115" t="str">
        <f>IFERROR(VLOOKUP(基本資料填寫!$C$1&amp;"-"&amp;ROW(I76),基本資料填寫!$C:$DU,COLUMN(基本資料填寫!Q77),0),"")</f>
        <v/>
      </c>
      <c r="E79" s="115" t="str">
        <f>IFERROR(VLOOKUP(基本資料填寫!$C$1&amp;"-"&amp;ROW(L76),基本資料填寫!$C:$DU,COLUMN(基本資料填寫!T77),0),"")</f>
        <v/>
      </c>
      <c r="F79" s="114" t="str">
        <f>IFERROR(VLOOKUP(基本資料填寫!$C$1&amp;"-"&amp;ROW(F76),基本資料填寫!$C:$DU,COLUMN(基本資料填寫!N77),0),"")</f>
        <v/>
      </c>
      <c r="G79" s="114" t="str">
        <f>IFERROR(VLOOKUP(基本資料填寫!$C$1&amp;"-"&amp;ROW(C76),基本資料填寫!$C:$DU,COLUMN(基本資料填寫!O77),0),"")</f>
        <v/>
      </c>
      <c r="H79" s="115" t="str">
        <f>IFERROR(VLOOKUP(基本資料填寫!$C$1&amp;"-"&amp;ROW(E76),基本資料填寫!$C:$DU,COLUMN(基本資料填寫!M77),0),"")</f>
        <v/>
      </c>
      <c r="I79" s="114" t="str">
        <f>IFERROR(VLOOKUP(基本資料填寫!$C$1&amp;"-"&amp;ROW(M76),基本資料填寫!$C:$DU,COLUMN(基本資料填寫!U77),0),"")</f>
        <v/>
      </c>
      <c r="M79" s="115" t="str">
        <f>IFERROR(VLOOKUP(基本資料填寫!$C$1&amp;"-"&amp;ROW(AJ76),基本資料填寫!$C:$DU,COLUMN(基本資料填寫!CI77),0),"")</f>
        <v/>
      </c>
      <c r="P79" s="174" t="str">
        <f>IFERROR(VLOOKUP(基本資料填寫!$C$1&amp;"-"&amp;ROW(AB76),基本資料填寫!$C:$DU,COLUMN(基本資料填寫!AJ77),0),"")</f>
        <v/>
      </c>
      <c r="W79" s="115" t="str">
        <f>IFERROR(VLOOKUP(基本資料填寫!$C$1&amp;"-"&amp;ROW(AI76),基本資料填寫!$C:$DU,COLUMN(基本資料填寫!CH77),0),"")</f>
        <v/>
      </c>
    </row>
    <row r="80" spans="2:23" x14ac:dyDescent="0.3">
      <c r="B80" s="114" t="str">
        <f>IF(G80="","",COUNTA($G$4:G80))</f>
        <v/>
      </c>
      <c r="C80" s="115" t="str">
        <f>IFERROR(VLOOKUP(基本資料填寫!$C$1&amp;"-"&amp;ROW(A77),基本資料填寫!$C:$DU,COLUMN(基本資料填寫!CN78),0),"")</f>
        <v/>
      </c>
      <c r="D80" s="115" t="str">
        <f>IFERROR(VLOOKUP(基本資料填寫!$C$1&amp;"-"&amp;ROW(I77),基本資料填寫!$C:$DU,COLUMN(基本資料填寫!Q78),0),"")</f>
        <v/>
      </c>
      <c r="E80" s="115" t="str">
        <f>IFERROR(VLOOKUP(基本資料填寫!$C$1&amp;"-"&amp;ROW(L77),基本資料填寫!$C:$DU,COLUMN(基本資料填寫!T78),0),"")</f>
        <v/>
      </c>
      <c r="F80" s="114" t="str">
        <f>IFERROR(VLOOKUP(基本資料填寫!$C$1&amp;"-"&amp;ROW(F77),基本資料填寫!$C:$DU,COLUMN(基本資料填寫!N78),0),"")</f>
        <v/>
      </c>
      <c r="G80" s="114" t="str">
        <f>IFERROR(VLOOKUP(基本資料填寫!$C$1&amp;"-"&amp;ROW(C77),基本資料填寫!$C:$DU,COLUMN(基本資料填寫!O78),0),"")</f>
        <v/>
      </c>
      <c r="H80" s="115" t="str">
        <f>IFERROR(VLOOKUP(基本資料填寫!$C$1&amp;"-"&amp;ROW(E77),基本資料填寫!$C:$DU,COLUMN(基本資料填寫!M78),0),"")</f>
        <v/>
      </c>
      <c r="I80" s="114" t="str">
        <f>IFERROR(VLOOKUP(基本資料填寫!$C$1&amp;"-"&amp;ROW(M77),基本資料填寫!$C:$DU,COLUMN(基本資料填寫!U78),0),"")</f>
        <v/>
      </c>
      <c r="M80" s="115" t="str">
        <f>IFERROR(VLOOKUP(基本資料填寫!$C$1&amp;"-"&amp;ROW(AJ77),基本資料填寫!$C:$DU,COLUMN(基本資料填寫!CI78),0),"")</f>
        <v/>
      </c>
      <c r="P80" s="174" t="str">
        <f>IFERROR(VLOOKUP(基本資料填寫!$C$1&amp;"-"&amp;ROW(AB77),基本資料填寫!$C:$DU,COLUMN(基本資料填寫!AJ78),0),"")</f>
        <v/>
      </c>
      <c r="W80" s="115" t="str">
        <f>IFERROR(VLOOKUP(基本資料填寫!$C$1&amp;"-"&amp;ROW(AI77),基本資料填寫!$C:$DU,COLUMN(基本資料填寫!CH78),0),"")</f>
        <v/>
      </c>
    </row>
    <row r="81" spans="2:23" x14ac:dyDescent="0.3">
      <c r="B81" s="114" t="str">
        <f>IF(G81="","",COUNTA($G$4:G81))</f>
        <v/>
      </c>
      <c r="C81" s="115" t="str">
        <f>IFERROR(VLOOKUP(基本資料填寫!$C$1&amp;"-"&amp;ROW(A78),基本資料填寫!$C:$DU,COLUMN(基本資料填寫!CN79),0),"")</f>
        <v/>
      </c>
      <c r="D81" s="115" t="str">
        <f>IFERROR(VLOOKUP(基本資料填寫!$C$1&amp;"-"&amp;ROW(I78),基本資料填寫!$C:$DU,COLUMN(基本資料填寫!Q79),0),"")</f>
        <v/>
      </c>
      <c r="E81" s="115" t="str">
        <f>IFERROR(VLOOKUP(基本資料填寫!$C$1&amp;"-"&amp;ROW(L78),基本資料填寫!$C:$DU,COLUMN(基本資料填寫!T79),0),"")</f>
        <v/>
      </c>
      <c r="F81" s="114" t="str">
        <f>IFERROR(VLOOKUP(基本資料填寫!$C$1&amp;"-"&amp;ROW(F78),基本資料填寫!$C:$DU,COLUMN(基本資料填寫!N79),0),"")</f>
        <v/>
      </c>
      <c r="G81" s="114" t="str">
        <f>IFERROR(VLOOKUP(基本資料填寫!$C$1&amp;"-"&amp;ROW(C78),基本資料填寫!$C:$DU,COLUMN(基本資料填寫!O79),0),"")</f>
        <v/>
      </c>
      <c r="H81" s="115" t="str">
        <f>IFERROR(VLOOKUP(基本資料填寫!$C$1&amp;"-"&amp;ROW(E78),基本資料填寫!$C:$DU,COLUMN(基本資料填寫!M79),0),"")</f>
        <v/>
      </c>
      <c r="I81" s="114" t="str">
        <f>IFERROR(VLOOKUP(基本資料填寫!$C$1&amp;"-"&amp;ROW(M78),基本資料填寫!$C:$DU,COLUMN(基本資料填寫!U79),0),"")</f>
        <v/>
      </c>
      <c r="M81" s="115" t="str">
        <f>IFERROR(VLOOKUP(基本資料填寫!$C$1&amp;"-"&amp;ROW(AJ78),基本資料填寫!$C:$DU,COLUMN(基本資料填寫!CI79),0),"")</f>
        <v/>
      </c>
      <c r="P81" s="174" t="str">
        <f>IFERROR(VLOOKUP(基本資料填寫!$C$1&amp;"-"&amp;ROW(AB78),基本資料填寫!$C:$DU,COLUMN(基本資料填寫!AJ79),0),"")</f>
        <v/>
      </c>
      <c r="W81" s="115" t="str">
        <f>IFERROR(VLOOKUP(基本資料填寫!$C$1&amp;"-"&amp;ROW(AI78),基本資料填寫!$C:$DU,COLUMN(基本資料填寫!CH79),0),"")</f>
        <v/>
      </c>
    </row>
    <row r="82" spans="2:23" x14ac:dyDescent="0.3">
      <c r="B82" s="114" t="str">
        <f>IF(G82="","",COUNTA($G$4:G82))</f>
        <v/>
      </c>
      <c r="C82" s="115" t="str">
        <f>IFERROR(VLOOKUP(基本資料填寫!$C$1&amp;"-"&amp;ROW(A79),基本資料填寫!$C:$DU,COLUMN(基本資料填寫!CN80),0),"")</f>
        <v/>
      </c>
      <c r="D82" s="115" t="str">
        <f>IFERROR(VLOOKUP(基本資料填寫!$C$1&amp;"-"&amp;ROW(I79),基本資料填寫!$C:$DU,COLUMN(基本資料填寫!Q80),0),"")</f>
        <v/>
      </c>
      <c r="E82" s="115" t="str">
        <f>IFERROR(VLOOKUP(基本資料填寫!$C$1&amp;"-"&amp;ROW(L79),基本資料填寫!$C:$DU,COLUMN(基本資料填寫!T80),0),"")</f>
        <v/>
      </c>
      <c r="F82" s="114" t="str">
        <f>IFERROR(VLOOKUP(基本資料填寫!$C$1&amp;"-"&amp;ROW(F79),基本資料填寫!$C:$DU,COLUMN(基本資料填寫!N80),0),"")</f>
        <v/>
      </c>
      <c r="G82" s="114" t="str">
        <f>IFERROR(VLOOKUP(基本資料填寫!$C$1&amp;"-"&amp;ROW(C79),基本資料填寫!$C:$DU,COLUMN(基本資料填寫!O80),0),"")</f>
        <v/>
      </c>
      <c r="H82" s="115" t="str">
        <f>IFERROR(VLOOKUP(基本資料填寫!$C$1&amp;"-"&amp;ROW(E79),基本資料填寫!$C:$DU,COLUMN(基本資料填寫!M80),0),"")</f>
        <v/>
      </c>
      <c r="I82" s="114" t="str">
        <f>IFERROR(VLOOKUP(基本資料填寫!$C$1&amp;"-"&amp;ROW(M79),基本資料填寫!$C:$DU,COLUMN(基本資料填寫!U80),0),"")</f>
        <v/>
      </c>
      <c r="M82" s="115" t="str">
        <f>IFERROR(VLOOKUP(基本資料填寫!$C$1&amp;"-"&amp;ROW(AJ79),基本資料填寫!$C:$DU,COLUMN(基本資料填寫!CI80),0),"")</f>
        <v/>
      </c>
      <c r="P82" s="174" t="str">
        <f>IFERROR(VLOOKUP(基本資料填寫!$C$1&amp;"-"&amp;ROW(AB79),基本資料填寫!$C:$DU,COLUMN(基本資料填寫!AJ80),0),"")</f>
        <v/>
      </c>
      <c r="W82" s="115" t="str">
        <f>IFERROR(VLOOKUP(基本資料填寫!$C$1&amp;"-"&amp;ROW(AI79),基本資料填寫!$C:$DU,COLUMN(基本資料填寫!CH80),0),"")</f>
        <v/>
      </c>
    </row>
    <row r="83" spans="2:23" x14ac:dyDescent="0.3">
      <c r="B83" s="114" t="str">
        <f>IF(G83="","",COUNTA($G$4:G83))</f>
        <v/>
      </c>
      <c r="C83" s="115" t="str">
        <f>IFERROR(VLOOKUP(基本資料填寫!$C$1&amp;"-"&amp;ROW(A80),基本資料填寫!$C:$DU,COLUMN(基本資料填寫!CN81),0),"")</f>
        <v/>
      </c>
      <c r="D83" s="115" t="str">
        <f>IFERROR(VLOOKUP(基本資料填寫!$C$1&amp;"-"&amp;ROW(I80),基本資料填寫!$C:$DU,COLUMN(基本資料填寫!Q81),0),"")</f>
        <v/>
      </c>
      <c r="E83" s="115" t="str">
        <f>IFERROR(VLOOKUP(基本資料填寫!$C$1&amp;"-"&amp;ROW(L80),基本資料填寫!$C:$DU,COLUMN(基本資料填寫!T81),0),"")</f>
        <v/>
      </c>
      <c r="F83" s="114" t="str">
        <f>IFERROR(VLOOKUP(基本資料填寫!$C$1&amp;"-"&amp;ROW(F80),基本資料填寫!$C:$DU,COLUMN(基本資料填寫!N81),0),"")</f>
        <v/>
      </c>
      <c r="G83" s="114" t="str">
        <f>IFERROR(VLOOKUP(基本資料填寫!$C$1&amp;"-"&amp;ROW(C80),基本資料填寫!$C:$DU,COLUMN(基本資料填寫!O81),0),"")</f>
        <v/>
      </c>
      <c r="H83" s="115" t="str">
        <f>IFERROR(VLOOKUP(基本資料填寫!$C$1&amp;"-"&amp;ROW(E80),基本資料填寫!$C:$DU,COLUMN(基本資料填寫!M81),0),"")</f>
        <v/>
      </c>
      <c r="I83" s="114" t="str">
        <f>IFERROR(VLOOKUP(基本資料填寫!$C$1&amp;"-"&amp;ROW(M80),基本資料填寫!$C:$DU,COLUMN(基本資料填寫!U81),0),"")</f>
        <v/>
      </c>
      <c r="M83" s="115" t="str">
        <f>IFERROR(VLOOKUP(基本資料填寫!$C$1&amp;"-"&amp;ROW(AJ80),基本資料填寫!$C:$DU,COLUMN(基本資料填寫!CI81),0),"")</f>
        <v/>
      </c>
      <c r="P83" s="174" t="str">
        <f>IFERROR(VLOOKUP(基本資料填寫!$C$1&amp;"-"&amp;ROW(AB80),基本資料填寫!$C:$DU,COLUMN(基本資料填寫!AJ81),0),"")</f>
        <v/>
      </c>
      <c r="W83" s="115" t="str">
        <f>IFERROR(VLOOKUP(基本資料填寫!$C$1&amp;"-"&amp;ROW(AI80),基本資料填寫!$C:$DU,COLUMN(基本資料填寫!CH81),0),"")</f>
        <v/>
      </c>
    </row>
    <row r="84" spans="2:23" x14ac:dyDescent="0.3">
      <c r="B84" s="114" t="str">
        <f>IF(G84="","",COUNTA($G$4:G84))</f>
        <v/>
      </c>
      <c r="C84" s="115" t="str">
        <f>IFERROR(VLOOKUP(基本資料填寫!$C$1&amp;"-"&amp;ROW(A81),基本資料填寫!$C:$DU,COLUMN(基本資料填寫!CN82),0),"")</f>
        <v/>
      </c>
      <c r="D84" s="115" t="str">
        <f>IFERROR(VLOOKUP(基本資料填寫!$C$1&amp;"-"&amp;ROW(I81),基本資料填寫!$C:$DU,COLUMN(基本資料填寫!Q82),0),"")</f>
        <v/>
      </c>
      <c r="E84" s="115" t="str">
        <f>IFERROR(VLOOKUP(基本資料填寫!$C$1&amp;"-"&amp;ROW(L81),基本資料填寫!$C:$DU,COLUMN(基本資料填寫!T82),0),"")</f>
        <v/>
      </c>
      <c r="F84" s="114" t="str">
        <f>IFERROR(VLOOKUP(基本資料填寫!$C$1&amp;"-"&amp;ROW(F81),基本資料填寫!$C:$DU,COLUMN(基本資料填寫!N82),0),"")</f>
        <v/>
      </c>
      <c r="G84" s="114" t="str">
        <f>IFERROR(VLOOKUP(基本資料填寫!$C$1&amp;"-"&amp;ROW(C81),基本資料填寫!$C:$DU,COLUMN(基本資料填寫!O82),0),"")</f>
        <v/>
      </c>
      <c r="H84" s="115" t="str">
        <f>IFERROR(VLOOKUP(基本資料填寫!$C$1&amp;"-"&amp;ROW(E81),基本資料填寫!$C:$DU,COLUMN(基本資料填寫!M82),0),"")</f>
        <v/>
      </c>
      <c r="I84" s="114" t="str">
        <f>IFERROR(VLOOKUP(基本資料填寫!$C$1&amp;"-"&amp;ROW(M81),基本資料填寫!$C:$DU,COLUMN(基本資料填寫!U82),0),"")</f>
        <v/>
      </c>
      <c r="M84" s="115" t="str">
        <f>IFERROR(VLOOKUP(基本資料填寫!$C$1&amp;"-"&amp;ROW(AJ81),基本資料填寫!$C:$DU,COLUMN(基本資料填寫!CI82),0),"")</f>
        <v/>
      </c>
      <c r="P84" s="174" t="str">
        <f>IFERROR(VLOOKUP(基本資料填寫!$C$1&amp;"-"&amp;ROW(AB81),基本資料填寫!$C:$DU,COLUMN(基本資料填寫!AJ82),0),"")</f>
        <v/>
      </c>
      <c r="W84" s="115" t="str">
        <f>IFERROR(VLOOKUP(基本資料填寫!$C$1&amp;"-"&amp;ROW(AI81),基本資料填寫!$C:$DU,COLUMN(基本資料填寫!CH82),0),"")</f>
        <v/>
      </c>
    </row>
    <row r="85" spans="2:23" x14ac:dyDescent="0.3">
      <c r="B85" s="114" t="str">
        <f>IF(G85="","",COUNTA($G$4:G85))</f>
        <v/>
      </c>
      <c r="C85" s="115" t="str">
        <f>IFERROR(VLOOKUP(基本資料填寫!$C$1&amp;"-"&amp;ROW(A82),基本資料填寫!$C:$DU,COLUMN(基本資料填寫!CN83),0),"")</f>
        <v/>
      </c>
      <c r="D85" s="115" t="str">
        <f>IFERROR(VLOOKUP(基本資料填寫!$C$1&amp;"-"&amp;ROW(I82),基本資料填寫!$C:$DU,COLUMN(基本資料填寫!Q83),0),"")</f>
        <v/>
      </c>
      <c r="E85" s="115" t="str">
        <f>IFERROR(VLOOKUP(基本資料填寫!$C$1&amp;"-"&amp;ROW(L82),基本資料填寫!$C:$DU,COLUMN(基本資料填寫!T83),0),"")</f>
        <v/>
      </c>
      <c r="F85" s="114" t="str">
        <f>IFERROR(VLOOKUP(基本資料填寫!$C$1&amp;"-"&amp;ROW(F82),基本資料填寫!$C:$DU,COLUMN(基本資料填寫!N83),0),"")</f>
        <v/>
      </c>
      <c r="G85" s="114" t="str">
        <f>IFERROR(VLOOKUP(基本資料填寫!$C$1&amp;"-"&amp;ROW(C82),基本資料填寫!$C:$DU,COLUMN(基本資料填寫!O83),0),"")</f>
        <v/>
      </c>
      <c r="H85" s="115" t="str">
        <f>IFERROR(VLOOKUP(基本資料填寫!$C$1&amp;"-"&amp;ROW(E82),基本資料填寫!$C:$DU,COLUMN(基本資料填寫!M83),0),"")</f>
        <v/>
      </c>
      <c r="I85" s="114" t="str">
        <f>IFERROR(VLOOKUP(基本資料填寫!$C$1&amp;"-"&amp;ROW(M82),基本資料填寫!$C:$DU,COLUMN(基本資料填寫!U83),0),"")</f>
        <v/>
      </c>
      <c r="M85" s="115" t="str">
        <f>IFERROR(VLOOKUP(基本資料填寫!$C$1&amp;"-"&amp;ROW(AJ82),基本資料填寫!$C:$DU,COLUMN(基本資料填寫!CI83),0),"")</f>
        <v/>
      </c>
      <c r="P85" s="174" t="str">
        <f>IFERROR(VLOOKUP(基本資料填寫!$C$1&amp;"-"&amp;ROW(AB82),基本資料填寫!$C:$DU,COLUMN(基本資料填寫!AJ83),0),"")</f>
        <v/>
      </c>
      <c r="W85" s="115" t="str">
        <f>IFERROR(VLOOKUP(基本資料填寫!$C$1&amp;"-"&amp;ROW(AI82),基本資料填寫!$C:$DU,COLUMN(基本資料填寫!CH83),0),"")</f>
        <v/>
      </c>
    </row>
    <row r="86" spans="2:23" x14ac:dyDescent="0.3">
      <c r="B86" s="114" t="str">
        <f>IF(G86="","",COUNTA($G$4:G86))</f>
        <v/>
      </c>
      <c r="C86" s="115" t="str">
        <f>IFERROR(VLOOKUP(基本資料填寫!$C$1&amp;"-"&amp;ROW(A83),基本資料填寫!$C:$DU,COLUMN(基本資料填寫!CN84),0),"")</f>
        <v/>
      </c>
      <c r="D86" s="115" t="str">
        <f>IFERROR(VLOOKUP(基本資料填寫!$C$1&amp;"-"&amp;ROW(I83),基本資料填寫!$C:$DU,COLUMN(基本資料填寫!Q84),0),"")</f>
        <v/>
      </c>
      <c r="E86" s="115" t="str">
        <f>IFERROR(VLOOKUP(基本資料填寫!$C$1&amp;"-"&amp;ROW(L83),基本資料填寫!$C:$DU,COLUMN(基本資料填寫!T84),0),"")</f>
        <v/>
      </c>
      <c r="F86" s="114" t="str">
        <f>IFERROR(VLOOKUP(基本資料填寫!$C$1&amp;"-"&amp;ROW(F83),基本資料填寫!$C:$DU,COLUMN(基本資料填寫!N84),0),"")</f>
        <v/>
      </c>
      <c r="G86" s="114" t="str">
        <f>IFERROR(VLOOKUP(基本資料填寫!$C$1&amp;"-"&amp;ROW(C83),基本資料填寫!$C:$DU,COLUMN(基本資料填寫!O84),0),"")</f>
        <v/>
      </c>
      <c r="H86" s="115" t="str">
        <f>IFERROR(VLOOKUP(基本資料填寫!$C$1&amp;"-"&amp;ROW(E83),基本資料填寫!$C:$DU,COLUMN(基本資料填寫!M84),0),"")</f>
        <v/>
      </c>
      <c r="I86" s="114" t="str">
        <f>IFERROR(VLOOKUP(基本資料填寫!$C$1&amp;"-"&amp;ROW(M83),基本資料填寫!$C:$DU,COLUMN(基本資料填寫!U84),0),"")</f>
        <v/>
      </c>
      <c r="M86" s="115" t="str">
        <f>IFERROR(VLOOKUP(基本資料填寫!$C$1&amp;"-"&amp;ROW(AJ83),基本資料填寫!$C:$DU,COLUMN(基本資料填寫!CI84),0),"")</f>
        <v/>
      </c>
      <c r="P86" s="174" t="str">
        <f>IFERROR(VLOOKUP(基本資料填寫!$C$1&amp;"-"&amp;ROW(AB83),基本資料填寫!$C:$DU,COLUMN(基本資料填寫!AJ84),0),"")</f>
        <v/>
      </c>
      <c r="W86" s="115" t="str">
        <f>IFERROR(VLOOKUP(基本資料填寫!$C$1&amp;"-"&amp;ROW(AI83),基本資料填寫!$C:$DU,COLUMN(基本資料填寫!CH84),0),"")</f>
        <v/>
      </c>
    </row>
    <row r="87" spans="2:23" x14ac:dyDescent="0.3">
      <c r="B87" s="114" t="str">
        <f>IF(G87="","",COUNTA($G$4:G87))</f>
        <v/>
      </c>
      <c r="C87" s="115" t="str">
        <f>IFERROR(VLOOKUP(基本資料填寫!$C$1&amp;"-"&amp;ROW(A84),基本資料填寫!$C:$DU,COLUMN(基本資料填寫!CN85),0),"")</f>
        <v/>
      </c>
      <c r="D87" s="115" t="str">
        <f>IFERROR(VLOOKUP(基本資料填寫!$C$1&amp;"-"&amp;ROW(I84),基本資料填寫!$C:$DU,COLUMN(基本資料填寫!Q85),0),"")</f>
        <v/>
      </c>
      <c r="E87" s="115" t="str">
        <f>IFERROR(VLOOKUP(基本資料填寫!$C$1&amp;"-"&amp;ROW(L84),基本資料填寫!$C:$DU,COLUMN(基本資料填寫!T85),0),"")</f>
        <v/>
      </c>
      <c r="F87" s="114" t="str">
        <f>IFERROR(VLOOKUP(基本資料填寫!$C$1&amp;"-"&amp;ROW(F84),基本資料填寫!$C:$DU,COLUMN(基本資料填寫!N85),0),"")</f>
        <v/>
      </c>
      <c r="G87" s="114" t="str">
        <f>IFERROR(VLOOKUP(基本資料填寫!$C$1&amp;"-"&amp;ROW(C84),基本資料填寫!$C:$DU,COLUMN(基本資料填寫!O85),0),"")</f>
        <v/>
      </c>
      <c r="H87" s="115" t="str">
        <f>IFERROR(VLOOKUP(基本資料填寫!$C$1&amp;"-"&amp;ROW(E84),基本資料填寫!$C:$DU,COLUMN(基本資料填寫!M85),0),"")</f>
        <v/>
      </c>
      <c r="I87" s="114" t="str">
        <f>IFERROR(VLOOKUP(基本資料填寫!$C$1&amp;"-"&amp;ROW(M84),基本資料填寫!$C:$DU,COLUMN(基本資料填寫!U85),0),"")</f>
        <v/>
      </c>
      <c r="M87" s="115" t="str">
        <f>IFERROR(VLOOKUP(基本資料填寫!$C$1&amp;"-"&amp;ROW(AJ84),基本資料填寫!$C:$DU,COLUMN(基本資料填寫!CI85),0),"")</f>
        <v/>
      </c>
      <c r="P87" s="174" t="str">
        <f>IFERROR(VLOOKUP(基本資料填寫!$C$1&amp;"-"&amp;ROW(AB84),基本資料填寫!$C:$DU,COLUMN(基本資料填寫!AJ85),0),"")</f>
        <v/>
      </c>
      <c r="W87" s="115" t="str">
        <f>IFERROR(VLOOKUP(基本資料填寫!$C$1&amp;"-"&amp;ROW(AI84),基本資料填寫!$C:$DU,COLUMN(基本資料填寫!CH85),0),"")</f>
        <v/>
      </c>
    </row>
    <row r="88" spans="2:23" x14ac:dyDescent="0.3">
      <c r="B88" s="114" t="str">
        <f>IF(G88="","",COUNTA($G$4:G88))</f>
        <v/>
      </c>
      <c r="C88" s="115" t="str">
        <f>IFERROR(VLOOKUP(基本資料填寫!$C$1&amp;"-"&amp;ROW(A85),基本資料填寫!$C:$DU,COLUMN(基本資料填寫!CN86),0),"")</f>
        <v/>
      </c>
      <c r="D88" s="115" t="str">
        <f>IFERROR(VLOOKUP(基本資料填寫!$C$1&amp;"-"&amp;ROW(I85),基本資料填寫!$C:$DU,COLUMN(基本資料填寫!Q86),0),"")</f>
        <v/>
      </c>
      <c r="E88" s="115" t="str">
        <f>IFERROR(VLOOKUP(基本資料填寫!$C$1&amp;"-"&amp;ROW(L85),基本資料填寫!$C:$DU,COLUMN(基本資料填寫!T86),0),"")</f>
        <v/>
      </c>
      <c r="F88" s="114" t="str">
        <f>IFERROR(VLOOKUP(基本資料填寫!$C$1&amp;"-"&amp;ROW(F85),基本資料填寫!$C:$DU,COLUMN(基本資料填寫!N86),0),"")</f>
        <v/>
      </c>
      <c r="G88" s="114" t="str">
        <f>IFERROR(VLOOKUP(基本資料填寫!$C$1&amp;"-"&amp;ROW(C85),基本資料填寫!$C:$DU,COLUMN(基本資料填寫!O86),0),"")</f>
        <v/>
      </c>
      <c r="H88" s="115" t="str">
        <f>IFERROR(VLOOKUP(基本資料填寫!$C$1&amp;"-"&amp;ROW(E85),基本資料填寫!$C:$DU,COLUMN(基本資料填寫!M86),0),"")</f>
        <v/>
      </c>
      <c r="I88" s="114" t="str">
        <f>IFERROR(VLOOKUP(基本資料填寫!$C$1&amp;"-"&amp;ROW(M85),基本資料填寫!$C:$DU,COLUMN(基本資料填寫!U86),0),"")</f>
        <v/>
      </c>
      <c r="M88" s="115" t="str">
        <f>IFERROR(VLOOKUP(基本資料填寫!$C$1&amp;"-"&amp;ROW(AJ85),基本資料填寫!$C:$DU,COLUMN(基本資料填寫!CI86),0),"")</f>
        <v/>
      </c>
      <c r="P88" s="174" t="str">
        <f>IFERROR(VLOOKUP(基本資料填寫!$C$1&amp;"-"&amp;ROW(AB85),基本資料填寫!$C:$DU,COLUMN(基本資料填寫!AJ86),0),"")</f>
        <v/>
      </c>
      <c r="W88" s="115" t="str">
        <f>IFERROR(VLOOKUP(基本資料填寫!$C$1&amp;"-"&amp;ROW(AI85),基本資料填寫!$C:$DU,COLUMN(基本資料填寫!CH86),0),"")</f>
        <v/>
      </c>
    </row>
    <row r="89" spans="2:23" x14ac:dyDescent="0.3">
      <c r="B89" s="114" t="str">
        <f>IF(G89="","",COUNTA($G$4:G89))</f>
        <v/>
      </c>
      <c r="C89" s="115" t="str">
        <f>IFERROR(VLOOKUP(基本資料填寫!$C$1&amp;"-"&amp;ROW(A86),基本資料填寫!$C:$DU,COLUMN(基本資料填寫!CN87),0),"")</f>
        <v/>
      </c>
      <c r="D89" s="115" t="str">
        <f>IFERROR(VLOOKUP(基本資料填寫!$C$1&amp;"-"&amp;ROW(I86),基本資料填寫!$C:$DU,COLUMN(基本資料填寫!Q87),0),"")</f>
        <v/>
      </c>
      <c r="E89" s="115" t="str">
        <f>IFERROR(VLOOKUP(基本資料填寫!$C$1&amp;"-"&amp;ROW(L86),基本資料填寫!$C:$DU,COLUMN(基本資料填寫!T87),0),"")</f>
        <v/>
      </c>
      <c r="F89" s="114" t="str">
        <f>IFERROR(VLOOKUP(基本資料填寫!$C$1&amp;"-"&amp;ROW(F86),基本資料填寫!$C:$DU,COLUMN(基本資料填寫!N87),0),"")</f>
        <v/>
      </c>
      <c r="G89" s="114" t="str">
        <f>IFERROR(VLOOKUP(基本資料填寫!$C$1&amp;"-"&amp;ROW(C86),基本資料填寫!$C:$DU,COLUMN(基本資料填寫!O87),0),"")</f>
        <v/>
      </c>
      <c r="H89" s="115" t="str">
        <f>IFERROR(VLOOKUP(基本資料填寫!$C$1&amp;"-"&amp;ROW(E86),基本資料填寫!$C:$DU,COLUMN(基本資料填寫!M87),0),"")</f>
        <v/>
      </c>
      <c r="I89" s="114" t="str">
        <f>IFERROR(VLOOKUP(基本資料填寫!$C$1&amp;"-"&amp;ROW(M86),基本資料填寫!$C:$DU,COLUMN(基本資料填寫!U87),0),"")</f>
        <v/>
      </c>
      <c r="M89" s="115" t="str">
        <f>IFERROR(VLOOKUP(基本資料填寫!$C$1&amp;"-"&amp;ROW(AJ86),基本資料填寫!$C:$DU,COLUMN(基本資料填寫!CI87),0),"")</f>
        <v/>
      </c>
      <c r="P89" s="174" t="str">
        <f>IFERROR(VLOOKUP(基本資料填寫!$C$1&amp;"-"&amp;ROW(AB86),基本資料填寫!$C:$DU,COLUMN(基本資料填寫!AJ87),0),"")</f>
        <v/>
      </c>
      <c r="W89" s="115" t="str">
        <f>IFERROR(VLOOKUP(基本資料填寫!$C$1&amp;"-"&amp;ROW(AI86),基本資料填寫!$C:$DU,COLUMN(基本資料填寫!CH87),0),"")</f>
        <v/>
      </c>
    </row>
    <row r="90" spans="2:23" x14ac:dyDescent="0.3">
      <c r="B90" s="114" t="str">
        <f>IF(G90="","",COUNTA($G$4:G90))</f>
        <v/>
      </c>
      <c r="C90" s="115" t="str">
        <f>IFERROR(VLOOKUP(基本資料填寫!$C$1&amp;"-"&amp;ROW(A87),基本資料填寫!$C:$DU,COLUMN(基本資料填寫!CN88),0),"")</f>
        <v/>
      </c>
      <c r="D90" s="115" t="str">
        <f>IFERROR(VLOOKUP(基本資料填寫!$C$1&amp;"-"&amp;ROW(I87),基本資料填寫!$C:$DU,COLUMN(基本資料填寫!Q88),0),"")</f>
        <v/>
      </c>
      <c r="E90" s="115" t="str">
        <f>IFERROR(VLOOKUP(基本資料填寫!$C$1&amp;"-"&amp;ROW(L87),基本資料填寫!$C:$DU,COLUMN(基本資料填寫!T88),0),"")</f>
        <v/>
      </c>
      <c r="F90" s="114" t="str">
        <f>IFERROR(VLOOKUP(基本資料填寫!$C$1&amp;"-"&amp;ROW(F87),基本資料填寫!$C:$DU,COLUMN(基本資料填寫!N88),0),"")</f>
        <v/>
      </c>
      <c r="G90" s="114" t="str">
        <f>IFERROR(VLOOKUP(基本資料填寫!$C$1&amp;"-"&amp;ROW(C87),基本資料填寫!$C:$DU,COLUMN(基本資料填寫!O88),0),"")</f>
        <v/>
      </c>
      <c r="H90" s="115" t="str">
        <f>IFERROR(VLOOKUP(基本資料填寫!$C$1&amp;"-"&amp;ROW(E87),基本資料填寫!$C:$DU,COLUMN(基本資料填寫!M88),0),"")</f>
        <v/>
      </c>
      <c r="I90" s="114" t="str">
        <f>IFERROR(VLOOKUP(基本資料填寫!$C$1&amp;"-"&amp;ROW(M87),基本資料填寫!$C:$DU,COLUMN(基本資料填寫!U88),0),"")</f>
        <v/>
      </c>
      <c r="M90" s="115" t="str">
        <f>IFERROR(VLOOKUP(基本資料填寫!$C$1&amp;"-"&amp;ROW(AJ87),基本資料填寫!$C:$DU,COLUMN(基本資料填寫!CI88),0),"")</f>
        <v/>
      </c>
      <c r="P90" s="174" t="str">
        <f>IFERROR(VLOOKUP(基本資料填寫!$C$1&amp;"-"&amp;ROW(AB87),基本資料填寫!$C:$DU,COLUMN(基本資料填寫!AJ88),0),"")</f>
        <v/>
      </c>
      <c r="W90" s="115" t="str">
        <f>IFERROR(VLOOKUP(基本資料填寫!$C$1&amp;"-"&amp;ROW(AI87),基本資料填寫!$C:$DU,COLUMN(基本資料填寫!CH88),0),"")</f>
        <v/>
      </c>
    </row>
    <row r="91" spans="2:23" x14ac:dyDescent="0.3">
      <c r="B91" s="114" t="str">
        <f>IF(G91="","",COUNTA($G$4:G91))</f>
        <v/>
      </c>
      <c r="C91" s="115" t="str">
        <f>IFERROR(VLOOKUP(基本資料填寫!$C$1&amp;"-"&amp;ROW(A88),基本資料填寫!$C:$DU,COLUMN(基本資料填寫!CN89),0),"")</f>
        <v/>
      </c>
      <c r="D91" s="115" t="str">
        <f>IFERROR(VLOOKUP(基本資料填寫!$C$1&amp;"-"&amp;ROW(I88),基本資料填寫!$C:$DU,COLUMN(基本資料填寫!Q89),0),"")</f>
        <v/>
      </c>
      <c r="E91" s="115" t="str">
        <f>IFERROR(VLOOKUP(基本資料填寫!$C$1&amp;"-"&amp;ROW(L88),基本資料填寫!$C:$DU,COLUMN(基本資料填寫!T89),0),"")</f>
        <v/>
      </c>
      <c r="F91" s="114" t="str">
        <f>IFERROR(VLOOKUP(基本資料填寫!$C$1&amp;"-"&amp;ROW(F88),基本資料填寫!$C:$DU,COLUMN(基本資料填寫!N89),0),"")</f>
        <v/>
      </c>
      <c r="G91" s="114" t="str">
        <f>IFERROR(VLOOKUP(基本資料填寫!$C$1&amp;"-"&amp;ROW(C88),基本資料填寫!$C:$DU,COLUMN(基本資料填寫!O89),0),"")</f>
        <v/>
      </c>
      <c r="H91" s="115" t="str">
        <f>IFERROR(VLOOKUP(基本資料填寫!$C$1&amp;"-"&amp;ROW(E88),基本資料填寫!$C:$DU,COLUMN(基本資料填寫!M89),0),"")</f>
        <v/>
      </c>
      <c r="I91" s="114" t="str">
        <f>IFERROR(VLOOKUP(基本資料填寫!$C$1&amp;"-"&amp;ROW(M88),基本資料填寫!$C:$DU,COLUMN(基本資料填寫!U89),0),"")</f>
        <v/>
      </c>
      <c r="M91" s="115" t="str">
        <f>IFERROR(VLOOKUP(基本資料填寫!$C$1&amp;"-"&amp;ROW(AJ88),基本資料填寫!$C:$DU,COLUMN(基本資料填寫!CI89),0),"")</f>
        <v/>
      </c>
      <c r="P91" s="174" t="str">
        <f>IFERROR(VLOOKUP(基本資料填寫!$C$1&amp;"-"&amp;ROW(AB88),基本資料填寫!$C:$DU,COLUMN(基本資料填寫!AJ89),0),"")</f>
        <v/>
      </c>
      <c r="W91" s="115" t="str">
        <f>IFERROR(VLOOKUP(基本資料填寫!$C$1&amp;"-"&amp;ROW(AI88),基本資料填寫!$C:$DU,COLUMN(基本資料填寫!CH89),0),"")</f>
        <v/>
      </c>
    </row>
    <row r="92" spans="2:23" x14ac:dyDescent="0.3">
      <c r="B92" s="114" t="str">
        <f>IF(G92="","",COUNTA($G$4:G92))</f>
        <v/>
      </c>
      <c r="C92" s="115" t="str">
        <f>IFERROR(VLOOKUP(基本資料填寫!$C$1&amp;"-"&amp;ROW(A89),基本資料填寫!$C:$DU,COLUMN(基本資料填寫!CN90),0),"")</f>
        <v/>
      </c>
      <c r="D92" s="115" t="str">
        <f>IFERROR(VLOOKUP(基本資料填寫!$C$1&amp;"-"&amp;ROW(I89),基本資料填寫!$C:$DU,COLUMN(基本資料填寫!Q90),0),"")</f>
        <v/>
      </c>
      <c r="E92" s="115" t="str">
        <f>IFERROR(VLOOKUP(基本資料填寫!$C$1&amp;"-"&amp;ROW(L89),基本資料填寫!$C:$DU,COLUMN(基本資料填寫!T90),0),"")</f>
        <v/>
      </c>
      <c r="F92" s="114" t="str">
        <f>IFERROR(VLOOKUP(基本資料填寫!$C$1&amp;"-"&amp;ROW(F89),基本資料填寫!$C:$DU,COLUMN(基本資料填寫!N90),0),"")</f>
        <v/>
      </c>
      <c r="G92" s="114" t="str">
        <f>IFERROR(VLOOKUP(基本資料填寫!$C$1&amp;"-"&amp;ROW(C89),基本資料填寫!$C:$DU,COLUMN(基本資料填寫!O90),0),"")</f>
        <v/>
      </c>
      <c r="H92" s="115" t="str">
        <f>IFERROR(VLOOKUP(基本資料填寫!$C$1&amp;"-"&amp;ROW(E89),基本資料填寫!$C:$DU,COLUMN(基本資料填寫!M90),0),"")</f>
        <v/>
      </c>
      <c r="I92" s="114" t="str">
        <f>IFERROR(VLOOKUP(基本資料填寫!$C$1&amp;"-"&amp;ROW(M89),基本資料填寫!$C:$DU,COLUMN(基本資料填寫!U90),0),"")</f>
        <v/>
      </c>
      <c r="M92" s="115" t="str">
        <f>IFERROR(VLOOKUP(基本資料填寫!$C$1&amp;"-"&amp;ROW(AJ89),基本資料填寫!$C:$DU,COLUMN(基本資料填寫!CI90),0),"")</f>
        <v/>
      </c>
      <c r="P92" s="174" t="str">
        <f>IFERROR(VLOOKUP(基本資料填寫!$C$1&amp;"-"&amp;ROW(AB89),基本資料填寫!$C:$DU,COLUMN(基本資料填寫!AJ90),0),"")</f>
        <v/>
      </c>
      <c r="W92" s="115" t="str">
        <f>IFERROR(VLOOKUP(基本資料填寫!$C$1&amp;"-"&amp;ROW(AI89),基本資料填寫!$C:$DU,COLUMN(基本資料填寫!CH90),0),"")</f>
        <v/>
      </c>
    </row>
    <row r="93" spans="2:23" x14ac:dyDescent="0.3">
      <c r="B93" s="114" t="str">
        <f>IF(G93="","",COUNTA($G$4:G93))</f>
        <v/>
      </c>
      <c r="C93" s="115" t="str">
        <f>IFERROR(VLOOKUP(基本資料填寫!$C$1&amp;"-"&amp;ROW(A90),基本資料填寫!$C:$DU,COLUMN(基本資料填寫!CN91),0),"")</f>
        <v/>
      </c>
      <c r="D93" s="115" t="str">
        <f>IFERROR(VLOOKUP(基本資料填寫!$C$1&amp;"-"&amp;ROW(I90),基本資料填寫!$C:$DU,COLUMN(基本資料填寫!Q91),0),"")</f>
        <v/>
      </c>
      <c r="E93" s="115" t="str">
        <f>IFERROR(VLOOKUP(基本資料填寫!$C$1&amp;"-"&amp;ROW(L90),基本資料填寫!$C:$DU,COLUMN(基本資料填寫!T91),0),"")</f>
        <v/>
      </c>
      <c r="F93" s="114" t="str">
        <f>IFERROR(VLOOKUP(基本資料填寫!$C$1&amp;"-"&amp;ROW(F90),基本資料填寫!$C:$DU,COLUMN(基本資料填寫!N91),0),"")</f>
        <v/>
      </c>
      <c r="G93" s="114" t="str">
        <f>IFERROR(VLOOKUP(基本資料填寫!$C$1&amp;"-"&amp;ROW(C90),基本資料填寫!$C:$DU,COLUMN(基本資料填寫!O91),0),"")</f>
        <v/>
      </c>
      <c r="H93" s="115" t="str">
        <f>IFERROR(VLOOKUP(基本資料填寫!$C$1&amp;"-"&amp;ROW(E90),基本資料填寫!$C:$DU,COLUMN(基本資料填寫!M91),0),"")</f>
        <v/>
      </c>
      <c r="I93" s="114" t="str">
        <f>IFERROR(VLOOKUP(基本資料填寫!$C$1&amp;"-"&amp;ROW(M90),基本資料填寫!$C:$DU,COLUMN(基本資料填寫!U91),0),"")</f>
        <v/>
      </c>
      <c r="M93" s="115" t="str">
        <f>IFERROR(VLOOKUP(基本資料填寫!$C$1&amp;"-"&amp;ROW(AJ90),基本資料填寫!$C:$DU,COLUMN(基本資料填寫!CI91),0),"")</f>
        <v/>
      </c>
      <c r="P93" s="174" t="str">
        <f>IFERROR(VLOOKUP(基本資料填寫!$C$1&amp;"-"&amp;ROW(AB90),基本資料填寫!$C:$DU,COLUMN(基本資料填寫!AJ91),0),"")</f>
        <v/>
      </c>
      <c r="W93" s="115" t="str">
        <f>IFERROR(VLOOKUP(基本資料填寫!$C$1&amp;"-"&amp;ROW(AI90),基本資料填寫!$C:$DU,COLUMN(基本資料填寫!CH91),0),"")</f>
        <v/>
      </c>
    </row>
    <row r="94" spans="2:23" x14ac:dyDescent="0.3">
      <c r="B94" s="114" t="str">
        <f>IF(G94="","",COUNTA($G$4:G94))</f>
        <v/>
      </c>
      <c r="C94" s="115" t="str">
        <f>IFERROR(VLOOKUP(基本資料填寫!$C$1&amp;"-"&amp;ROW(A91),基本資料填寫!$C:$DU,COLUMN(基本資料填寫!CN92),0),"")</f>
        <v/>
      </c>
      <c r="D94" s="115" t="str">
        <f>IFERROR(VLOOKUP(基本資料填寫!$C$1&amp;"-"&amp;ROW(I91),基本資料填寫!$C:$DU,COLUMN(基本資料填寫!Q92),0),"")</f>
        <v/>
      </c>
      <c r="E94" s="115" t="str">
        <f>IFERROR(VLOOKUP(基本資料填寫!$C$1&amp;"-"&amp;ROW(L91),基本資料填寫!$C:$DU,COLUMN(基本資料填寫!T92),0),"")</f>
        <v/>
      </c>
      <c r="F94" s="114" t="str">
        <f>IFERROR(VLOOKUP(基本資料填寫!$C$1&amp;"-"&amp;ROW(F91),基本資料填寫!$C:$DU,COLUMN(基本資料填寫!N92),0),"")</f>
        <v/>
      </c>
      <c r="G94" s="114" t="str">
        <f>IFERROR(VLOOKUP(基本資料填寫!$C$1&amp;"-"&amp;ROW(C91),基本資料填寫!$C:$DU,COLUMN(基本資料填寫!O92),0),"")</f>
        <v/>
      </c>
      <c r="H94" s="115" t="str">
        <f>IFERROR(VLOOKUP(基本資料填寫!$C$1&amp;"-"&amp;ROW(E91),基本資料填寫!$C:$DU,COLUMN(基本資料填寫!M92),0),"")</f>
        <v/>
      </c>
      <c r="I94" s="114" t="str">
        <f>IFERROR(VLOOKUP(基本資料填寫!$C$1&amp;"-"&amp;ROW(M91),基本資料填寫!$C:$DU,COLUMN(基本資料填寫!U92),0),"")</f>
        <v/>
      </c>
      <c r="M94" s="115" t="str">
        <f>IFERROR(VLOOKUP(基本資料填寫!$C$1&amp;"-"&amp;ROW(AJ91),基本資料填寫!$C:$DU,COLUMN(基本資料填寫!CI92),0),"")</f>
        <v/>
      </c>
      <c r="P94" s="174" t="str">
        <f>IFERROR(VLOOKUP(基本資料填寫!$C$1&amp;"-"&amp;ROW(AB91),基本資料填寫!$C:$DU,COLUMN(基本資料填寫!AJ92),0),"")</f>
        <v/>
      </c>
      <c r="W94" s="115" t="str">
        <f>IFERROR(VLOOKUP(基本資料填寫!$C$1&amp;"-"&amp;ROW(AI91),基本資料填寫!$C:$DU,COLUMN(基本資料填寫!CH92),0),"")</f>
        <v/>
      </c>
    </row>
    <row r="95" spans="2:23" x14ac:dyDescent="0.3">
      <c r="B95" s="114" t="str">
        <f>IF(G95="","",COUNTA($G$4:G95))</f>
        <v/>
      </c>
      <c r="C95" s="115" t="str">
        <f>IFERROR(VLOOKUP(基本資料填寫!$C$1&amp;"-"&amp;ROW(A92),基本資料填寫!$C:$DU,COLUMN(基本資料填寫!CN93),0),"")</f>
        <v/>
      </c>
      <c r="D95" s="115" t="str">
        <f>IFERROR(VLOOKUP(基本資料填寫!$C$1&amp;"-"&amp;ROW(I92),基本資料填寫!$C:$DU,COLUMN(基本資料填寫!Q93),0),"")</f>
        <v/>
      </c>
      <c r="E95" s="115" t="str">
        <f>IFERROR(VLOOKUP(基本資料填寫!$C$1&amp;"-"&amp;ROW(L92),基本資料填寫!$C:$DU,COLUMN(基本資料填寫!T93),0),"")</f>
        <v/>
      </c>
      <c r="F95" s="114" t="str">
        <f>IFERROR(VLOOKUP(基本資料填寫!$C$1&amp;"-"&amp;ROW(F92),基本資料填寫!$C:$DU,COLUMN(基本資料填寫!N93),0),"")</f>
        <v/>
      </c>
      <c r="G95" s="114" t="str">
        <f>IFERROR(VLOOKUP(基本資料填寫!$C$1&amp;"-"&amp;ROW(C92),基本資料填寫!$C:$DU,COLUMN(基本資料填寫!O93),0),"")</f>
        <v/>
      </c>
      <c r="H95" s="115" t="str">
        <f>IFERROR(VLOOKUP(基本資料填寫!$C$1&amp;"-"&amp;ROW(E92),基本資料填寫!$C:$DU,COLUMN(基本資料填寫!M93),0),"")</f>
        <v/>
      </c>
      <c r="I95" s="114" t="str">
        <f>IFERROR(VLOOKUP(基本資料填寫!$C$1&amp;"-"&amp;ROW(M92),基本資料填寫!$C:$DU,COLUMN(基本資料填寫!U93),0),"")</f>
        <v/>
      </c>
      <c r="M95" s="115" t="str">
        <f>IFERROR(VLOOKUP(基本資料填寫!$C$1&amp;"-"&amp;ROW(AJ92),基本資料填寫!$C:$DU,COLUMN(基本資料填寫!CI93),0),"")</f>
        <v/>
      </c>
      <c r="P95" s="174" t="str">
        <f>IFERROR(VLOOKUP(基本資料填寫!$C$1&amp;"-"&amp;ROW(AB92),基本資料填寫!$C:$DU,COLUMN(基本資料填寫!AJ93),0),"")</f>
        <v/>
      </c>
      <c r="W95" s="115" t="str">
        <f>IFERROR(VLOOKUP(基本資料填寫!$C$1&amp;"-"&amp;ROW(AI92),基本資料填寫!$C:$DU,COLUMN(基本資料填寫!CH93),0),"")</f>
        <v/>
      </c>
    </row>
    <row r="96" spans="2:23" x14ac:dyDescent="0.3">
      <c r="B96" s="114" t="str">
        <f>IF(G96="","",COUNTA($G$4:G96))</f>
        <v/>
      </c>
      <c r="C96" s="115" t="str">
        <f>IFERROR(VLOOKUP(基本資料填寫!$C$1&amp;"-"&amp;ROW(A93),基本資料填寫!$C:$DU,COLUMN(基本資料填寫!CN94),0),"")</f>
        <v/>
      </c>
      <c r="D96" s="115" t="str">
        <f>IFERROR(VLOOKUP(基本資料填寫!$C$1&amp;"-"&amp;ROW(I93),基本資料填寫!$C:$DU,COLUMN(基本資料填寫!Q94),0),"")</f>
        <v/>
      </c>
      <c r="E96" s="115" t="str">
        <f>IFERROR(VLOOKUP(基本資料填寫!$C$1&amp;"-"&amp;ROW(L93),基本資料填寫!$C:$DU,COLUMN(基本資料填寫!T94),0),"")</f>
        <v/>
      </c>
      <c r="F96" s="114" t="str">
        <f>IFERROR(VLOOKUP(基本資料填寫!$C$1&amp;"-"&amp;ROW(F93),基本資料填寫!$C:$DU,COLUMN(基本資料填寫!N94),0),"")</f>
        <v/>
      </c>
      <c r="G96" s="114" t="str">
        <f>IFERROR(VLOOKUP(基本資料填寫!$C$1&amp;"-"&amp;ROW(C93),基本資料填寫!$C:$DU,COLUMN(基本資料填寫!O94),0),"")</f>
        <v/>
      </c>
      <c r="H96" s="115" t="str">
        <f>IFERROR(VLOOKUP(基本資料填寫!$C$1&amp;"-"&amp;ROW(E93),基本資料填寫!$C:$DU,COLUMN(基本資料填寫!M94),0),"")</f>
        <v/>
      </c>
      <c r="I96" s="114" t="str">
        <f>IFERROR(VLOOKUP(基本資料填寫!$C$1&amp;"-"&amp;ROW(M93),基本資料填寫!$C:$DU,COLUMN(基本資料填寫!U94),0),"")</f>
        <v/>
      </c>
      <c r="M96" s="115" t="str">
        <f>IFERROR(VLOOKUP(基本資料填寫!$C$1&amp;"-"&amp;ROW(AJ93),基本資料填寫!$C:$DU,COLUMN(基本資料填寫!CI94),0),"")</f>
        <v/>
      </c>
      <c r="P96" s="174" t="str">
        <f>IFERROR(VLOOKUP(基本資料填寫!$C$1&amp;"-"&amp;ROW(AB93),基本資料填寫!$C:$DU,COLUMN(基本資料填寫!AJ94),0),"")</f>
        <v/>
      </c>
      <c r="W96" s="115" t="str">
        <f>IFERROR(VLOOKUP(基本資料填寫!$C$1&amp;"-"&amp;ROW(AI93),基本資料填寫!$C:$DU,COLUMN(基本資料填寫!CH94),0),"")</f>
        <v/>
      </c>
    </row>
    <row r="97" spans="2:26" x14ac:dyDescent="0.3">
      <c r="B97" s="114" t="str">
        <f>IF(G97="","",COUNTA($G$4:G97))</f>
        <v/>
      </c>
      <c r="C97" s="115" t="str">
        <f>IFERROR(VLOOKUP(基本資料填寫!$C$1&amp;"-"&amp;ROW(A94),基本資料填寫!$C:$DU,COLUMN(基本資料填寫!CN95),0),"")</f>
        <v/>
      </c>
      <c r="D97" s="115" t="str">
        <f>IFERROR(VLOOKUP(基本資料填寫!$C$1&amp;"-"&amp;ROW(I94),基本資料填寫!$C:$DU,COLUMN(基本資料填寫!Q95),0),"")</f>
        <v/>
      </c>
      <c r="E97" s="115" t="str">
        <f>IFERROR(VLOOKUP(基本資料填寫!$C$1&amp;"-"&amp;ROW(L94),基本資料填寫!$C:$DU,COLUMN(基本資料填寫!T95),0),"")</f>
        <v/>
      </c>
      <c r="F97" s="114" t="str">
        <f>IFERROR(VLOOKUP(基本資料填寫!$C$1&amp;"-"&amp;ROW(F94),基本資料填寫!$C:$DU,COLUMN(基本資料填寫!N95),0),"")</f>
        <v/>
      </c>
      <c r="G97" s="114" t="str">
        <f>IFERROR(VLOOKUP(基本資料填寫!$C$1&amp;"-"&amp;ROW(C94),基本資料填寫!$C:$DU,COLUMN(基本資料填寫!O95),0),"")</f>
        <v/>
      </c>
      <c r="H97" s="115" t="str">
        <f>IFERROR(VLOOKUP(基本資料填寫!$C$1&amp;"-"&amp;ROW(E94),基本資料填寫!$C:$DU,COLUMN(基本資料填寫!M95),0),"")</f>
        <v/>
      </c>
      <c r="I97" s="114" t="str">
        <f>IFERROR(VLOOKUP(基本資料填寫!$C$1&amp;"-"&amp;ROW(M94),基本資料填寫!$C:$DU,COLUMN(基本資料填寫!U95),0),"")</f>
        <v/>
      </c>
      <c r="M97" s="115" t="str">
        <f>IFERROR(VLOOKUP(基本資料填寫!$C$1&amp;"-"&amp;ROW(AJ94),基本資料填寫!$C:$DU,COLUMN(基本資料填寫!CI95),0),"")</f>
        <v/>
      </c>
      <c r="P97" s="174" t="str">
        <f>IFERROR(VLOOKUP(基本資料填寫!$C$1&amp;"-"&amp;ROW(AB94),基本資料填寫!$C:$DU,COLUMN(基本資料填寫!AJ95),0),"")</f>
        <v/>
      </c>
      <c r="W97" s="115" t="str">
        <f>IFERROR(VLOOKUP(基本資料填寫!$C$1&amp;"-"&amp;ROW(AI94),基本資料填寫!$C:$DU,COLUMN(基本資料填寫!CH95),0),"")</f>
        <v/>
      </c>
    </row>
    <row r="98" spans="2:26" x14ac:dyDescent="0.3">
      <c r="B98" s="114" t="str">
        <f>IF(G98="","",COUNTA($G$4:G98))</f>
        <v/>
      </c>
      <c r="C98" s="115" t="str">
        <f>IFERROR(VLOOKUP(基本資料填寫!$C$1&amp;"-"&amp;ROW(A95),基本資料填寫!$C:$DU,COLUMN(基本資料填寫!CN96),0),"")</f>
        <v/>
      </c>
      <c r="D98" s="115" t="str">
        <f>IFERROR(VLOOKUP(基本資料填寫!$C$1&amp;"-"&amp;ROW(I95),基本資料填寫!$C:$DU,COLUMN(基本資料填寫!Q96),0),"")</f>
        <v/>
      </c>
      <c r="E98" s="115" t="str">
        <f>IFERROR(VLOOKUP(基本資料填寫!$C$1&amp;"-"&amp;ROW(L95),基本資料填寫!$C:$DU,COLUMN(基本資料填寫!T96),0),"")</f>
        <v/>
      </c>
      <c r="F98" s="114" t="str">
        <f>IFERROR(VLOOKUP(基本資料填寫!$C$1&amp;"-"&amp;ROW(F95),基本資料填寫!$C:$DU,COLUMN(基本資料填寫!N96),0),"")</f>
        <v/>
      </c>
      <c r="G98" s="114" t="str">
        <f>IFERROR(VLOOKUP(基本資料填寫!$C$1&amp;"-"&amp;ROW(C95),基本資料填寫!$C:$DU,COLUMN(基本資料填寫!O96),0),"")</f>
        <v/>
      </c>
      <c r="H98" s="115" t="str">
        <f>IFERROR(VLOOKUP(基本資料填寫!$C$1&amp;"-"&amp;ROW(E95),基本資料填寫!$C:$DU,COLUMN(基本資料填寫!M96),0),"")</f>
        <v/>
      </c>
      <c r="I98" s="114" t="str">
        <f>IFERROR(VLOOKUP(基本資料填寫!$C$1&amp;"-"&amp;ROW(M95),基本資料填寫!$C:$DU,COLUMN(基本資料填寫!U96),0),"")</f>
        <v/>
      </c>
      <c r="M98" s="115" t="str">
        <f>IFERROR(VLOOKUP(基本資料填寫!$C$1&amp;"-"&amp;ROW(AJ95),基本資料填寫!$C:$DU,COLUMN(基本資料填寫!CI96),0),"")</f>
        <v/>
      </c>
      <c r="P98" s="174" t="str">
        <f>IFERROR(VLOOKUP(基本資料填寫!$C$1&amp;"-"&amp;ROW(AB95),基本資料填寫!$C:$DU,COLUMN(基本資料填寫!AJ96),0),"")</f>
        <v/>
      </c>
      <c r="W98" s="115" t="str">
        <f>IFERROR(VLOOKUP(基本資料填寫!$C$1&amp;"-"&amp;ROW(AI95),基本資料填寫!$C:$DU,COLUMN(基本資料填寫!CH96),0),"")</f>
        <v/>
      </c>
    </row>
    <row r="99" spans="2:26" x14ac:dyDescent="0.3">
      <c r="B99" s="114" t="str">
        <f>IF(G99="","",COUNTA($G$4:G99))</f>
        <v/>
      </c>
      <c r="C99" s="115" t="str">
        <f>IFERROR(VLOOKUP(基本資料填寫!$C$1&amp;"-"&amp;ROW(A96),基本資料填寫!$C:$DU,COLUMN(基本資料填寫!CN97),0),"")</f>
        <v/>
      </c>
      <c r="D99" s="115" t="str">
        <f>IFERROR(VLOOKUP(基本資料填寫!$C$1&amp;"-"&amp;ROW(I96),基本資料填寫!$C:$DU,COLUMN(基本資料填寫!Q97),0),"")</f>
        <v/>
      </c>
      <c r="E99" s="115" t="str">
        <f>IFERROR(VLOOKUP(基本資料填寫!$C$1&amp;"-"&amp;ROW(L96),基本資料填寫!$C:$DU,COLUMN(基本資料填寫!T97),0),"")</f>
        <v/>
      </c>
      <c r="F99" s="114" t="str">
        <f>IFERROR(VLOOKUP(基本資料填寫!$C$1&amp;"-"&amp;ROW(F96),基本資料填寫!$C:$DU,COLUMN(基本資料填寫!N97),0),"")</f>
        <v/>
      </c>
      <c r="G99" s="114" t="str">
        <f>IFERROR(VLOOKUP(基本資料填寫!$C$1&amp;"-"&amp;ROW(C96),基本資料填寫!$C:$DU,COLUMN(基本資料填寫!O97),0),"")</f>
        <v/>
      </c>
      <c r="H99" s="115" t="str">
        <f>IFERROR(VLOOKUP(基本資料填寫!$C$1&amp;"-"&amp;ROW(E96),基本資料填寫!$C:$DU,COLUMN(基本資料填寫!M97),0),"")</f>
        <v/>
      </c>
      <c r="I99" s="114" t="str">
        <f>IFERROR(VLOOKUP(基本資料填寫!$C$1&amp;"-"&amp;ROW(M96),基本資料填寫!$C:$DU,COLUMN(基本資料填寫!U97),0),"")</f>
        <v/>
      </c>
      <c r="M99" s="115" t="str">
        <f>IFERROR(VLOOKUP(基本資料填寫!$C$1&amp;"-"&amp;ROW(AJ96),基本資料填寫!$C:$DU,COLUMN(基本資料填寫!CI97),0),"")</f>
        <v/>
      </c>
      <c r="P99" s="174" t="str">
        <f>IFERROR(VLOOKUP(基本資料填寫!$C$1&amp;"-"&amp;ROW(AB96),基本資料填寫!$C:$DU,COLUMN(基本資料填寫!AJ97),0),"")</f>
        <v/>
      </c>
      <c r="W99" s="115" t="str">
        <f>IFERROR(VLOOKUP(基本資料填寫!$C$1&amp;"-"&amp;ROW(AI96),基本資料填寫!$C:$DU,COLUMN(基本資料填寫!CH97),0),"")</f>
        <v/>
      </c>
    </row>
    <row r="100" spans="2:26" x14ac:dyDescent="0.3">
      <c r="B100" s="114" t="str">
        <f>IF(G100="","",COUNTA($G$4:G100))</f>
        <v/>
      </c>
      <c r="C100" s="115" t="str">
        <f>IFERROR(VLOOKUP(基本資料填寫!$C$1&amp;"-"&amp;ROW(A97),基本資料填寫!$C:$DU,COLUMN(基本資料填寫!CN98),0),"")</f>
        <v/>
      </c>
      <c r="D100" s="115" t="str">
        <f>IFERROR(VLOOKUP(基本資料填寫!$C$1&amp;"-"&amp;ROW(I97),基本資料填寫!$C:$DU,COLUMN(基本資料填寫!Q98),0),"")</f>
        <v/>
      </c>
      <c r="E100" s="115" t="str">
        <f>IFERROR(VLOOKUP(基本資料填寫!$C$1&amp;"-"&amp;ROW(L97),基本資料填寫!$C:$DU,COLUMN(基本資料填寫!T98),0),"")</f>
        <v/>
      </c>
      <c r="F100" s="114" t="str">
        <f>IFERROR(VLOOKUP(基本資料填寫!$C$1&amp;"-"&amp;ROW(F97),基本資料填寫!$C:$DU,COLUMN(基本資料填寫!N98),0),"")</f>
        <v/>
      </c>
      <c r="G100" s="114" t="str">
        <f>IFERROR(VLOOKUP(基本資料填寫!$C$1&amp;"-"&amp;ROW(C97),基本資料填寫!$C:$DU,COLUMN(基本資料填寫!O98),0),"")</f>
        <v/>
      </c>
      <c r="H100" s="115" t="str">
        <f>IFERROR(VLOOKUP(基本資料填寫!$C$1&amp;"-"&amp;ROW(E97),基本資料填寫!$C:$DU,COLUMN(基本資料填寫!M98),0),"")</f>
        <v/>
      </c>
      <c r="I100" s="114" t="str">
        <f>IFERROR(VLOOKUP(基本資料填寫!$C$1&amp;"-"&amp;ROW(M97),基本資料填寫!$C:$DU,COLUMN(基本資料填寫!U98),0),"")</f>
        <v/>
      </c>
      <c r="M100" s="115" t="str">
        <f>IFERROR(VLOOKUP(基本資料填寫!$C$1&amp;"-"&amp;ROW(AJ97),基本資料填寫!$C:$DU,COLUMN(基本資料填寫!CI98),0),"")</f>
        <v/>
      </c>
      <c r="P100" s="174" t="str">
        <f>IFERROR(VLOOKUP(基本資料填寫!$C$1&amp;"-"&amp;ROW(AB97),基本資料填寫!$C:$DU,COLUMN(基本資料填寫!AJ98),0),"")</f>
        <v/>
      </c>
      <c r="W100" s="115" t="str">
        <f>IFERROR(VLOOKUP(基本資料填寫!$C$1&amp;"-"&amp;ROW(AI97),基本資料填寫!$C:$DU,COLUMN(基本資料填寫!CH98),0),"")</f>
        <v/>
      </c>
    </row>
    <row r="101" spans="2:26" x14ac:dyDescent="0.3">
      <c r="B101" s="114" t="str">
        <f>IF(G101="","",COUNTA($G$4:G101))</f>
        <v/>
      </c>
      <c r="C101" s="115" t="str">
        <f>IFERROR(VLOOKUP(基本資料填寫!$C$1&amp;"-"&amp;ROW(A98),基本資料填寫!$C:$DU,COLUMN(基本資料填寫!CN99),0),"")</f>
        <v/>
      </c>
      <c r="D101" s="115" t="str">
        <f>IFERROR(VLOOKUP(基本資料填寫!$C$1&amp;"-"&amp;ROW(I98),基本資料填寫!$C:$DU,COLUMN(基本資料填寫!Q99),0),"")</f>
        <v/>
      </c>
      <c r="E101" s="115" t="str">
        <f>IFERROR(VLOOKUP(基本資料填寫!$C$1&amp;"-"&amp;ROW(L98),基本資料填寫!$C:$DU,COLUMN(基本資料填寫!T99),0),"")</f>
        <v/>
      </c>
      <c r="F101" s="114" t="str">
        <f>IFERROR(VLOOKUP(基本資料填寫!$C$1&amp;"-"&amp;ROW(F98),基本資料填寫!$C:$DU,COLUMN(基本資料填寫!N99),0),"")</f>
        <v/>
      </c>
      <c r="G101" s="114" t="str">
        <f>IFERROR(VLOOKUP(基本資料填寫!$C$1&amp;"-"&amp;ROW(C98),基本資料填寫!$C:$DU,COLUMN(基本資料填寫!O99),0),"")</f>
        <v/>
      </c>
      <c r="H101" s="115" t="str">
        <f>IFERROR(VLOOKUP(基本資料填寫!$C$1&amp;"-"&amp;ROW(E98),基本資料填寫!$C:$DU,COLUMN(基本資料填寫!M99),0),"")</f>
        <v/>
      </c>
      <c r="I101" s="114" t="str">
        <f>IFERROR(VLOOKUP(基本資料填寫!$C$1&amp;"-"&amp;ROW(M98),基本資料填寫!$C:$DU,COLUMN(基本資料填寫!U99),0),"")</f>
        <v/>
      </c>
      <c r="M101" s="115" t="str">
        <f>IFERROR(VLOOKUP(基本資料填寫!$C$1&amp;"-"&amp;ROW(AJ98),基本資料填寫!$C:$DU,COLUMN(基本資料填寫!CI99),0),"")</f>
        <v/>
      </c>
      <c r="P101" s="174" t="str">
        <f>IFERROR(VLOOKUP(基本資料填寫!$C$1&amp;"-"&amp;ROW(AB98),基本資料填寫!$C:$DU,COLUMN(基本資料填寫!AJ99),0),"")</f>
        <v/>
      </c>
      <c r="W101" s="115" t="str">
        <f>IFERROR(VLOOKUP(基本資料填寫!$C$1&amp;"-"&amp;ROW(AI98),基本資料填寫!$C:$DU,COLUMN(基本資料填寫!CH99),0),"")</f>
        <v/>
      </c>
    </row>
    <row r="102" spans="2:26" x14ac:dyDescent="0.3">
      <c r="B102" s="114" t="str">
        <f>IF(G102="","",COUNTA($G$4:G102))</f>
        <v/>
      </c>
      <c r="C102" s="115" t="str">
        <f>IFERROR(VLOOKUP(基本資料填寫!$C$1&amp;"-"&amp;ROW(A99),基本資料填寫!$C:$DU,COLUMN(基本資料填寫!CN100),0),"")</f>
        <v/>
      </c>
      <c r="D102" s="115" t="str">
        <f>IFERROR(VLOOKUP(基本資料填寫!$C$1&amp;"-"&amp;ROW(I99),基本資料填寫!$C:$DU,COLUMN(基本資料填寫!Q100),0),"")</f>
        <v/>
      </c>
      <c r="E102" s="115" t="str">
        <f>IFERROR(VLOOKUP(基本資料填寫!$C$1&amp;"-"&amp;ROW(L99),基本資料填寫!$C:$DU,COLUMN(基本資料填寫!T100),0),"")</f>
        <v/>
      </c>
      <c r="F102" s="114" t="str">
        <f>IFERROR(VLOOKUP(基本資料填寫!$C$1&amp;"-"&amp;ROW(F99),基本資料填寫!$C:$DU,COLUMN(基本資料填寫!N100),0),"")</f>
        <v/>
      </c>
      <c r="G102" s="114" t="str">
        <f>IFERROR(VLOOKUP(基本資料填寫!$C$1&amp;"-"&amp;ROW(C99),基本資料填寫!$C:$DU,COLUMN(基本資料填寫!O100),0),"")</f>
        <v/>
      </c>
      <c r="H102" s="115" t="str">
        <f>IFERROR(VLOOKUP(基本資料填寫!$C$1&amp;"-"&amp;ROW(E99),基本資料填寫!$C:$DU,COLUMN(基本資料填寫!M100),0),"")</f>
        <v/>
      </c>
      <c r="I102" s="114" t="str">
        <f>IFERROR(VLOOKUP(基本資料填寫!$C$1&amp;"-"&amp;ROW(M99),基本資料填寫!$C:$DU,COLUMN(基本資料填寫!U100),0),"")</f>
        <v/>
      </c>
      <c r="M102" s="115" t="str">
        <f>IFERROR(VLOOKUP(基本資料填寫!$C$1&amp;"-"&amp;ROW(AJ99),基本資料填寫!$C:$DU,COLUMN(基本資料填寫!CI100),0),"")</f>
        <v/>
      </c>
      <c r="P102" s="174" t="str">
        <f>IFERROR(VLOOKUP(基本資料填寫!$C$1&amp;"-"&amp;ROW(AB99),基本資料填寫!$C:$DU,COLUMN(基本資料填寫!AJ100),0),"")</f>
        <v/>
      </c>
      <c r="W102" s="115" t="str">
        <f>IFERROR(VLOOKUP(基本資料填寫!$C$1&amp;"-"&amp;ROW(AI99),基本資料填寫!$C:$DU,COLUMN(基本資料填寫!CH100),0),"")</f>
        <v/>
      </c>
    </row>
    <row r="103" spans="2:26" s="122" customFormat="1" x14ac:dyDescent="0.3">
      <c r="B103" s="118"/>
      <c r="C103" s="119"/>
      <c r="D103" s="119"/>
      <c r="E103" s="119"/>
      <c r="F103" s="118"/>
      <c r="G103" s="118"/>
      <c r="H103" s="119"/>
      <c r="I103" s="118"/>
      <c r="J103" s="120"/>
      <c r="K103" s="120"/>
      <c r="L103" s="120"/>
      <c r="M103" s="118"/>
      <c r="N103" s="120"/>
      <c r="O103" s="120"/>
      <c r="P103" s="244"/>
      <c r="Q103" s="121"/>
      <c r="R103" s="121"/>
      <c r="S103" s="121"/>
      <c r="T103" s="121"/>
      <c r="U103" s="121"/>
      <c r="V103" s="121"/>
      <c r="W103" s="119"/>
      <c r="X103" s="121"/>
      <c r="Y103" s="121"/>
      <c r="Z103" s="121"/>
    </row>
    <row r="104" spans="2:26" x14ac:dyDescent="0.3">
      <c r="J104" s="114"/>
      <c r="K104" s="114"/>
      <c r="L104" s="114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25C9-87BF-4F03-A799-98E03D45F645}">
  <sheetPr codeName="工作表8"/>
  <dimension ref="A1:AB360"/>
  <sheetViews>
    <sheetView zoomScale="85" zoomScaleNormal="85" workbookViewId="0">
      <pane ySplit="2" topLeftCell="A3" activePane="bottomLeft" state="frozen"/>
      <selection pane="bottomLeft" activeCell="E9" sqref="E9"/>
    </sheetView>
  </sheetViews>
  <sheetFormatPr defaultColWidth="8.88671875" defaultRowHeight="16.2" x14ac:dyDescent="0.3"/>
  <cols>
    <col min="1" max="1" width="14.109375" style="160" bestFit="1" customWidth="1"/>
    <col min="2" max="2" width="15.33203125" style="117" bestFit="1" customWidth="1"/>
    <col min="3" max="3" width="13.33203125" style="117" bestFit="1" customWidth="1"/>
    <col min="4" max="4" width="12.33203125" style="117" customWidth="1"/>
    <col min="5" max="5" width="12.33203125" style="115" customWidth="1"/>
    <col min="6" max="6" width="21.44140625" style="115" bestFit="1" customWidth="1"/>
    <col min="7" max="7" width="23.88671875" style="115" bestFit="1" customWidth="1"/>
    <col min="8" max="8" width="29" style="117" bestFit="1" customWidth="1"/>
    <col min="9" max="9" width="12.33203125" style="117" customWidth="1"/>
    <col min="10" max="10" width="26.33203125" style="117" bestFit="1" customWidth="1"/>
    <col min="11" max="11" width="14.109375" style="115" bestFit="1" customWidth="1"/>
    <col min="12" max="12" width="15.33203125" style="117" bestFit="1" customWidth="1"/>
    <col min="13" max="13" width="11.6640625" style="115" bestFit="1" customWidth="1"/>
    <col min="14" max="14" width="12.88671875" style="115" bestFit="1" customWidth="1"/>
    <col min="15" max="15" width="16.44140625" style="115" bestFit="1" customWidth="1"/>
    <col min="16" max="16" width="15.33203125" style="117" bestFit="1" customWidth="1"/>
    <col min="17" max="17" width="21.44140625" style="117" bestFit="1" customWidth="1"/>
    <col min="18" max="18" width="15.33203125" style="117" customWidth="1"/>
    <col min="19" max="19" width="21.6640625" style="117" bestFit="1" customWidth="1"/>
    <col min="20" max="20" width="12.33203125" style="115" customWidth="1"/>
    <col min="21" max="21" width="15.33203125" style="117" bestFit="1" customWidth="1"/>
    <col min="22" max="22" width="10.44140625" style="117" bestFit="1" customWidth="1"/>
    <col min="23" max="23" width="12.88671875" style="6" bestFit="1" customWidth="1"/>
    <col min="24" max="24" width="12.33203125" style="117" customWidth="1"/>
    <col min="25" max="25" width="17.77734375" style="2" bestFit="1" customWidth="1"/>
    <col min="26" max="26" width="23.88671875" style="6" bestFit="1" customWidth="1"/>
    <col min="27" max="27" width="10.44140625" style="117" bestFit="1" customWidth="1"/>
    <col min="28" max="28" width="22.6640625" style="117" bestFit="1" customWidth="1"/>
    <col min="29" max="16384" width="8.88671875" style="117"/>
  </cols>
  <sheetData>
    <row r="1" spans="1:28" x14ac:dyDescent="0.3">
      <c r="A1" s="192" t="s">
        <v>407</v>
      </c>
      <c r="B1" s="144" t="s">
        <v>812</v>
      </c>
      <c r="C1" s="143" t="s">
        <v>409</v>
      </c>
      <c r="D1" s="143" t="s">
        <v>814</v>
      </c>
      <c r="E1" s="146" t="s">
        <v>115</v>
      </c>
      <c r="F1" s="146" t="s">
        <v>816</v>
      </c>
      <c r="G1" s="193" t="s">
        <v>817</v>
      </c>
      <c r="H1" s="144" t="s">
        <v>419</v>
      </c>
      <c r="I1" s="144" t="s">
        <v>818</v>
      </c>
      <c r="J1" s="144" t="s">
        <v>420</v>
      </c>
      <c r="K1" s="145" t="s">
        <v>819</v>
      </c>
      <c r="L1" s="144" t="s">
        <v>820</v>
      </c>
      <c r="M1" s="193" t="s">
        <v>823</v>
      </c>
      <c r="N1" s="146" t="s">
        <v>96</v>
      </c>
      <c r="O1" s="193" t="s">
        <v>824</v>
      </c>
      <c r="P1" s="144" t="s">
        <v>421</v>
      </c>
      <c r="Q1" s="144" t="s">
        <v>825</v>
      </c>
      <c r="R1" s="144" t="s">
        <v>97</v>
      </c>
      <c r="S1" s="144" t="s">
        <v>826</v>
      </c>
      <c r="T1" s="193" t="s">
        <v>424</v>
      </c>
      <c r="U1" s="191" t="s">
        <v>827</v>
      </c>
      <c r="V1" s="144" t="s">
        <v>426</v>
      </c>
      <c r="W1" s="191" t="s">
        <v>425</v>
      </c>
      <c r="X1" s="144" t="s">
        <v>830</v>
      </c>
      <c r="Y1" s="194" t="s">
        <v>422</v>
      </c>
      <c r="Z1" s="144" t="s">
        <v>831</v>
      </c>
      <c r="AA1" s="144" t="s">
        <v>423</v>
      </c>
      <c r="AB1" s="144" t="s">
        <v>833</v>
      </c>
    </row>
    <row r="2" spans="1:28" x14ac:dyDescent="0.3">
      <c r="A2" s="192" t="s">
        <v>388</v>
      </c>
      <c r="B2" s="144" t="s">
        <v>551</v>
      </c>
      <c r="C2" s="144" t="s">
        <v>815</v>
      </c>
      <c r="D2" s="144" t="s">
        <v>444</v>
      </c>
      <c r="E2" s="190" t="s">
        <v>551</v>
      </c>
      <c r="F2" s="190" t="s">
        <v>455</v>
      </c>
      <c r="G2" s="190" t="s">
        <v>445</v>
      </c>
      <c r="H2" s="144" t="s">
        <v>459</v>
      </c>
      <c r="I2" s="144" t="s">
        <v>447</v>
      </c>
      <c r="J2" s="144" t="s">
        <v>450</v>
      </c>
      <c r="K2" s="190" t="s">
        <v>821</v>
      </c>
      <c r="L2" s="144" t="s">
        <v>822</v>
      </c>
      <c r="M2" s="190" t="s">
        <v>449</v>
      </c>
      <c r="N2" s="190" t="s">
        <v>456</v>
      </c>
      <c r="O2" s="190" t="s">
        <v>452</v>
      </c>
      <c r="P2" s="144" t="s">
        <v>451</v>
      </c>
      <c r="Q2" s="144" t="s">
        <v>448</v>
      </c>
      <c r="R2" s="144" t="s">
        <v>454</v>
      </c>
      <c r="S2" s="144" t="s">
        <v>551</v>
      </c>
      <c r="T2" s="190" t="s">
        <v>446</v>
      </c>
      <c r="U2" s="144" t="s">
        <v>453</v>
      </c>
      <c r="V2" s="144" t="s">
        <v>183</v>
      </c>
      <c r="W2" s="195" t="s">
        <v>829</v>
      </c>
      <c r="X2" s="144" t="s">
        <v>457</v>
      </c>
      <c r="Y2" s="195" t="s">
        <v>551</v>
      </c>
      <c r="Z2" s="195" t="s">
        <v>551</v>
      </c>
      <c r="AA2" s="144" t="s">
        <v>458</v>
      </c>
      <c r="AB2" s="144" t="s">
        <v>551</v>
      </c>
    </row>
    <row r="3" spans="1:28" x14ac:dyDescent="0.3">
      <c r="A3" s="192" t="s">
        <v>411</v>
      </c>
      <c r="B3" s="144" t="s">
        <v>813</v>
      </c>
      <c r="C3" s="144" t="s">
        <v>412</v>
      </c>
      <c r="D3" s="144" t="s">
        <v>416</v>
      </c>
      <c r="E3" s="190" t="s">
        <v>184</v>
      </c>
      <c r="F3" s="190" t="s">
        <v>413</v>
      </c>
      <c r="G3" s="190" t="s">
        <v>427</v>
      </c>
      <c r="H3" s="144" t="s">
        <v>428</v>
      </c>
      <c r="I3" s="144" t="s">
        <v>430</v>
      </c>
      <c r="J3" s="144" t="s">
        <v>429</v>
      </c>
      <c r="K3" s="190" t="s">
        <v>417</v>
      </c>
      <c r="L3" s="144" t="s">
        <v>414</v>
      </c>
      <c r="M3" s="190" t="s">
        <v>433</v>
      </c>
      <c r="N3" s="190" t="s">
        <v>432</v>
      </c>
      <c r="O3" s="190" t="s">
        <v>437</v>
      </c>
      <c r="P3" s="144" t="s">
        <v>438</v>
      </c>
      <c r="Q3" s="144" t="s">
        <v>431</v>
      </c>
      <c r="R3" s="144" t="s">
        <v>435</v>
      </c>
      <c r="S3" s="144" t="s">
        <v>434</v>
      </c>
      <c r="T3" s="190" t="s">
        <v>418</v>
      </c>
      <c r="U3" s="144" t="s">
        <v>828</v>
      </c>
      <c r="V3" s="144" t="s">
        <v>443</v>
      </c>
      <c r="W3" s="195" t="s">
        <v>441</v>
      </c>
      <c r="X3" s="144" t="s">
        <v>442</v>
      </c>
      <c r="Y3" s="195" t="s">
        <v>439</v>
      </c>
      <c r="Z3" s="195" t="s">
        <v>832</v>
      </c>
      <c r="AA3" s="144" t="s">
        <v>440</v>
      </c>
      <c r="AB3" s="144" t="s">
        <v>436</v>
      </c>
    </row>
    <row r="4" spans="1:28" ht="18.75" customHeight="1" x14ac:dyDescent="0.3">
      <c r="A4" s="251"/>
      <c r="B4" s="252"/>
      <c r="C4" s="252"/>
      <c r="D4" s="252"/>
      <c r="E4" s="166" t="str">
        <f>IFERROR(VLOOKUP(基本資料填寫!$E$1&amp;"-"&amp;ROW(CS1),基本資料填寫!$E:$EU,COLUMN(基本資料填寫!CW1),0),"")</f>
        <v>B21317</v>
      </c>
      <c r="F4" s="166">
        <f>IFERROR(VLOOKUP(基本資料填寫!$E$1&amp;"-"&amp;ROW(CT1),基本資料填寫!$E:$EU,COLUMN(基本資料填寫!CX1),0),"")</f>
        <v>43212</v>
      </c>
      <c r="G4" s="166" t="str">
        <f>IFERROR(VLOOKUP(基本資料填寫!$E$1&amp;"-"&amp;ROW(CQ1),基本資料填寫!$E:$EU,COLUMN(基本資料填寫!CU1),0),"")</f>
        <v>聲力電話系統技術手冊</v>
      </c>
      <c r="H4" s="251"/>
      <c r="I4" s="252"/>
      <c r="J4" s="252"/>
      <c r="K4" s="166" t="str">
        <f>IFERROR(VLOOKUP(基本資料填寫!$E$1&amp;"-"&amp;ROW(DC1),基本資料填寫!$E:$EU,COLUMN(基本資料填寫!DH1),0),"")</f>
        <v>0</v>
      </c>
      <c r="M4" s="166" t="str">
        <f>IFERROR(VLOOKUP(基本資料填寫!$E$1&amp;"-"&amp;ROW(DI1),基本資料填寫!$E:$EU,COLUMN(基本資料填寫!DN1),0),"")</f>
        <v>2</v>
      </c>
      <c r="N4" s="166" t="str">
        <f>IFERROR(VLOOKUP(基本資料填寫!$E$1&amp;"-"&amp;ROW(DH1),基本資料填寫!$E:$EU,COLUMN(基本資料填寫!DM1),0),"")</f>
        <v>1</v>
      </c>
      <c r="O4" s="166" t="str">
        <f>IFERROR(VLOOKUP(基本資料填寫!$E$1&amp;"-"&amp;ROW(DJ1),基本資料填寫!$E:$EU,COLUMN(基本資料填寫!DO1),0),"")</f>
        <v>1</v>
      </c>
      <c r="P4" s="252"/>
      <c r="Q4" s="252"/>
      <c r="R4" s="252"/>
      <c r="S4" s="252"/>
      <c r="T4" s="166" t="str">
        <f>IFERROR(VLOOKUP(基本資料填寫!$E$1&amp;"-"&amp;ROW(DG1),基本資料填寫!$E:$EU,COLUMN(基本資料填寫!DL1),0),"")</f>
        <v>1</v>
      </c>
      <c r="U4" s="252"/>
      <c r="X4" s="252"/>
      <c r="AA4" s="252"/>
      <c r="AB4" s="252"/>
    </row>
    <row r="5" spans="1:28" ht="32.4" x14ac:dyDescent="0.3">
      <c r="A5" s="169"/>
      <c r="B5" s="168"/>
      <c r="C5" s="168"/>
      <c r="D5" s="168"/>
      <c r="E5" s="166" t="str">
        <f>IFERROR(VLOOKUP(基本資料填寫!$E$1&amp;"-"&amp;ROW(CS2),基本資料填寫!$E:$EU,COLUMN(基本資料填寫!CW2),0),"")</f>
        <v/>
      </c>
      <c r="F5" s="166">
        <f>IFERROR(VLOOKUP(基本資料填寫!$E$1&amp;"-"&amp;ROW(CT2),基本資料填寫!$E:$EU,COLUMN(基本資料填寫!CX2),0),"")</f>
        <v>0</v>
      </c>
      <c r="G5" s="166">
        <f>IFERROR(VLOOKUP(基本資料填寫!$E$1&amp;"-"&amp;ROW(CQ2),基本資料填寫!$E:$EU,COLUMN(基本資料填寫!CU2),0),"")</f>
        <v>0</v>
      </c>
      <c r="H5" s="169"/>
      <c r="I5" s="168"/>
      <c r="J5" s="168"/>
      <c r="K5" s="166">
        <f>IFERROR(VLOOKUP(基本資料填寫!$E$1&amp;"-"&amp;ROW(DC2),基本資料填寫!$E:$EU,COLUMN(基本資料填寫!DH2),0),"")</f>
        <v>0</v>
      </c>
      <c r="M5" s="166">
        <f>IFERROR(VLOOKUP(基本資料填寫!$E$1&amp;"-"&amp;ROW(DI2),基本資料填寫!$E:$EU,COLUMN(基本資料填寫!DN2),0),"")</f>
        <v>0</v>
      </c>
      <c r="N5" s="166">
        <f>IFERROR(VLOOKUP(基本資料填寫!$E$1&amp;"-"&amp;ROW(DH2),基本資料填寫!$E:$EU,COLUMN(基本資料填寫!DM2),0),"")</f>
        <v>0</v>
      </c>
      <c r="O5" s="166">
        <f>IFERROR(VLOOKUP(基本資料填寫!$E$1&amp;"-"&amp;ROW(DJ2),基本資料填寫!$E:$EU,COLUMN(基本資料填寫!DO2),0),"")</f>
        <v>0</v>
      </c>
      <c r="P5" s="252"/>
      <c r="Q5" s="252"/>
      <c r="R5" s="252"/>
      <c r="S5" s="252"/>
      <c r="T5" s="166">
        <f>IFERROR(VLOOKUP(基本資料填寫!$E$1&amp;"-"&amp;ROW(DG2),基本資料填寫!$E:$EU,COLUMN(基本資料填寫!DL2),0),"")</f>
        <v>0</v>
      </c>
      <c r="U5" s="168"/>
      <c r="X5" s="168"/>
      <c r="AA5" s="168"/>
      <c r="AB5" s="168"/>
    </row>
    <row r="6" spans="1:28" ht="18.75" customHeight="1" x14ac:dyDescent="0.3">
      <c r="A6" s="169"/>
      <c r="B6" s="168"/>
      <c r="C6" s="168"/>
      <c r="D6" s="168"/>
      <c r="E6" s="166" t="str">
        <f>IFERROR(VLOOKUP(基本資料填寫!$E$1&amp;"-"&amp;ROW(CS3),基本資料填寫!$E:$EU,COLUMN(基本資料填寫!CW3),0),"")</f>
        <v/>
      </c>
      <c r="F6" s="166">
        <f>IFERROR(VLOOKUP(基本資料填寫!$E$1&amp;"-"&amp;ROW(CT3),基本資料填寫!$E:$EU,COLUMN(基本資料填寫!CX3),0),"")</f>
        <v>0</v>
      </c>
      <c r="G6" s="166">
        <f>IFERROR(VLOOKUP(基本資料填寫!$E$1&amp;"-"&amp;ROW(CQ3),基本資料填寫!$E:$EU,COLUMN(基本資料填寫!CU3),0),"")</f>
        <v>0</v>
      </c>
      <c r="H6" s="169"/>
      <c r="I6" s="168"/>
      <c r="J6" s="168"/>
      <c r="K6" s="166">
        <f>IFERROR(VLOOKUP(基本資料填寫!$E$1&amp;"-"&amp;ROW(DC3),基本資料填寫!$E:$EU,COLUMN(基本資料填寫!DH3),0),"")</f>
        <v>0</v>
      </c>
      <c r="M6" s="166">
        <f>IFERROR(VLOOKUP(基本資料填寫!$E$1&amp;"-"&amp;ROW(DI3),基本資料填寫!$E:$EU,COLUMN(基本資料填寫!DN3),0),"")</f>
        <v>0</v>
      </c>
      <c r="N6" s="166">
        <f>IFERROR(VLOOKUP(基本資料填寫!$E$1&amp;"-"&amp;ROW(DH3),基本資料填寫!$E:$EU,COLUMN(基本資料填寫!DM3),0),"")</f>
        <v>0</v>
      </c>
      <c r="O6" s="166">
        <f>IFERROR(VLOOKUP(基本資料填寫!$E$1&amp;"-"&amp;ROW(DJ3),基本資料填寫!$E:$EU,COLUMN(基本資料填寫!DO3),0),"")</f>
        <v>0</v>
      </c>
      <c r="P6" s="252"/>
      <c r="Q6" s="252"/>
      <c r="R6" s="252"/>
      <c r="S6" s="252"/>
      <c r="T6" s="166">
        <f>IFERROR(VLOOKUP(基本資料填寫!$E$1&amp;"-"&amp;ROW(DG3),基本資料填寫!$E:$EU,COLUMN(基本資料填寫!DL3),0),"")</f>
        <v>0</v>
      </c>
      <c r="U6" s="168"/>
      <c r="X6" s="168"/>
      <c r="AA6" s="168"/>
      <c r="AB6" s="168"/>
    </row>
    <row r="7" spans="1:28" ht="18.75" customHeight="1" x14ac:dyDescent="0.3">
      <c r="A7" s="169"/>
      <c r="B7" s="168"/>
      <c r="C7" s="168"/>
      <c r="D7" s="168"/>
      <c r="E7" s="166" t="str">
        <f>IFERROR(VLOOKUP(基本資料填寫!$E$1&amp;"-"&amp;ROW(CS4),基本資料填寫!$E:$EU,COLUMN(基本資料填寫!CW4),0),"")</f>
        <v/>
      </c>
      <c r="F7" s="166">
        <f>IFERROR(VLOOKUP(基本資料填寫!$E$1&amp;"-"&amp;ROW(CT4),基本資料填寫!$E:$EU,COLUMN(基本資料填寫!CX4),0),"")</f>
        <v>0</v>
      </c>
      <c r="G7" s="166">
        <f>IFERROR(VLOOKUP(基本資料填寫!$E$1&amp;"-"&amp;ROW(CQ4),基本資料填寫!$E:$EU,COLUMN(基本資料填寫!CU4),0),"")</f>
        <v>0</v>
      </c>
      <c r="H7" s="169"/>
      <c r="I7" s="168"/>
      <c r="J7" s="168"/>
      <c r="K7" s="166">
        <f>IFERROR(VLOOKUP(基本資料填寫!$E$1&amp;"-"&amp;ROW(DC4),基本資料填寫!$E:$EU,COLUMN(基本資料填寫!DH4),0),"")</f>
        <v>0</v>
      </c>
      <c r="M7" s="166">
        <f>IFERROR(VLOOKUP(基本資料填寫!$E$1&amp;"-"&amp;ROW(DI4),基本資料填寫!$E:$EU,COLUMN(基本資料填寫!DN4),0),"")</f>
        <v>0</v>
      </c>
      <c r="N7" s="166">
        <f>IFERROR(VLOOKUP(基本資料填寫!$E$1&amp;"-"&amp;ROW(DH4),基本資料填寫!$E:$EU,COLUMN(基本資料填寫!DM4),0),"")</f>
        <v>0</v>
      </c>
      <c r="O7" s="166">
        <f>IFERROR(VLOOKUP(基本資料填寫!$E$1&amp;"-"&amp;ROW(DJ4),基本資料填寫!$E:$EU,COLUMN(基本資料填寫!DO4),0),"")</f>
        <v>0</v>
      </c>
      <c r="P7" s="252"/>
      <c r="Q7" s="252"/>
      <c r="R7" s="252"/>
      <c r="S7" s="252"/>
      <c r="T7" s="166">
        <f>IFERROR(VLOOKUP(基本資料填寫!$E$1&amp;"-"&amp;ROW(DG4),基本資料填寫!$E:$EU,COLUMN(基本資料填寫!DL4),0),"")</f>
        <v>0</v>
      </c>
      <c r="U7" s="168"/>
      <c r="V7" s="169"/>
      <c r="X7" s="168"/>
      <c r="AA7" s="168"/>
      <c r="AB7" s="168"/>
    </row>
    <row r="8" spans="1:28" ht="18.75" customHeight="1" x14ac:dyDescent="0.3">
      <c r="A8" s="169"/>
      <c r="B8" s="168"/>
      <c r="C8" s="168"/>
      <c r="D8" s="168"/>
      <c r="E8" s="166" t="str">
        <f>IFERROR(VLOOKUP(基本資料填寫!$E$1&amp;"-"&amp;ROW(CS5),基本資料填寫!$E:$EU,COLUMN(基本資料填寫!CW5),0),"")</f>
        <v/>
      </c>
      <c r="F8" s="166">
        <f>IFERROR(VLOOKUP(基本資料填寫!$E$1&amp;"-"&amp;ROW(CT5),基本資料填寫!$E:$EU,COLUMN(基本資料填寫!CX5),0),"")</f>
        <v>0</v>
      </c>
      <c r="G8" s="166">
        <f>IFERROR(VLOOKUP(基本資料填寫!$E$1&amp;"-"&amp;ROW(CQ5),基本資料填寫!$E:$EU,COLUMN(基本資料填寫!CU5),0),"")</f>
        <v>0</v>
      </c>
      <c r="H8" s="169"/>
      <c r="I8" s="168"/>
      <c r="J8" s="168"/>
      <c r="K8" s="166">
        <f>IFERROR(VLOOKUP(基本資料填寫!$E$1&amp;"-"&amp;ROW(DC5),基本資料填寫!$E:$EU,COLUMN(基本資料填寫!DH5),0),"")</f>
        <v>0</v>
      </c>
      <c r="M8" s="166">
        <f>IFERROR(VLOOKUP(基本資料填寫!$E$1&amp;"-"&amp;ROW(DI5),基本資料填寫!$E:$EU,COLUMN(基本資料填寫!DN5),0),"")</f>
        <v>0</v>
      </c>
      <c r="N8" s="166">
        <f>IFERROR(VLOOKUP(基本資料填寫!$E$1&amp;"-"&amp;ROW(DH5),基本資料填寫!$E:$EU,COLUMN(基本資料填寫!DM5),0),"")</f>
        <v>0</v>
      </c>
      <c r="O8" s="166">
        <f>IFERROR(VLOOKUP(基本資料填寫!$E$1&amp;"-"&amp;ROW(DJ5),基本資料填寫!$E:$EU,COLUMN(基本資料填寫!DO5),0),"")</f>
        <v>0</v>
      </c>
      <c r="P8" s="252"/>
      <c r="Q8" s="252"/>
      <c r="R8" s="252"/>
      <c r="S8" s="252"/>
      <c r="T8" s="166">
        <f>IFERROR(VLOOKUP(基本資料填寫!$E$1&amp;"-"&amp;ROW(DG5),基本資料填寫!$E:$EU,COLUMN(基本資料填寫!DL5),0),"")</f>
        <v>0</v>
      </c>
      <c r="U8" s="168"/>
      <c r="V8" s="169"/>
      <c r="X8" s="168"/>
      <c r="AA8" s="168"/>
      <c r="AB8" s="168"/>
    </row>
    <row r="9" spans="1:28" ht="18.75" customHeight="1" x14ac:dyDescent="0.3">
      <c r="A9" s="169"/>
      <c r="B9" s="168"/>
      <c r="C9" s="168"/>
      <c r="D9" s="168"/>
      <c r="E9" s="166" t="str">
        <f>IFERROR(VLOOKUP(基本資料填寫!$E$1&amp;"-"&amp;ROW(CS6),基本資料填寫!$E:$EU,COLUMN(基本資料填寫!CW6),0),"")</f>
        <v/>
      </c>
      <c r="F9" s="166">
        <f>IFERROR(VLOOKUP(基本資料填寫!$E$1&amp;"-"&amp;ROW(CT6),基本資料填寫!$E:$EU,COLUMN(基本資料填寫!CX6),0),"")</f>
        <v>0</v>
      </c>
      <c r="G9" s="166">
        <f>IFERROR(VLOOKUP(基本資料填寫!$E$1&amp;"-"&amp;ROW(CQ6),基本資料填寫!$E:$EU,COLUMN(基本資料填寫!CU6),0),"")</f>
        <v>0</v>
      </c>
      <c r="H9" s="169"/>
      <c r="I9" s="168"/>
      <c r="J9" s="168"/>
      <c r="K9" s="166">
        <f>IFERROR(VLOOKUP(基本資料填寫!$E$1&amp;"-"&amp;ROW(DC6),基本資料填寫!$E:$EU,COLUMN(基本資料填寫!DH6),0),"")</f>
        <v>0</v>
      </c>
      <c r="M9" s="166">
        <f>IFERROR(VLOOKUP(基本資料填寫!$E$1&amp;"-"&amp;ROW(DI6),基本資料填寫!$E:$EU,COLUMN(基本資料填寫!DN6),0),"")</f>
        <v>0</v>
      </c>
      <c r="N9" s="166">
        <f>IFERROR(VLOOKUP(基本資料填寫!$E$1&amp;"-"&amp;ROW(DH6),基本資料填寫!$E:$EU,COLUMN(基本資料填寫!DM6),0),"")</f>
        <v>0</v>
      </c>
      <c r="O9" s="166">
        <f>IFERROR(VLOOKUP(基本資料填寫!$E$1&amp;"-"&amp;ROW(DJ6),基本資料填寫!$E:$EU,COLUMN(基本資料填寫!DO6),0),"")</f>
        <v>0</v>
      </c>
      <c r="P9" s="252"/>
      <c r="Q9" s="252"/>
      <c r="R9" s="252"/>
      <c r="S9" s="252"/>
      <c r="T9" s="166">
        <f>IFERROR(VLOOKUP(基本資料填寫!$E$1&amp;"-"&amp;ROW(DG6),基本資料填寫!$E:$EU,COLUMN(基本資料填寫!DL6),0),"")</f>
        <v>0</v>
      </c>
      <c r="U9" s="168"/>
      <c r="V9" s="169"/>
      <c r="X9" s="168"/>
      <c r="AA9" s="168"/>
      <c r="AB9" s="168"/>
    </row>
    <row r="10" spans="1:28" ht="18.75" customHeight="1" x14ac:dyDescent="0.3">
      <c r="A10" s="169"/>
      <c r="B10" s="168"/>
      <c r="C10" s="168"/>
      <c r="D10" s="168"/>
      <c r="E10" s="166" t="str">
        <f>IFERROR(VLOOKUP(基本資料填寫!$E$1&amp;"-"&amp;ROW(CS7),基本資料填寫!$E:$EU,COLUMN(基本資料填寫!CW7),0),"")</f>
        <v/>
      </c>
      <c r="F10" s="166">
        <f>IFERROR(VLOOKUP(基本資料填寫!$E$1&amp;"-"&amp;ROW(CT7),基本資料填寫!$E:$EU,COLUMN(基本資料填寫!CX7),0),"")</f>
        <v>0</v>
      </c>
      <c r="G10" s="166">
        <f>IFERROR(VLOOKUP(基本資料填寫!$E$1&amp;"-"&amp;ROW(CQ7),基本資料填寫!$E:$EU,COLUMN(基本資料填寫!CU7),0),"")</f>
        <v>0</v>
      </c>
      <c r="H10" s="169"/>
      <c r="I10" s="168"/>
      <c r="J10" s="168"/>
      <c r="K10" s="166">
        <f>IFERROR(VLOOKUP(基本資料填寫!$E$1&amp;"-"&amp;ROW(DC7),基本資料填寫!$E:$EU,COLUMN(基本資料填寫!DH7),0),"")</f>
        <v>0</v>
      </c>
      <c r="M10" s="166">
        <f>IFERROR(VLOOKUP(基本資料填寫!$E$1&amp;"-"&amp;ROW(DI7),基本資料填寫!$E:$EU,COLUMN(基本資料填寫!DN7),0),"")</f>
        <v>0</v>
      </c>
      <c r="N10" s="166">
        <f>IFERROR(VLOOKUP(基本資料填寫!$E$1&amp;"-"&amp;ROW(DH7),基本資料填寫!$E:$EU,COLUMN(基本資料填寫!DM7),0),"")</f>
        <v>0</v>
      </c>
      <c r="O10" s="166">
        <f>IFERROR(VLOOKUP(基本資料填寫!$E$1&amp;"-"&amp;ROW(DJ7),基本資料填寫!$E:$EU,COLUMN(基本資料填寫!DO7),0),"")</f>
        <v>0</v>
      </c>
      <c r="P10" s="252"/>
      <c r="Q10" s="252"/>
      <c r="R10" s="252"/>
      <c r="S10" s="252"/>
      <c r="T10" s="166">
        <f>IFERROR(VLOOKUP(基本資料填寫!$E$1&amp;"-"&amp;ROW(DG7),基本資料填寫!$E:$EU,COLUMN(基本資料填寫!DL7),0),"")</f>
        <v>0</v>
      </c>
      <c r="U10" s="168"/>
      <c r="V10" s="169"/>
      <c r="X10" s="168"/>
      <c r="AA10" s="168"/>
      <c r="AB10" s="168"/>
    </row>
    <row r="11" spans="1:28" ht="18.75" customHeight="1" x14ac:dyDescent="0.3">
      <c r="A11" s="169"/>
      <c r="B11" s="168"/>
      <c r="C11" s="168"/>
      <c r="D11" s="168"/>
      <c r="E11" s="166" t="str">
        <f>IFERROR(VLOOKUP(基本資料填寫!$E$1&amp;"-"&amp;ROW(CS8),基本資料填寫!$E:$EU,COLUMN(基本資料填寫!CW8),0),"")</f>
        <v/>
      </c>
      <c r="F11" s="166">
        <f>IFERROR(VLOOKUP(基本資料填寫!$E$1&amp;"-"&amp;ROW(CT8),基本資料填寫!$E:$EU,COLUMN(基本資料填寫!CX8),0),"")</f>
        <v>0</v>
      </c>
      <c r="G11" s="166">
        <f>IFERROR(VLOOKUP(基本資料填寫!$E$1&amp;"-"&amp;ROW(CQ8),基本資料填寫!$E:$EU,COLUMN(基本資料填寫!CU8),0),"")</f>
        <v>0</v>
      </c>
      <c r="H11" s="169"/>
      <c r="I11" s="168"/>
      <c r="J11" s="168"/>
      <c r="K11" s="166">
        <f>IFERROR(VLOOKUP(基本資料填寫!$E$1&amp;"-"&amp;ROW(DC8),基本資料填寫!$E:$EU,COLUMN(基本資料填寫!DH8),0),"")</f>
        <v>0</v>
      </c>
      <c r="M11" s="166">
        <f>IFERROR(VLOOKUP(基本資料填寫!$E$1&amp;"-"&amp;ROW(DI8),基本資料填寫!$E:$EU,COLUMN(基本資料填寫!DN8),0),"")</f>
        <v>0</v>
      </c>
      <c r="N11" s="166">
        <f>IFERROR(VLOOKUP(基本資料填寫!$E$1&amp;"-"&amp;ROW(DH8),基本資料填寫!$E:$EU,COLUMN(基本資料填寫!DM8),0),"")</f>
        <v>0</v>
      </c>
      <c r="O11" s="166">
        <f>IFERROR(VLOOKUP(基本資料填寫!$E$1&amp;"-"&amp;ROW(DJ8),基本資料填寫!$E:$EU,COLUMN(基本資料填寫!DO8),0),"")</f>
        <v>0</v>
      </c>
      <c r="P11" s="252"/>
      <c r="Q11" s="252"/>
      <c r="R11" s="252"/>
      <c r="S11" s="252"/>
      <c r="T11" s="166">
        <f>IFERROR(VLOOKUP(基本資料填寫!$E$1&amp;"-"&amp;ROW(DG8),基本資料填寫!$E:$EU,COLUMN(基本資料填寫!DL8),0),"")</f>
        <v>0</v>
      </c>
      <c r="U11" s="168"/>
      <c r="V11" s="169"/>
      <c r="X11" s="168"/>
      <c r="AA11" s="168"/>
      <c r="AB11" s="168"/>
    </row>
    <row r="12" spans="1:28" ht="18.75" customHeight="1" x14ac:dyDescent="0.3">
      <c r="A12" s="169"/>
      <c r="B12" s="168"/>
      <c r="C12" s="168"/>
      <c r="D12" s="168"/>
      <c r="E12" s="166" t="str">
        <f>IFERROR(VLOOKUP(基本資料填寫!$E$1&amp;"-"&amp;ROW(CS9),基本資料填寫!$E:$EU,COLUMN(基本資料填寫!CW9),0),"")</f>
        <v/>
      </c>
      <c r="F12" s="166">
        <f>IFERROR(VLOOKUP(基本資料填寫!$E$1&amp;"-"&amp;ROW(CT9),基本資料填寫!$E:$EU,COLUMN(基本資料填寫!CX9),0),"")</f>
        <v>0</v>
      </c>
      <c r="G12" s="166">
        <f>IFERROR(VLOOKUP(基本資料填寫!$E$1&amp;"-"&amp;ROW(CQ9),基本資料填寫!$E:$EU,COLUMN(基本資料填寫!CU9),0),"")</f>
        <v>0</v>
      </c>
      <c r="H12" s="169"/>
      <c r="I12" s="168"/>
      <c r="J12" s="168"/>
      <c r="K12" s="166">
        <f>IFERROR(VLOOKUP(基本資料填寫!$E$1&amp;"-"&amp;ROW(DC9),基本資料填寫!$E:$EU,COLUMN(基本資料填寫!DH9),0),"")</f>
        <v>0</v>
      </c>
      <c r="M12" s="166">
        <f>IFERROR(VLOOKUP(基本資料填寫!$E$1&amp;"-"&amp;ROW(DI9),基本資料填寫!$E:$EU,COLUMN(基本資料填寫!DN9),0),"")</f>
        <v>0</v>
      </c>
      <c r="N12" s="166">
        <f>IFERROR(VLOOKUP(基本資料填寫!$E$1&amp;"-"&amp;ROW(DH9),基本資料填寫!$E:$EU,COLUMN(基本資料填寫!DM9),0),"")</f>
        <v>0</v>
      </c>
      <c r="O12" s="166">
        <f>IFERROR(VLOOKUP(基本資料填寫!$E$1&amp;"-"&amp;ROW(DJ9),基本資料填寫!$E:$EU,COLUMN(基本資料填寫!DO9),0),"")</f>
        <v>0</v>
      </c>
      <c r="P12" s="252"/>
      <c r="Q12" s="252"/>
      <c r="R12" s="252"/>
      <c r="S12" s="252"/>
      <c r="T12" s="166">
        <f>IFERROR(VLOOKUP(基本資料填寫!$E$1&amp;"-"&amp;ROW(DG9),基本資料填寫!$E:$EU,COLUMN(基本資料填寫!DL9),0),"")</f>
        <v>0</v>
      </c>
      <c r="U12" s="168"/>
      <c r="V12" s="169"/>
      <c r="X12" s="168"/>
      <c r="AA12" s="168"/>
    </row>
    <row r="13" spans="1:28" ht="18.75" customHeight="1" x14ac:dyDescent="0.3">
      <c r="A13" s="169"/>
      <c r="B13" s="168"/>
      <c r="C13" s="168"/>
      <c r="D13" s="168"/>
      <c r="E13" s="166" t="str">
        <f>IFERROR(VLOOKUP(基本資料填寫!$E$1&amp;"-"&amp;ROW(CS10),基本資料填寫!$E:$EU,COLUMN(基本資料填寫!CW10),0),"")</f>
        <v/>
      </c>
      <c r="F13" s="166">
        <f>IFERROR(VLOOKUP(基本資料填寫!$E$1&amp;"-"&amp;ROW(CT10),基本資料填寫!$E:$EU,COLUMN(基本資料填寫!CX10),0),"")</f>
        <v>0</v>
      </c>
      <c r="G13" s="166">
        <f>IFERROR(VLOOKUP(基本資料填寫!$E$1&amp;"-"&amp;ROW(CQ10),基本資料填寫!$E:$EU,COLUMN(基本資料填寫!CU10),0),"")</f>
        <v>0</v>
      </c>
      <c r="H13" s="169"/>
      <c r="I13" s="168"/>
      <c r="J13" s="168"/>
      <c r="K13" s="166">
        <f>IFERROR(VLOOKUP(基本資料填寫!$E$1&amp;"-"&amp;ROW(DC10),基本資料填寫!$E:$EU,COLUMN(基本資料填寫!DH10),0),"")</f>
        <v>0</v>
      </c>
      <c r="M13" s="166">
        <f>IFERROR(VLOOKUP(基本資料填寫!$E$1&amp;"-"&amp;ROW(DI10),基本資料填寫!$E:$EU,COLUMN(基本資料填寫!DN10),0),"")</f>
        <v>0</v>
      </c>
      <c r="N13" s="166">
        <f>IFERROR(VLOOKUP(基本資料填寫!$E$1&amp;"-"&amp;ROW(DH10),基本資料填寫!$E:$EU,COLUMN(基本資料填寫!DM10),0),"")</f>
        <v>0</v>
      </c>
      <c r="O13" s="166">
        <f>IFERROR(VLOOKUP(基本資料填寫!$E$1&amp;"-"&amp;ROW(DJ10),基本資料填寫!$E:$EU,COLUMN(基本資料填寫!DO10),0),"")</f>
        <v>0</v>
      </c>
      <c r="P13" s="252"/>
      <c r="Q13" s="252"/>
      <c r="R13" s="252"/>
      <c r="S13" s="252"/>
      <c r="T13" s="166">
        <f>IFERROR(VLOOKUP(基本資料填寫!$E$1&amp;"-"&amp;ROW(DG10),基本資料填寫!$E:$EU,COLUMN(基本資料填寫!DL10),0),"")</f>
        <v>0</v>
      </c>
      <c r="U13" s="168"/>
      <c r="V13" s="169"/>
      <c r="X13" s="168"/>
      <c r="AA13" s="168"/>
      <c r="AB13" s="168"/>
    </row>
    <row r="14" spans="1:28" ht="18.75" customHeight="1" x14ac:dyDescent="0.3">
      <c r="A14" s="169"/>
      <c r="B14" s="168"/>
      <c r="C14" s="168"/>
      <c r="D14" s="168"/>
      <c r="E14" s="166" t="str">
        <f>IFERROR(VLOOKUP(基本資料填寫!$E$1&amp;"-"&amp;ROW(CS11),基本資料填寫!$E:$EU,COLUMN(基本資料填寫!CW11),0),"")</f>
        <v/>
      </c>
      <c r="F14" s="166">
        <f>IFERROR(VLOOKUP(基本資料填寫!$E$1&amp;"-"&amp;ROW(CT11),基本資料填寫!$E:$EU,COLUMN(基本資料填寫!CX11),0),"")</f>
        <v>0</v>
      </c>
      <c r="G14" s="166">
        <f>IFERROR(VLOOKUP(基本資料填寫!$E$1&amp;"-"&amp;ROW(CQ11),基本資料填寫!$E:$EU,COLUMN(基本資料填寫!CU11),0),"")</f>
        <v>0</v>
      </c>
      <c r="H14" s="169"/>
      <c r="I14" s="168"/>
      <c r="J14" s="168"/>
      <c r="K14" s="166">
        <f>IFERROR(VLOOKUP(基本資料填寫!$E$1&amp;"-"&amp;ROW(DC11),基本資料填寫!$E:$EU,COLUMN(基本資料填寫!DH11),0),"")</f>
        <v>0</v>
      </c>
      <c r="M14" s="166">
        <f>IFERROR(VLOOKUP(基本資料填寫!$E$1&amp;"-"&amp;ROW(DI11),基本資料填寫!$E:$EU,COLUMN(基本資料填寫!DN11),0),"")</f>
        <v>0</v>
      </c>
      <c r="N14" s="166">
        <f>IFERROR(VLOOKUP(基本資料填寫!$E$1&amp;"-"&amp;ROW(DH11),基本資料填寫!$E:$EU,COLUMN(基本資料填寫!DM11),0),"")</f>
        <v>0</v>
      </c>
      <c r="O14" s="166">
        <f>IFERROR(VLOOKUP(基本資料填寫!$E$1&amp;"-"&amp;ROW(DJ11),基本資料填寫!$E:$EU,COLUMN(基本資料填寫!DO11),0),"")</f>
        <v>0</v>
      </c>
      <c r="P14" s="252"/>
      <c r="Q14" s="252"/>
      <c r="R14" s="252"/>
      <c r="S14" s="252"/>
      <c r="T14" s="166">
        <f>IFERROR(VLOOKUP(基本資料填寫!$E$1&amp;"-"&amp;ROW(DG11),基本資料填寫!$E:$EU,COLUMN(基本資料填寫!DL11),0),"")</f>
        <v>0</v>
      </c>
      <c r="U14" s="168"/>
      <c r="V14" s="169"/>
      <c r="X14" s="168"/>
      <c r="AA14" s="168"/>
      <c r="AB14" s="168"/>
    </row>
    <row r="15" spans="1:28" ht="18.75" customHeight="1" x14ac:dyDescent="0.3">
      <c r="A15" s="169"/>
      <c r="B15" s="168"/>
      <c r="C15" s="168"/>
      <c r="D15" s="168"/>
      <c r="E15" s="166" t="str">
        <f>IFERROR(VLOOKUP(基本資料填寫!$E$1&amp;"-"&amp;ROW(CS12),基本資料填寫!$E:$EU,COLUMN(基本資料填寫!CW12),0),"")</f>
        <v/>
      </c>
      <c r="F15" s="166">
        <f>IFERROR(VLOOKUP(基本資料填寫!$E$1&amp;"-"&amp;ROW(CT12),基本資料填寫!$E:$EU,COLUMN(基本資料填寫!CX12),0),"")</f>
        <v>0</v>
      </c>
      <c r="G15" s="166">
        <f>IFERROR(VLOOKUP(基本資料填寫!$E$1&amp;"-"&amp;ROW(CQ12),基本資料填寫!$E:$EU,COLUMN(基本資料填寫!CU12),0),"")</f>
        <v>0</v>
      </c>
      <c r="H15" s="169"/>
      <c r="I15" s="168"/>
      <c r="J15" s="168"/>
      <c r="K15" s="166">
        <f>IFERROR(VLOOKUP(基本資料填寫!$E$1&amp;"-"&amp;ROW(DC12),基本資料填寫!$E:$EU,COLUMN(基本資料填寫!DH12),0),"")</f>
        <v>0</v>
      </c>
      <c r="M15" s="166">
        <f>IFERROR(VLOOKUP(基本資料填寫!$E$1&amp;"-"&amp;ROW(DI12),基本資料填寫!$E:$EU,COLUMN(基本資料填寫!DN12),0),"")</f>
        <v>0</v>
      </c>
      <c r="N15" s="166">
        <f>IFERROR(VLOOKUP(基本資料填寫!$E$1&amp;"-"&amp;ROW(DH12),基本資料填寫!$E:$EU,COLUMN(基本資料填寫!DM12),0),"")</f>
        <v>0</v>
      </c>
      <c r="O15" s="166">
        <f>IFERROR(VLOOKUP(基本資料填寫!$E$1&amp;"-"&amp;ROW(DJ12),基本資料填寫!$E:$EU,COLUMN(基本資料填寫!DO12),0),"")</f>
        <v>0</v>
      </c>
      <c r="P15" s="252"/>
      <c r="Q15" s="252"/>
      <c r="R15" s="252"/>
      <c r="S15" s="252"/>
      <c r="T15" s="166">
        <f>IFERROR(VLOOKUP(基本資料填寫!$E$1&amp;"-"&amp;ROW(DG12),基本資料填寫!$E:$EU,COLUMN(基本資料填寫!DL12),0),"")</f>
        <v>0</v>
      </c>
      <c r="U15" s="168"/>
      <c r="V15" s="169"/>
      <c r="X15" s="168"/>
      <c r="AA15" s="168"/>
      <c r="AB15" s="168"/>
    </row>
    <row r="16" spans="1:28" ht="18.75" customHeight="1" x14ac:dyDescent="0.3">
      <c r="A16" s="169"/>
      <c r="B16" s="168"/>
      <c r="C16" s="168"/>
      <c r="D16" s="168"/>
      <c r="E16" s="166" t="str">
        <f>IFERROR(VLOOKUP(基本資料填寫!$E$1&amp;"-"&amp;ROW(CS13),基本資料填寫!$E:$EU,COLUMN(基本資料填寫!CW13),0),"")</f>
        <v/>
      </c>
      <c r="F16" s="166">
        <f>IFERROR(VLOOKUP(基本資料填寫!$E$1&amp;"-"&amp;ROW(CT13),基本資料填寫!$E:$EU,COLUMN(基本資料填寫!CX13),0),"")</f>
        <v>0</v>
      </c>
      <c r="G16" s="166">
        <f>IFERROR(VLOOKUP(基本資料填寫!$E$1&amp;"-"&amp;ROW(CQ13),基本資料填寫!$E:$EU,COLUMN(基本資料填寫!CU13),0),"")</f>
        <v>0</v>
      </c>
      <c r="H16" s="169"/>
      <c r="I16" s="168"/>
      <c r="J16" s="168"/>
      <c r="K16" s="166">
        <f>IFERROR(VLOOKUP(基本資料填寫!$E$1&amp;"-"&amp;ROW(DC13),基本資料填寫!$E:$EU,COLUMN(基本資料填寫!DH13),0),"")</f>
        <v>0</v>
      </c>
      <c r="M16" s="166">
        <f>IFERROR(VLOOKUP(基本資料填寫!$E$1&amp;"-"&amp;ROW(DI13),基本資料填寫!$E:$EU,COLUMN(基本資料填寫!DN13),0),"")</f>
        <v>0</v>
      </c>
      <c r="N16" s="166">
        <f>IFERROR(VLOOKUP(基本資料填寫!$E$1&amp;"-"&amp;ROW(DH13),基本資料填寫!$E:$EU,COLUMN(基本資料填寫!DM13),0),"")</f>
        <v>0</v>
      </c>
      <c r="O16" s="166">
        <f>IFERROR(VLOOKUP(基本資料填寫!$E$1&amp;"-"&amp;ROW(DJ13),基本資料填寫!$E:$EU,COLUMN(基本資料填寫!DO13),0),"")</f>
        <v>0</v>
      </c>
      <c r="P16" s="252"/>
      <c r="Q16" s="252"/>
      <c r="R16" s="252"/>
      <c r="S16" s="252"/>
      <c r="T16" s="166">
        <f>IFERROR(VLOOKUP(基本資料填寫!$E$1&amp;"-"&amp;ROW(DG13),基本資料填寫!$E:$EU,COLUMN(基本資料填寫!DL13),0),"")</f>
        <v>0</v>
      </c>
      <c r="U16" s="168"/>
      <c r="V16" s="169"/>
      <c r="X16" s="168"/>
      <c r="AA16" s="168"/>
      <c r="AB16" s="168"/>
    </row>
    <row r="17" spans="1:28" ht="18.75" customHeight="1" x14ac:dyDescent="0.3">
      <c r="A17" s="169"/>
      <c r="B17" s="168"/>
      <c r="C17" s="168"/>
      <c r="D17" s="168"/>
      <c r="E17" s="166" t="str">
        <f>IFERROR(VLOOKUP(基本資料填寫!$E$1&amp;"-"&amp;ROW(CS14),基本資料填寫!$E:$EU,COLUMN(基本資料填寫!CW14),0),"")</f>
        <v/>
      </c>
      <c r="F17" s="166">
        <f>IFERROR(VLOOKUP(基本資料填寫!$E$1&amp;"-"&amp;ROW(CT14),基本資料填寫!$E:$EU,COLUMN(基本資料填寫!CX14),0),"")</f>
        <v>0</v>
      </c>
      <c r="G17" s="166">
        <f>IFERROR(VLOOKUP(基本資料填寫!$E$1&amp;"-"&amp;ROW(CQ14),基本資料填寫!$E:$EU,COLUMN(基本資料填寫!CU14),0),"")</f>
        <v>0</v>
      </c>
      <c r="H17" s="169"/>
      <c r="I17" s="168"/>
      <c r="J17" s="168"/>
      <c r="K17" s="166">
        <f>IFERROR(VLOOKUP(基本資料填寫!$E$1&amp;"-"&amp;ROW(DC14),基本資料填寫!$E:$EU,COLUMN(基本資料填寫!DH14),0),"")</f>
        <v>0</v>
      </c>
      <c r="M17" s="166">
        <f>IFERROR(VLOOKUP(基本資料填寫!$E$1&amp;"-"&amp;ROW(DI14),基本資料填寫!$E:$EU,COLUMN(基本資料填寫!DN14),0),"")</f>
        <v>0</v>
      </c>
      <c r="N17" s="166">
        <f>IFERROR(VLOOKUP(基本資料填寫!$E$1&amp;"-"&amp;ROW(DH14),基本資料填寫!$E:$EU,COLUMN(基本資料填寫!DM14),0),"")</f>
        <v>0</v>
      </c>
      <c r="O17" s="166">
        <f>IFERROR(VLOOKUP(基本資料填寫!$E$1&amp;"-"&amp;ROW(DJ14),基本資料填寫!$E:$EU,COLUMN(基本資料填寫!DO14),0),"")</f>
        <v>0</v>
      </c>
      <c r="P17" s="252"/>
      <c r="Q17" s="252"/>
      <c r="R17" s="252"/>
      <c r="S17" s="252"/>
      <c r="T17" s="166">
        <f>IFERROR(VLOOKUP(基本資料填寫!$E$1&amp;"-"&amp;ROW(DG14),基本資料填寫!$E:$EU,COLUMN(基本資料填寫!DL14),0),"")</f>
        <v>0</v>
      </c>
      <c r="U17" s="168"/>
      <c r="V17" s="169"/>
      <c r="X17" s="168"/>
      <c r="AA17" s="168"/>
      <c r="AB17" s="168"/>
    </row>
    <row r="18" spans="1:28" ht="18.75" customHeight="1" x14ac:dyDescent="0.3">
      <c r="A18" s="169"/>
      <c r="B18" s="168"/>
      <c r="C18" s="168"/>
      <c r="D18" s="168"/>
      <c r="E18" s="166" t="str">
        <f>IFERROR(VLOOKUP(基本資料填寫!$E$1&amp;"-"&amp;ROW(CS15),基本資料填寫!$E:$EU,COLUMN(基本資料填寫!CW15),0),"")</f>
        <v/>
      </c>
      <c r="F18" s="166" t="str">
        <f>IFERROR(VLOOKUP(基本資料填寫!$E$1&amp;"-"&amp;ROW(CT15),基本資料填寫!$E:$EU,COLUMN(基本資料填寫!CX15),0),"")</f>
        <v/>
      </c>
      <c r="G18" s="166" t="str">
        <f>IFERROR(VLOOKUP(基本資料填寫!$E$1&amp;"-"&amp;ROW(CQ15),基本資料填寫!$E:$EU,COLUMN(基本資料填寫!CU15),0),"")</f>
        <v/>
      </c>
      <c r="H18" s="169"/>
      <c r="I18" s="168"/>
      <c r="J18" s="168"/>
      <c r="K18" s="166" t="str">
        <f>IFERROR(VLOOKUP(基本資料填寫!$E$1&amp;"-"&amp;ROW(DC15),基本資料填寫!$E:$EU,COLUMN(基本資料填寫!DH15),0),"")</f>
        <v/>
      </c>
      <c r="M18" s="166" t="str">
        <f>IFERROR(VLOOKUP(基本資料填寫!$E$1&amp;"-"&amp;ROW(DI15),基本資料填寫!$E:$EU,COLUMN(基本資料填寫!DN15),0),"")</f>
        <v/>
      </c>
      <c r="N18" s="166" t="str">
        <f>IFERROR(VLOOKUP(基本資料填寫!$E$1&amp;"-"&amp;ROW(DH15),基本資料填寫!$E:$EU,COLUMN(基本資料填寫!DM15),0),"")</f>
        <v/>
      </c>
      <c r="O18" s="166" t="str">
        <f>IFERROR(VLOOKUP(基本資料填寫!$E$1&amp;"-"&amp;ROW(DJ15),基本資料填寫!$E:$EU,COLUMN(基本資料填寫!DO15),0),"")</f>
        <v/>
      </c>
      <c r="P18" s="252"/>
      <c r="Q18" s="252"/>
      <c r="R18" s="252"/>
      <c r="S18" s="252"/>
      <c r="T18" s="166" t="str">
        <f>IFERROR(VLOOKUP(基本資料填寫!$E$1&amp;"-"&amp;ROW(DG15),基本資料填寫!$E:$EU,COLUMN(基本資料填寫!DL15),0),"")</f>
        <v/>
      </c>
      <c r="U18" s="168"/>
      <c r="V18" s="169"/>
      <c r="X18" s="168"/>
      <c r="AA18" s="168"/>
      <c r="AB18" s="168"/>
    </row>
    <row r="19" spans="1:28" ht="18.75" customHeight="1" x14ac:dyDescent="0.3">
      <c r="A19" s="169"/>
      <c r="B19" s="168"/>
      <c r="C19" s="168"/>
      <c r="D19" s="168"/>
      <c r="E19" s="166" t="str">
        <f>IFERROR(VLOOKUP(基本資料填寫!$E$1&amp;"-"&amp;ROW(CS16),基本資料填寫!$E:$EU,COLUMN(基本資料填寫!CW16),0),"")</f>
        <v/>
      </c>
      <c r="F19" s="166" t="str">
        <f>IFERROR(VLOOKUP(基本資料填寫!$E$1&amp;"-"&amp;ROW(CT16),基本資料填寫!$E:$EU,COLUMN(基本資料填寫!CX16),0),"")</f>
        <v/>
      </c>
      <c r="G19" s="166" t="str">
        <f>IFERROR(VLOOKUP(基本資料填寫!$E$1&amp;"-"&amp;ROW(CQ16),基本資料填寫!$E:$EU,COLUMN(基本資料填寫!CU16),0),"")</f>
        <v/>
      </c>
      <c r="H19" s="169"/>
      <c r="I19" s="168"/>
      <c r="J19" s="168"/>
      <c r="K19" s="166" t="str">
        <f>IFERROR(VLOOKUP(基本資料填寫!$E$1&amp;"-"&amp;ROW(DC16),基本資料填寫!$E:$EU,COLUMN(基本資料填寫!DH16),0),"")</f>
        <v/>
      </c>
      <c r="M19" s="166" t="str">
        <f>IFERROR(VLOOKUP(基本資料填寫!$E$1&amp;"-"&amp;ROW(DI16),基本資料填寫!$E:$EU,COLUMN(基本資料填寫!DN16),0),"")</f>
        <v/>
      </c>
      <c r="N19" s="166" t="str">
        <f>IFERROR(VLOOKUP(基本資料填寫!$E$1&amp;"-"&amp;ROW(DH16),基本資料填寫!$E:$EU,COLUMN(基本資料填寫!DM16),0),"")</f>
        <v/>
      </c>
      <c r="O19" s="166" t="str">
        <f>IFERROR(VLOOKUP(基本資料填寫!$E$1&amp;"-"&amp;ROW(DJ16),基本資料填寫!$E:$EU,COLUMN(基本資料填寫!DO16),0),"")</f>
        <v/>
      </c>
      <c r="P19" s="252"/>
      <c r="Q19" s="252"/>
      <c r="R19" s="252"/>
      <c r="S19" s="252"/>
      <c r="T19" s="166" t="str">
        <f>IFERROR(VLOOKUP(基本資料填寫!$E$1&amp;"-"&amp;ROW(DG16),基本資料填寫!$E:$EU,COLUMN(基本資料填寫!DL16),0),"")</f>
        <v/>
      </c>
      <c r="U19" s="168"/>
      <c r="V19" s="169"/>
      <c r="X19" s="168"/>
      <c r="AA19" s="168"/>
      <c r="AB19" s="168"/>
    </row>
    <row r="20" spans="1:28" ht="18.75" customHeight="1" x14ac:dyDescent="0.3">
      <c r="A20" s="169"/>
      <c r="B20" s="168"/>
      <c r="C20" s="168"/>
      <c r="D20" s="168"/>
      <c r="E20" s="166" t="str">
        <f>IFERROR(VLOOKUP(基本資料填寫!$E$1&amp;"-"&amp;ROW(CS17),基本資料填寫!$E:$EU,COLUMN(基本資料填寫!CW17),0),"")</f>
        <v/>
      </c>
      <c r="F20" s="166" t="str">
        <f>IFERROR(VLOOKUP(基本資料填寫!$E$1&amp;"-"&amp;ROW(CT17),基本資料填寫!$E:$EU,COLUMN(基本資料填寫!CX17),0),"")</f>
        <v/>
      </c>
      <c r="G20" s="166" t="str">
        <f>IFERROR(VLOOKUP(基本資料填寫!$E$1&amp;"-"&amp;ROW(CQ17),基本資料填寫!$E:$EU,COLUMN(基本資料填寫!CU17),0),"")</f>
        <v/>
      </c>
      <c r="H20" s="169"/>
      <c r="I20" s="168"/>
      <c r="J20" s="168"/>
      <c r="K20" s="166" t="str">
        <f>IFERROR(VLOOKUP(基本資料填寫!$E$1&amp;"-"&amp;ROW(DC17),基本資料填寫!$E:$EU,COLUMN(基本資料填寫!DH17),0),"")</f>
        <v/>
      </c>
      <c r="M20" s="166" t="str">
        <f>IFERROR(VLOOKUP(基本資料填寫!$E$1&amp;"-"&amp;ROW(DI17),基本資料填寫!$E:$EU,COLUMN(基本資料填寫!DN17),0),"")</f>
        <v/>
      </c>
      <c r="N20" s="166" t="str">
        <f>IFERROR(VLOOKUP(基本資料填寫!$E$1&amp;"-"&amp;ROW(DH17),基本資料填寫!$E:$EU,COLUMN(基本資料填寫!DM17),0),"")</f>
        <v/>
      </c>
      <c r="O20" s="166" t="str">
        <f>IFERROR(VLOOKUP(基本資料填寫!$E$1&amp;"-"&amp;ROW(DJ17),基本資料填寫!$E:$EU,COLUMN(基本資料填寫!DO17),0),"")</f>
        <v/>
      </c>
      <c r="P20" s="252"/>
      <c r="Q20" s="252"/>
      <c r="R20" s="252"/>
      <c r="S20" s="252"/>
      <c r="T20" s="166" t="str">
        <f>IFERROR(VLOOKUP(基本資料填寫!$E$1&amp;"-"&amp;ROW(DG17),基本資料填寫!$E:$EU,COLUMN(基本資料填寫!DL17),0),"")</f>
        <v/>
      </c>
      <c r="U20" s="168"/>
      <c r="V20" s="169"/>
      <c r="X20" s="168"/>
      <c r="AA20" s="168"/>
      <c r="AB20" s="168"/>
    </row>
    <row r="21" spans="1:28" ht="18.75" customHeight="1" x14ac:dyDescent="0.3">
      <c r="A21" s="169"/>
      <c r="B21" s="168"/>
      <c r="C21" s="168"/>
      <c r="D21" s="168"/>
      <c r="E21" s="166" t="str">
        <f>IFERROR(VLOOKUP(基本資料填寫!$E$1&amp;"-"&amp;ROW(CS18),基本資料填寫!$E:$EU,COLUMN(基本資料填寫!CW18),0),"")</f>
        <v/>
      </c>
      <c r="F21" s="166" t="str">
        <f>IFERROR(VLOOKUP(基本資料填寫!$E$1&amp;"-"&amp;ROW(CT18),基本資料填寫!$E:$EU,COLUMN(基本資料填寫!CX18),0),"")</f>
        <v/>
      </c>
      <c r="G21" s="166" t="str">
        <f>IFERROR(VLOOKUP(基本資料填寫!$E$1&amp;"-"&amp;ROW(CQ18),基本資料填寫!$E:$EU,COLUMN(基本資料填寫!CU18),0),"")</f>
        <v/>
      </c>
      <c r="H21" s="169"/>
      <c r="I21" s="168"/>
      <c r="J21" s="168"/>
      <c r="K21" s="166" t="str">
        <f>IFERROR(VLOOKUP(基本資料填寫!$E$1&amp;"-"&amp;ROW(DC18),基本資料填寫!$E:$EU,COLUMN(基本資料填寫!DH18),0),"")</f>
        <v/>
      </c>
      <c r="M21" s="166" t="str">
        <f>IFERROR(VLOOKUP(基本資料填寫!$E$1&amp;"-"&amp;ROW(DI18),基本資料填寫!$E:$EU,COLUMN(基本資料填寫!DN18),0),"")</f>
        <v/>
      </c>
      <c r="N21" s="166" t="str">
        <f>IFERROR(VLOOKUP(基本資料填寫!$E$1&amp;"-"&amp;ROW(DH18),基本資料填寫!$E:$EU,COLUMN(基本資料填寫!DM18),0),"")</f>
        <v/>
      </c>
      <c r="O21" s="166" t="str">
        <f>IFERROR(VLOOKUP(基本資料填寫!$E$1&amp;"-"&amp;ROW(DJ18),基本資料填寫!$E:$EU,COLUMN(基本資料填寫!DO18),0),"")</f>
        <v/>
      </c>
      <c r="P21" s="252"/>
      <c r="Q21" s="252"/>
      <c r="R21" s="252"/>
      <c r="S21" s="252"/>
      <c r="T21" s="166" t="str">
        <f>IFERROR(VLOOKUP(基本資料填寫!$E$1&amp;"-"&amp;ROW(DG18),基本資料填寫!$E:$EU,COLUMN(基本資料填寫!DL18),0),"")</f>
        <v/>
      </c>
      <c r="U21" s="168"/>
      <c r="V21" s="169"/>
      <c r="X21" s="168"/>
      <c r="AA21" s="168"/>
      <c r="AB21" s="168"/>
    </row>
    <row r="22" spans="1:28" ht="18.75" customHeight="1" x14ac:dyDescent="0.3">
      <c r="A22" s="169"/>
      <c r="B22" s="168"/>
      <c r="C22" s="168"/>
      <c r="D22" s="168"/>
      <c r="E22" s="166" t="str">
        <f>IFERROR(VLOOKUP(基本資料填寫!$E$1&amp;"-"&amp;ROW(CS19),基本資料填寫!$E:$EU,COLUMN(基本資料填寫!CW19),0),"")</f>
        <v/>
      </c>
      <c r="F22" s="166" t="str">
        <f>IFERROR(VLOOKUP(基本資料填寫!$E$1&amp;"-"&amp;ROW(CT19),基本資料填寫!$E:$EU,COLUMN(基本資料填寫!CX19),0),"")</f>
        <v/>
      </c>
      <c r="G22" s="166" t="str">
        <f>IFERROR(VLOOKUP(基本資料填寫!$E$1&amp;"-"&amp;ROW(CQ19),基本資料填寫!$E:$EU,COLUMN(基本資料填寫!CU19),0),"")</f>
        <v/>
      </c>
      <c r="H22" s="169"/>
      <c r="I22" s="168"/>
      <c r="J22" s="168"/>
      <c r="K22" s="166" t="str">
        <f>IFERROR(VLOOKUP(基本資料填寫!$E$1&amp;"-"&amp;ROW(DC19),基本資料填寫!$E:$EU,COLUMN(基本資料填寫!DH19),0),"")</f>
        <v/>
      </c>
      <c r="M22" s="166" t="str">
        <f>IFERROR(VLOOKUP(基本資料填寫!$E$1&amp;"-"&amp;ROW(DI19),基本資料填寫!$E:$EU,COLUMN(基本資料填寫!DN19),0),"")</f>
        <v/>
      </c>
      <c r="N22" s="166" t="str">
        <f>IFERROR(VLOOKUP(基本資料填寫!$E$1&amp;"-"&amp;ROW(DH19),基本資料填寫!$E:$EU,COLUMN(基本資料填寫!DM19),0),"")</f>
        <v/>
      </c>
      <c r="O22" s="166" t="str">
        <f>IFERROR(VLOOKUP(基本資料填寫!$E$1&amp;"-"&amp;ROW(DJ19),基本資料填寫!$E:$EU,COLUMN(基本資料填寫!DO19),0),"")</f>
        <v/>
      </c>
      <c r="P22" s="252"/>
      <c r="Q22" s="252"/>
      <c r="R22" s="252"/>
      <c r="S22" s="252"/>
      <c r="T22" s="166" t="str">
        <f>IFERROR(VLOOKUP(基本資料填寫!$E$1&amp;"-"&amp;ROW(DG19),基本資料填寫!$E:$EU,COLUMN(基本資料填寫!DL19),0),"")</f>
        <v/>
      </c>
      <c r="U22" s="168"/>
      <c r="V22" s="169"/>
      <c r="X22" s="168"/>
      <c r="AA22" s="168"/>
      <c r="AB22" s="168"/>
    </row>
    <row r="23" spans="1:28" ht="18.75" customHeight="1" x14ac:dyDescent="0.3">
      <c r="A23" s="169"/>
      <c r="B23" s="168"/>
      <c r="C23" s="168"/>
      <c r="D23" s="168"/>
      <c r="E23" s="166" t="str">
        <f>IFERROR(VLOOKUP(基本資料填寫!$E$1&amp;"-"&amp;ROW(CS20),基本資料填寫!$E:$EU,COLUMN(基本資料填寫!CW20),0),"")</f>
        <v/>
      </c>
      <c r="F23" s="166" t="str">
        <f>IFERROR(VLOOKUP(基本資料填寫!$E$1&amp;"-"&amp;ROW(CT20),基本資料填寫!$E:$EU,COLUMN(基本資料填寫!CX20),0),"")</f>
        <v/>
      </c>
      <c r="G23" s="166" t="str">
        <f>IFERROR(VLOOKUP(基本資料填寫!$E$1&amp;"-"&amp;ROW(CQ20),基本資料填寫!$E:$EU,COLUMN(基本資料填寫!CU20),0),"")</f>
        <v/>
      </c>
      <c r="H23" s="169"/>
      <c r="I23" s="168"/>
      <c r="J23" s="168"/>
      <c r="K23" s="166" t="str">
        <f>IFERROR(VLOOKUP(基本資料填寫!$E$1&amp;"-"&amp;ROW(DC20),基本資料填寫!$E:$EU,COLUMN(基本資料填寫!DH20),0),"")</f>
        <v/>
      </c>
      <c r="M23" s="166" t="str">
        <f>IFERROR(VLOOKUP(基本資料填寫!$E$1&amp;"-"&amp;ROW(DI20),基本資料填寫!$E:$EU,COLUMN(基本資料填寫!DN20),0),"")</f>
        <v/>
      </c>
      <c r="N23" s="166" t="str">
        <f>IFERROR(VLOOKUP(基本資料填寫!$E$1&amp;"-"&amp;ROW(DH20),基本資料填寫!$E:$EU,COLUMN(基本資料填寫!DM20),0),"")</f>
        <v/>
      </c>
      <c r="O23" s="166" t="str">
        <f>IFERROR(VLOOKUP(基本資料填寫!$E$1&amp;"-"&amp;ROW(DJ20),基本資料填寫!$E:$EU,COLUMN(基本資料填寫!DO20),0),"")</f>
        <v/>
      </c>
      <c r="P23" s="252"/>
      <c r="Q23" s="252"/>
      <c r="R23" s="252"/>
      <c r="S23" s="252"/>
      <c r="T23" s="166" t="str">
        <f>IFERROR(VLOOKUP(基本資料填寫!$E$1&amp;"-"&amp;ROW(DG20),基本資料填寫!$E:$EU,COLUMN(基本資料填寫!DL20),0),"")</f>
        <v/>
      </c>
      <c r="U23" s="168"/>
      <c r="V23" s="169"/>
      <c r="X23" s="168"/>
      <c r="AA23" s="168"/>
      <c r="AB23" s="168"/>
    </row>
    <row r="24" spans="1:28" ht="18.75" customHeight="1" x14ac:dyDescent="0.3">
      <c r="A24" s="169"/>
      <c r="B24" s="168"/>
      <c r="C24" s="168"/>
      <c r="D24" s="168"/>
      <c r="E24" s="166" t="str">
        <f>IFERROR(VLOOKUP(基本資料填寫!$E$1&amp;"-"&amp;ROW(CS21),基本資料填寫!$E:$EU,COLUMN(基本資料填寫!CW21),0),"")</f>
        <v/>
      </c>
      <c r="F24" s="166" t="str">
        <f>IFERROR(VLOOKUP(基本資料填寫!$E$1&amp;"-"&amp;ROW(CT21),基本資料填寫!$E:$EU,COLUMN(基本資料填寫!CX21),0),"")</f>
        <v/>
      </c>
      <c r="G24" s="166" t="str">
        <f>IFERROR(VLOOKUP(基本資料填寫!$E$1&amp;"-"&amp;ROW(CQ21),基本資料填寫!$E:$EU,COLUMN(基本資料填寫!CU21),0),"")</f>
        <v/>
      </c>
      <c r="H24" s="169"/>
      <c r="I24" s="168"/>
      <c r="J24" s="168"/>
      <c r="K24" s="166" t="str">
        <f>IFERROR(VLOOKUP(基本資料填寫!$E$1&amp;"-"&amp;ROW(DC21),基本資料填寫!$E:$EU,COLUMN(基本資料填寫!DH21),0),"")</f>
        <v/>
      </c>
      <c r="M24" s="166" t="str">
        <f>IFERROR(VLOOKUP(基本資料填寫!$E$1&amp;"-"&amp;ROW(DI21),基本資料填寫!$E:$EU,COLUMN(基本資料填寫!DN21),0),"")</f>
        <v/>
      </c>
      <c r="N24" s="166" t="str">
        <f>IFERROR(VLOOKUP(基本資料填寫!$E$1&amp;"-"&amp;ROW(DH21),基本資料填寫!$E:$EU,COLUMN(基本資料填寫!DM21),0),"")</f>
        <v/>
      </c>
      <c r="O24" s="166" t="str">
        <f>IFERROR(VLOOKUP(基本資料填寫!$E$1&amp;"-"&amp;ROW(DJ21),基本資料填寫!$E:$EU,COLUMN(基本資料填寫!DO21),0),"")</f>
        <v/>
      </c>
      <c r="P24" s="252"/>
      <c r="Q24" s="252"/>
      <c r="R24" s="252"/>
      <c r="S24" s="252"/>
      <c r="T24" s="166" t="str">
        <f>IFERROR(VLOOKUP(基本資料填寫!$E$1&amp;"-"&amp;ROW(DG21),基本資料填寫!$E:$EU,COLUMN(基本資料填寫!DL21),0),"")</f>
        <v/>
      </c>
      <c r="U24" s="168"/>
      <c r="V24" s="169"/>
      <c r="X24" s="168"/>
      <c r="AA24" s="168"/>
      <c r="AB24" s="168"/>
    </row>
    <row r="25" spans="1:28" ht="18.75" customHeight="1" x14ac:dyDescent="0.3">
      <c r="A25" s="169"/>
      <c r="B25" s="168"/>
      <c r="C25" s="168"/>
      <c r="D25" s="168"/>
      <c r="E25" s="166" t="str">
        <f>IFERROR(VLOOKUP(基本資料填寫!$E$1&amp;"-"&amp;ROW(CS22),基本資料填寫!$E:$EU,COLUMN(基本資料填寫!CW22),0),"")</f>
        <v/>
      </c>
      <c r="F25" s="166" t="str">
        <f>IFERROR(VLOOKUP(基本資料填寫!$E$1&amp;"-"&amp;ROW(CT22),基本資料填寫!$E:$EU,COLUMN(基本資料填寫!CX22),0),"")</f>
        <v/>
      </c>
      <c r="G25" s="166" t="str">
        <f>IFERROR(VLOOKUP(基本資料填寫!$E$1&amp;"-"&amp;ROW(CQ22),基本資料填寫!$E:$EU,COLUMN(基本資料填寫!CU22),0),"")</f>
        <v/>
      </c>
      <c r="H25" s="169"/>
      <c r="I25" s="168"/>
      <c r="J25" s="168"/>
      <c r="K25" s="166" t="str">
        <f>IFERROR(VLOOKUP(基本資料填寫!$E$1&amp;"-"&amp;ROW(DC22),基本資料填寫!$E:$EU,COLUMN(基本資料填寫!DH22),0),"")</f>
        <v/>
      </c>
      <c r="M25" s="166" t="str">
        <f>IFERROR(VLOOKUP(基本資料填寫!$E$1&amp;"-"&amp;ROW(DI22),基本資料填寫!$E:$EU,COLUMN(基本資料填寫!DN22),0),"")</f>
        <v/>
      </c>
      <c r="N25" s="166" t="str">
        <f>IFERROR(VLOOKUP(基本資料填寫!$E$1&amp;"-"&amp;ROW(DH22),基本資料填寫!$E:$EU,COLUMN(基本資料填寫!DM22),0),"")</f>
        <v/>
      </c>
      <c r="O25" s="166" t="str">
        <f>IFERROR(VLOOKUP(基本資料填寫!$E$1&amp;"-"&amp;ROW(DJ22),基本資料填寫!$E:$EU,COLUMN(基本資料填寫!DO22),0),"")</f>
        <v/>
      </c>
      <c r="P25" s="252"/>
      <c r="Q25" s="252"/>
      <c r="R25" s="252"/>
      <c r="S25" s="252"/>
      <c r="T25" s="166" t="str">
        <f>IFERROR(VLOOKUP(基本資料填寫!$E$1&amp;"-"&amp;ROW(DG22),基本資料填寫!$E:$EU,COLUMN(基本資料填寫!DL22),0),"")</f>
        <v/>
      </c>
      <c r="U25" s="168"/>
      <c r="V25" s="169"/>
      <c r="X25" s="168"/>
      <c r="AA25" s="168"/>
      <c r="AB25" s="168"/>
    </row>
    <row r="26" spans="1:28" ht="18.75" customHeight="1" x14ac:dyDescent="0.3">
      <c r="A26" s="169"/>
      <c r="B26" s="168"/>
      <c r="C26" s="168"/>
      <c r="D26" s="168"/>
      <c r="E26" s="166" t="str">
        <f>IFERROR(VLOOKUP(基本資料填寫!$E$1&amp;"-"&amp;ROW(CS23),基本資料填寫!$E:$EU,COLUMN(基本資料填寫!CW23),0),"")</f>
        <v/>
      </c>
      <c r="F26" s="166" t="str">
        <f>IFERROR(VLOOKUP(基本資料填寫!$E$1&amp;"-"&amp;ROW(CT23),基本資料填寫!$E:$EU,COLUMN(基本資料填寫!CX23),0),"")</f>
        <v/>
      </c>
      <c r="G26" s="166" t="str">
        <f>IFERROR(VLOOKUP(基本資料填寫!$E$1&amp;"-"&amp;ROW(CQ23),基本資料填寫!$E:$EU,COLUMN(基本資料填寫!CU23),0),"")</f>
        <v/>
      </c>
      <c r="H26" s="169"/>
      <c r="I26" s="168"/>
      <c r="J26" s="168"/>
      <c r="K26" s="166" t="str">
        <f>IFERROR(VLOOKUP(基本資料填寫!$E$1&amp;"-"&amp;ROW(DC23),基本資料填寫!$E:$EU,COLUMN(基本資料填寫!DH23),0),"")</f>
        <v/>
      </c>
      <c r="M26" s="166" t="str">
        <f>IFERROR(VLOOKUP(基本資料填寫!$E$1&amp;"-"&amp;ROW(DI23),基本資料填寫!$E:$EU,COLUMN(基本資料填寫!DN23),0),"")</f>
        <v/>
      </c>
      <c r="N26" s="166" t="str">
        <f>IFERROR(VLOOKUP(基本資料填寫!$E$1&amp;"-"&amp;ROW(DH23),基本資料填寫!$E:$EU,COLUMN(基本資料填寫!DM23),0),"")</f>
        <v/>
      </c>
      <c r="O26" s="166" t="str">
        <f>IFERROR(VLOOKUP(基本資料填寫!$E$1&amp;"-"&amp;ROW(DJ23),基本資料填寫!$E:$EU,COLUMN(基本資料填寫!DO23),0),"")</f>
        <v/>
      </c>
      <c r="P26" s="252"/>
      <c r="Q26" s="252"/>
      <c r="R26" s="252"/>
      <c r="S26" s="252"/>
      <c r="T26" s="166" t="str">
        <f>IFERROR(VLOOKUP(基本資料填寫!$E$1&amp;"-"&amp;ROW(DG23),基本資料填寫!$E:$EU,COLUMN(基本資料填寫!DL23),0),"")</f>
        <v/>
      </c>
      <c r="U26" s="168"/>
      <c r="V26" s="169"/>
      <c r="X26" s="168"/>
      <c r="AA26" s="168"/>
      <c r="AB26" s="168"/>
    </row>
    <row r="27" spans="1:28" ht="18.75" customHeight="1" x14ac:dyDescent="0.3">
      <c r="A27" s="169"/>
      <c r="B27" s="168"/>
      <c r="C27" s="168"/>
      <c r="D27" s="168"/>
      <c r="E27" s="166" t="str">
        <f>IFERROR(VLOOKUP(基本資料填寫!$E$1&amp;"-"&amp;ROW(CS24),基本資料填寫!$E:$EU,COLUMN(基本資料填寫!CW24),0),"")</f>
        <v/>
      </c>
      <c r="F27" s="166" t="str">
        <f>IFERROR(VLOOKUP(基本資料填寫!$E$1&amp;"-"&amp;ROW(CT24),基本資料填寫!$E:$EU,COLUMN(基本資料填寫!CX24),0),"")</f>
        <v/>
      </c>
      <c r="G27" s="166" t="str">
        <f>IFERROR(VLOOKUP(基本資料填寫!$E$1&amp;"-"&amp;ROW(CQ24),基本資料填寫!$E:$EU,COLUMN(基本資料填寫!CU24),0),"")</f>
        <v/>
      </c>
      <c r="H27" s="169"/>
      <c r="I27" s="168"/>
      <c r="J27" s="168"/>
      <c r="K27" s="166" t="str">
        <f>IFERROR(VLOOKUP(基本資料填寫!$E$1&amp;"-"&amp;ROW(DC24),基本資料填寫!$E:$EU,COLUMN(基本資料填寫!DH24),0),"")</f>
        <v/>
      </c>
      <c r="M27" s="166" t="str">
        <f>IFERROR(VLOOKUP(基本資料填寫!$E$1&amp;"-"&amp;ROW(DI24),基本資料填寫!$E:$EU,COLUMN(基本資料填寫!DN24),0),"")</f>
        <v/>
      </c>
      <c r="N27" s="166" t="str">
        <f>IFERROR(VLOOKUP(基本資料填寫!$E$1&amp;"-"&amp;ROW(DH24),基本資料填寫!$E:$EU,COLUMN(基本資料填寫!DM24),0),"")</f>
        <v/>
      </c>
      <c r="O27" s="166" t="str">
        <f>IFERROR(VLOOKUP(基本資料填寫!$E$1&amp;"-"&amp;ROW(DJ24),基本資料填寫!$E:$EU,COLUMN(基本資料填寫!DO24),0),"")</f>
        <v/>
      </c>
      <c r="P27" s="252"/>
      <c r="Q27" s="252"/>
      <c r="R27" s="252"/>
      <c r="S27" s="252"/>
      <c r="T27" s="166" t="str">
        <f>IFERROR(VLOOKUP(基本資料填寫!$E$1&amp;"-"&amp;ROW(DG24),基本資料填寫!$E:$EU,COLUMN(基本資料填寫!DL24),0),"")</f>
        <v/>
      </c>
      <c r="U27" s="168"/>
      <c r="V27" s="169"/>
      <c r="X27" s="168"/>
      <c r="AA27" s="168"/>
      <c r="AB27" s="168"/>
    </row>
    <row r="28" spans="1:28" ht="18.75" customHeight="1" x14ac:dyDescent="0.3">
      <c r="A28" s="169"/>
      <c r="B28" s="168"/>
      <c r="C28" s="168"/>
      <c r="D28" s="168"/>
      <c r="E28" s="166" t="str">
        <f>IFERROR(VLOOKUP(基本資料填寫!$E$1&amp;"-"&amp;ROW(CS25),基本資料填寫!$E:$EU,COLUMN(基本資料填寫!CW25),0),"")</f>
        <v/>
      </c>
      <c r="F28" s="166" t="str">
        <f>IFERROR(VLOOKUP(基本資料填寫!$E$1&amp;"-"&amp;ROW(CT25),基本資料填寫!$E:$EU,COLUMN(基本資料填寫!CX25),0),"")</f>
        <v/>
      </c>
      <c r="G28" s="166" t="str">
        <f>IFERROR(VLOOKUP(基本資料填寫!$E$1&amp;"-"&amp;ROW(CQ25),基本資料填寫!$E:$EU,COLUMN(基本資料填寫!CU25),0),"")</f>
        <v/>
      </c>
      <c r="H28" s="169"/>
      <c r="I28" s="168"/>
      <c r="J28" s="168"/>
      <c r="K28" s="166" t="str">
        <f>IFERROR(VLOOKUP(基本資料填寫!$E$1&amp;"-"&amp;ROW(DC25),基本資料填寫!$E:$EU,COLUMN(基本資料填寫!DH25),0),"")</f>
        <v/>
      </c>
      <c r="M28" s="166" t="str">
        <f>IFERROR(VLOOKUP(基本資料填寫!$E$1&amp;"-"&amp;ROW(DI25),基本資料填寫!$E:$EU,COLUMN(基本資料填寫!DN25),0),"")</f>
        <v/>
      </c>
      <c r="N28" s="166" t="str">
        <f>IFERROR(VLOOKUP(基本資料填寫!$E$1&amp;"-"&amp;ROW(DH25),基本資料填寫!$E:$EU,COLUMN(基本資料填寫!DM25),0),"")</f>
        <v/>
      </c>
      <c r="O28" s="166" t="str">
        <f>IFERROR(VLOOKUP(基本資料填寫!$E$1&amp;"-"&amp;ROW(DJ25),基本資料填寫!$E:$EU,COLUMN(基本資料填寫!DO25),0),"")</f>
        <v/>
      </c>
      <c r="P28" s="252"/>
      <c r="Q28" s="252"/>
      <c r="R28" s="252"/>
      <c r="S28" s="252"/>
      <c r="T28" s="166" t="str">
        <f>IFERROR(VLOOKUP(基本資料填寫!$E$1&amp;"-"&amp;ROW(DG25),基本資料填寫!$E:$EU,COLUMN(基本資料填寫!DL25),0),"")</f>
        <v/>
      </c>
      <c r="U28" s="168"/>
      <c r="V28" s="169"/>
      <c r="X28" s="168"/>
      <c r="AA28" s="168"/>
      <c r="AB28" s="168"/>
    </row>
    <row r="29" spans="1:28" ht="18.75" customHeight="1" x14ac:dyDescent="0.3">
      <c r="A29" s="169"/>
      <c r="B29" s="168"/>
      <c r="C29" s="168"/>
      <c r="D29" s="168"/>
      <c r="E29" s="166" t="str">
        <f>IFERROR(VLOOKUP(基本資料填寫!$E$1&amp;"-"&amp;ROW(CS26),基本資料填寫!$E:$EU,COLUMN(基本資料填寫!CW26),0),"")</f>
        <v/>
      </c>
      <c r="F29" s="166" t="str">
        <f>IFERROR(VLOOKUP(基本資料填寫!$E$1&amp;"-"&amp;ROW(CT26),基本資料填寫!$E:$EU,COLUMN(基本資料填寫!CX26),0),"")</f>
        <v/>
      </c>
      <c r="G29" s="166" t="str">
        <f>IFERROR(VLOOKUP(基本資料填寫!$E$1&amp;"-"&amp;ROW(CQ26),基本資料填寫!$E:$EU,COLUMN(基本資料填寫!CU26),0),"")</f>
        <v/>
      </c>
      <c r="H29" s="169"/>
      <c r="I29" s="168"/>
      <c r="J29" s="168"/>
      <c r="K29" s="166" t="str">
        <f>IFERROR(VLOOKUP(基本資料填寫!$E$1&amp;"-"&amp;ROW(DC26),基本資料填寫!$E:$EU,COLUMN(基本資料填寫!DH26),0),"")</f>
        <v/>
      </c>
      <c r="M29" s="166" t="str">
        <f>IFERROR(VLOOKUP(基本資料填寫!$E$1&amp;"-"&amp;ROW(DI26),基本資料填寫!$E:$EU,COLUMN(基本資料填寫!DN26),0),"")</f>
        <v/>
      </c>
      <c r="N29" s="166" t="str">
        <f>IFERROR(VLOOKUP(基本資料填寫!$E$1&amp;"-"&amp;ROW(DH26),基本資料填寫!$E:$EU,COLUMN(基本資料填寫!DM26),0),"")</f>
        <v/>
      </c>
      <c r="O29" s="166" t="str">
        <f>IFERROR(VLOOKUP(基本資料填寫!$E$1&amp;"-"&amp;ROW(DJ26),基本資料填寫!$E:$EU,COLUMN(基本資料填寫!DO26),0),"")</f>
        <v/>
      </c>
      <c r="P29" s="252"/>
      <c r="Q29" s="252"/>
      <c r="R29" s="252"/>
      <c r="S29" s="252"/>
      <c r="T29" s="166" t="str">
        <f>IFERROR(VLOOKUP(基本資料填寫!$E$1&amp;"-"&amp;ROW(DG26),基本資料填寫!$E:$EU,COLUMN(基本資料填寫!DL26),0),"")</f>
        <v/>
      </c>
      <c r="U29" s="168"/>
      <c r="V29" s="169"/>
      <c r="X29" s="168"/>
      <c r="AA29" s="168"/>
      <c r="AB29" s="168"/>
    </row>
    <row r="30" spans="1:28" ht="18.75" customHeight="1" x14ac:dyDescent="0.3">
      <c r="A30" s="169"/>
      <c r="B30" s="168"/>
      <c r="C30" s="168"/>
      <c r="D30" s="168"/>
      <c r="E30" s="166" t="str">
        <f>IFERROR(VLOOKUP(基本資料填寫!$E$1&amp;"-"&amp;ROW(CS27),基本資料填寫!$E:$EU,COLUMN(基本資料填寫!CW27),0),"")</f>
        <v/>
      </c>
      <c r="F30" s="166" t="str">
        <f>IFERROR(VLOOKUP(基本資料填寫!$E$1&amp;"-"&amp;ROW(CT27),基本資料填寫!$E:$EU,COLUMN(基本資料填寫!CX27),0),"")</f>
        <v/>
      </c>
      <c r="G30" s="166" t="str">
        <f>IFERROR(VLOOKUP(基本資料填寫!$E$1&amp;"-"&amp;ROW(CQ27),基本資料填寫!$E:$EU,COLUMN(基本資料填寫!CU27),0),"")</f>
        <v/>
      </c>
      <c r="H30" s="169"/>
      <c r="I30" s="168"/>
      <c r="J30" s="168"/>
      <c r="K30" s="166" t="str">
        <f>IFERROR(VLOOKUP(基本資料填寫!$E$1&amp;"-"&amp;ROW(DC27),基本資料填寫!$E:$EU,COLUMN(基本資料填寫!DH27),0),"")</f>
        <v/>
      </c>
      <c r="M30" s="166" t="str">
        <f>IFERROR(VLOOKUP(基本資料填寫!$E$1&amp;"-"&amp;ROW(DI27),基本資料填寫!$E:$EU,COLUMN(基本資料填寫!DN27),0),"")</f>
        <v/>
      </c>
      <c r="N30" s="166" t="str">
        <f>IFERROR(VLOOKUP(基本資料填寫!$E$1&amp;"-"&amp;ROW(DH27),基本資料填寫!$E:$EU,COLUMN(基本資料填寫!DM27),0),"")</f>
        <v/>
      </c>
      <c r="O30" s="166" t="str">
        <f>IFERROR(VLOOKUP(基本資料填寫!$E$1&amp;"-"&amp;ROW(DJ27),基本資料填寫!$E:$EU,COLUMN(基本資料填寫!DO27),0),"")</f>
        <v/>
      </c>
      <c r="P30" s="252"/>
      <c r="Q30" s="252"/>
      <c r="R30" s="252"/>
      <c r="S30" s="252"/>
      <c r="T30" s="166" t="str">
        <f>IFERROR(VLOOKUP(基本資料填寫!$E$1&amp;"-"&amp;ROW(DG27),基本資料填寫!$E:$EU,COLUMN(基本資料填寫!DL27),0),"")</f>
        <v/>
      </c>
      <c r="U30" s="168"/>
      <c r="V30" s="169"/>
      <c r="X30" s="168"/>
      <c r="AA30" s="168"/>
      <c r="AB30" s="168"/>
    </row>
    <row r="31" spans="1:28" ht="18.75" customHeight="1" x14ac:dyDescent="0.3">
      <c r="A31" s="169"/>
      <c r="B31" s="168"/>
      <c r="C31" s="168"/>
      <c r="D31" s="168"/>
      <c r="E31" s="166" t="str">
        <f>IFERROR(VLOOKUP(基本資料填寫!$E$1&amp;"-"&amp;ROW(CS28),基本資料填寫!$E:$EU,COLUMN(基本資料填寫!CW28),0),"")</f>
        <v/>
      </c>
      <c r="F31" s="166" t="str">
        <f>IFERROR(VLOOKUP(基本資料填寫!$E$1&amp;"-"&amp;ROW(CT28),基本資料填寫!$E:$EU,COLUMN(基本資料填寫!CX28),0),"")</f>
        <v/>
      </c>
      <c r="G31" s="166" t="str">
        <f>IFERROR(VLOOKUP(基本資料填寫!$E$1&amp;"-"&amp;ROW(CQ28),基本資料填寫!$E:$EU,COLUMN(基本資料填寫!CU28),0),"")</f>
        <v/>
      </c>
      <c r="H31" s="169"/>
      <c r="I31" s="168"/>
      <c r="J31" s="168"/>
      <c r="K31" s="166" t="str">
        <f>IFERROR(VLOOKUP(基本資料填寫!$E$1&amp;"-"&amp;ROW(DC28),基本資料填寫!$E:$EU,COLUMN(基本資料填寫!DH28),0),"")</f>
        <v/>
      </c>
      <c r="M31" s="166" t="str">
        <f>IFERROR(VLOOKUP(基本資料填寫!$E$1&amp;"-"&amp;ROW(DI28),基本資料填寫!$E:$EU,COLUMN(基本資料填寫!DN28),0),"")</f>
        <v/>
      </c>
      <c r="N31" s="166" t="str">
        <f>IFERROR(VLOOKUP(基本資料填寫!$E$1&amp;"-"&amp;ROW(DH28),基本資料填寫!$E:$EU,COLUMN(基本資料填寫!DM28),0),"")</f>
        <v/>
      </c>
      <c r="O31" s="166" t="str">
        <f>IFERROR(VLOOKUP(基本資料填寫!$E$1&amp;"-"&amp;ROW(DJ28),基本資料填寫!$E:$EU,COLUMN(基本資料填寫!DO28),0),"")</f>
        <v/>
      </c>
      <c r="P31" s="252"/>
      <c r="Q31" s="252"/>
      <c r="R31" s="252"/>
      <c r="S31" s="252"/>
      <c r="T31" s="166" t="str">
        <f>IFERROR(VLOOKUP(基本資料填寫!$E$1&amp;"-"&amp;ROW(DG28),基本資料填寫!$E:$EU,COLUMN(基本資料填寫!DL28),0),"")</f>
        <v/>
      </c>
      <c r="U31" s="168"/>
      <c r="V31" s="169"/>
      <c r="X31" s="168"/>
      <c r="AA31" s="168"/>
      <c r="AB31" s="168"/>
    </row>
    <row r="32" spans="1:28" ht="18.75" customHeight="1" x14ac:dyDescent="0.3">
      <c r="A32" s="169"/>
      <c r="B32" s="168"/>
      <c r="C32" s="168"/>
      <c r="D32" s="168"/>
      <c r="E32" s="166" t="str">
        <f>IFERROR(VLOOKUP(基本資料填寫!$E$1&amp;"-"&amp;ROW(CS29),基本資料填寫!$E:$EU,COLUMN(基本資料填寫!CW29),0),"")</f>
        <v/>
      </c>
      <c r="F32" s="166" t="str">
        <f>IFERROR(VLOOKUP(基本資料填寫!$E$1&amp;"-"&amp;ROW(CT29),基本資料填寫!$E:$EU,COLUMN(基本資料填寫!CX29),0),"")</f>
        <v/>
      </c>
      <c r="G32" s="166" t="str">
        <f>IFERROR(VLOOKUP(基本資料填寫!$E$1&amp;"-"&amp;ROW(CQ29),基本資料填寫!$E:$EU,COLUMN(基本資料填寫!CU29),0),"")</f>
        <v/>
      </c>
      <c r="H32" s="169"/>
      <c r="I32" s="168"/>
      <c r="J32" s="168"/>
      <c r="K32" s="166" t="str">
        <f>IFERROR(VLOOKUP(基本資料填寫!$E$1&amp;"-"&amp;ROW(DC29),基本資料填寫!$E:$EU,COLUMN(基本資料填寫!DH29),0),"")</f>
        <v/>
      </c>
      <c r="M32" s="166" t="str">
        <f>IFERROR(VLOOKUP(基本資料填寫!$E$1&amp;"-"&amp;ROW(DI29),基本資料填寫!$E:$EU,COLUMN(基本資料填寫!DN29),0),"")</f>
        <v/>
      </c>
      <c r="N32" s="166" t="str">
        <f>IFERROR(VLOOKUP(基本資料填寫!$E$1&amp;"-"&amp;ROW(DH29),基本資料填寫!$E:$EU,COLUMN(基本資料填寫!DM29),0),"")</f>
        <v/>
      </c>
      <c r="O32" s="166" t="str">
        <f>IFERROR(VLOOKUP(基本資料填寫!$E$1&amp;"-"&amp;ROW(DJ29),基本資料填寫!$E:$EU,COLUMN(基本資料填寫!DO29),0),"")</f>
        <v/>
      </c>
      <c r="P32" s="252"/>
      <c r="Q32" s="252"/>
      <c r="R32" s="252"/>
      <c r="S32" s="252"/>
      <c r="T32" s="166" t="str">
        <f>IFERROR(VLOOKUP(基本資料填寫!$E$1&amp;"-"&amp;ROW(DG29),基本資料填寫!$E:$EU,COLUMN(基本資料填寫!DL29),0),"")</f>
        <v/>
      </c>
      <c r="U32" s="168"/>
      <c r="V32" s="169"/>
      <c r="X32" s="168"/>
      <c r="AA32" s="168"/>
      <c r="AB32" s="168"/>
    </row>
    <row r="33" spans="1:28" ht="18.75" customHeight="1" x14ac:dyDescent="0.3">
      <c r="A33" s="169"/>
      <c r="B33" s="168"/>
      <c r="C33" s="168"/>
      <c r="D33" s="168"/>
      <c r="E33" s="166" t="str">
        <f>IFERROR(VLOOKUP(基本資料填寫!$E$1&amp;"-"&amp;ROW(CS30),基本資料填寫!$E:$EU,COLUMN(基本資料填寫!CW30),0),"")</f>
        <v/>
      </c>
      <c r="F33" s="166" t="str">
        <f>IFERROR(VLOOKUP(基本資料填寫!$E$1&amp;"-"&amp;ROW(CT30),基本資料填寫!$E:$EU,COLUMN(基本資料填寫!CX30),0),"")</f>
        <v/>
      </c>
      <c r="G33" s="166" t="str">
        <f>IFERROR(VLOOKUP(基本資料填寫!$E$1&amp;"-"&amp;ROW(CQ30),基本資料填寫!$E:$EU,COLUMN(基本資料填寫!CU30),0),"")</f>
        <v/>
      </c>
      <c r="H33" s="169"/>
      <c r="I33" s="168"/>
      <c r="J33" s="168"/>
      <c r="K33" s="166" t="str">
        <f>IFERROR(VLOOKUP(基本資料填寫!$E$1&amp;"-"&amp;ROW(DC30),基本資料填寫!$E:$EU,COLUMN(基本資料填寫!DH30),0),"")</f>
        <v/>
      </c>
      <c r="M33" s="166" t="str">
        <f>IFERROR(VLOOKUP(基本資料填寫!$E$1&amp;"-"&amp;ROW(DI30),基本資料填寫!$E:$EU,COLUMN(基本資料填寫!DN30),0),"")</f>
        <v/>
      </c>
      <c r="N33" s="166" t="str">
        <f>IFERROR(VLOOKUP(基本資料填寫!$E$1&amp;"-"&amp;ROW(DH30),基本資料填寫!$E:$EU,COLUMN(基本資料填寫!DM30),0),"")</f>
        <v/>
      </c>
      <c r="O33" s="166" t="str">
        <f>IFERROR(VLOOKUP(基本資料填寫!$E$1&amp;"-"&amp;ROW(DJ30),基本資料填寫!$E:$EU,COLUMN(基本資料填寫!DO30),0),"")</f>
        <v/>
      </c>
      <c r="P33" s="252"/>
      <c r="Q33" s="252"/>
      <c r="R33" s="252"/>
      <c r="S33" s="252"/>
      <c r="T33" s="166" t="str">
        <f>IFERROR(VLOOKUP(基本資料填寫!$E$1&amp;"-"&amp;ROW(DG30),基本資料填寫!$E:$EU,COLUMN(基本資料填寫!DL30),0),"")</f>
        <v/>
      </c>
      <c r="U33" s="168"/>
      <c r="V33" s="169"/>
      <c r="X33" s="168"/>
      <c r="AA33" s="168"/>
      <c r="AB33" s="168"/>
    </row>
    <row r="34" spans="1:28" ht="18.75" customHeight="1" x14ac:dyDescent="0.3">
      <c r="A34" s="169"/>
      <c r="B34" s="168"/>
      <c r="C34" s="168"/>
      <c r="D34" s="168"/>
      <c r="E34" s="166" t="str">
        <f>IFERROR(VLOOKUP(基本資料填寫!$E$1&amp;"-"&amp;ROW(CS31),基本資料填寫!$E:$EU,COLUMN(基本資料填寫!CW31),0),"")</f>
        <v/>
      </c>
      <c r="F34" s="166" t="str">
        <f>IFERROR(VLOOKUP(基本資料填寫!$E$1&amp;"-"&amp;ROW(CT31),基本資料填寫!$E:$EU,COLUMN(基本資料填寫!CX31),0),"")</f>
        <v/>
      </c>
      <c r="G34" s="166" t="str">
        <f>IFERROR(VLOOKUP(基本資料填寫!$E$1&amp;"-"&amp;ROW(CQ31),基本資料填寫!$E:$EU,COLUMN(基本資料填寫!CU31),0),"")</f>
        <v/>
      </c>
      <c r="H34" s="169"/>
      <c r="I34" s="168"/>
      <c r="J34" s="168"/>
      <c r="K34" s="166" t="str">
        <f>IFERROR(VLOOKUP(基本資料填寫!$E$1&amp;"-"&amp;ROW(DC31),基本資料填寫!$E:$EU,COLUMN(基本資料填寫!DH31),0),"")</f>
        <v/>
      </c>
      <c r="M34" s="166" t="str">
        <f>IFERROR(VLOOKUP(基本資料填寫!$E$1&amp;"-"&amp;ROW(DI31),基本資料填寫!$E:$EU,COLUMN(基本資料填寫!DN31),0),"")</f>
        <v/>
      </c>
      <c r="N34" s="166" t="str">
        <f>IFERROR(VLOOKUP(基本資料填寫!$E$1&amp;"-"&amp;ROW(DH31),基本資料填寫!$E:$EU,COLUMN(基本資料填寫!DM31),0),"")</f>
        <v/>
      </c>
      <c r="O34" s="166" t="str">
        <f>IFERROR(VLOOKUP(基本資料填寫!$E$1&amp;"-"&amp;ROW(DJ31),基本資料填寫!$E:$EU,COLUMN(基本資料填寫!DO31),0),"")</f>
        <v/>
      </c>
      <c r="P34" s="252"/>
      <c r="Q34" s="252"/>
      <c r="R34" s="252"/>
      <c r="S34" s="252"/>
      <c r="T34" s="166" t="str">
        <f>IFERROR(VLOOKUP(基本資料填寫!$E$1&amp;"-"&amp;ROW(DG31),基本資料填寫!$E:$EU,COLUMN(基本資料填寫!DL31),0),"")</f>
        <v/>
      </c>
      <c r="U34" s="168"/>
      <c r="V34" s="169"/>
      <c r="X34" s="168"/>
      <c r="AA34" s="168"/>
      <c r="AB34" s="168"/>
    </row>
    <row r="35" spans="1:28" ht="18.75" customHeight="1" x14ac:dyDescent="0.3">
      <c r="A35" s="169"/>
      <c r="B35" s="168"/>
      <c r="C35" s="168"/>
      <c r="D35" s="168"/>
      <c r="E35" s="166" t="str">
        <f>IFERROR(VLOOKUP(基本資料填寫!$E$1&amp;"-"&amp;ROW(CS32),基本資料填寫!$E:$EU,COLUMN(基本資料填寫!CW32),0),"")</f>
        <v/>
      </c>
      <c r="F35" s="166" t="str">
        <f>IFERROR(VLOOKUP(基本資料填寫!$E$1&amp;"-"&amp;ROW(CT32),基本資料填寫!$E:$EU,COLUMN(基本資料填寫!CX32),0),"")</f>
        <v/>
      </c>
      <c r="G35" s="166" t="str">
        <f>IFERROR(VLOOKUP(基本資料填寫!$E$1&amp;"-"&amp;ROW(CQ32),基本資料填寫!$E:$EU,COLUMN(基本資料填寫!CU32),0),"")</f>
        <v/>
      </c>
      <c r="H35" s="169"/>
      <c r="I35" s="168"/>
      <c r="J35" s="168"/>
      <c r="K35" s="166" t="str">
        <f>IFERROR(VLOOKUP(基本資料填寫!$E$1&amp;"-"&amp;ROW(DC32),基本資料填寫!$E:$EU,COLUMN(基本資料填寫!DH32),0),"")</f>
        <v/>
      </c>
      <c r="M35" s="166" t="str">
        <f>IFERROR(VLOOKUP(基本資料填寫!$E$1&amp;"-"&amp;ROW(DI32),基本資料填寫!$E:$EU,COLUMN(基本資料填寫!DN32),0),"")</f>
        <v/>
      </c>
      <c r="N35" s="166" t="str">
        <f>IFERROR(VLOOKUP(基本資料填寫!$E$1&amp;"-"&amp;ROW(DH32),基本資料填寫!$E:$EU,COLUMN(基本資料填寫!DM32),0),"")</f>
        <v/>
      </c>
      <c r="O35" s="166" t="str">
        <f>IFERROR(VLOOKUP(基本資料填寫!$E$1&amp;"-"&amp;ROW(DJ32),基本資料填寫!$E:$EU,COLUMN(基本資料填寫!DO32),0),"")</f>
        <v/>
      </c>
      <c r="P35" s="252"/>
      <c r="Q35" s="252"/>
      <c r="R35" s="252"/>
      <c r="S35" s="252"/>
      <c r="T35" s="166" t="str">
        <f>IFERROR(VLOOKUP(基本資料填寫!$E$1&amp;"-"&amp;ROW(DG32),基本資料填寫!$E:$EU,COLUMN(基本資料填寫!DL32),0),"")</f>
        <v/>
      </c>
      <c r="U35" s="168"/>
      <c r="V35" s="169"/>
      <c r="X35" s="168"/>
      <c r="AA35" s="168"/>
      <c r="AB35" s="168"/>
    </row>
    <row r="36" spans="1:28" ht="18.75" customHeight="1" x14ac:dyDescent="0.3">
      <c r="A36" s="169"/>
      <c r="B36" s="168"/>
      <c r="C36" s="168"/>
      <c r="D36" s="168"/>
      <c r="E36" s="166" t="str">
        <f>IFERROR(VLOOKUP(基本資料填寫!$E$1&amp;"-"&amp;ROW(CS33),基本資料填寫!$E:$EU,COLUMN(基本資料填寫!CW33),0),"")</f>
        <v/>
      </c>
      <c r="F36" s="166" t="str">
        <f>IFERROR(VLOOKUP(基本資料填寫!$E$1&amp;"-"&amp;ROW(CT33),基本資料填寫!$E:$EU,COLUMN(基本資料填寫!CX33),0),"")</f>
        <v/>
      </c>
      <c r="G36" s="166" t="str">
        <f>IFERROR(VLOOKUP(基本資料填寫!$E$1&amp;"-"&amp;ROW(CQ33),基本資料填寫!$E:$EU,COLUMN(基本資料填寫!CU33),0),"")</f>
        <v/>
      </c>
      <c r="H36" s="169"/>
      <c r="I36" s="168"/>
      <c r="J36" s="168"/>
      <c r="K36" s="166" t="str">
        <f>IFERROR(VLOOKUP(基本資料填寫!$E$1&amp;"-"&amp;ROW(DC33),基本資料填寫!$E:$EU,COLUMN(基本資料填寫!DH33),0),"")</f>
        <v/>
      </c>
      <c r="M36" s="166" t="str">
        <f>IFERROR(VLOOKUP(基本資料填寫!$E$1&amp;"-"&amp;ROW(DI33),基本資料填寫!$E:$EU,COLUMN(基本資料填寫!DN33),0),"")</f>
        <v/>
      </c>
      <c r="N36" s="166" t="str">
        <f>IFERROR(VLOOKUP(基本資料填寫!$E$1&amp;"-"&amp;ROW(DH33),基本資料填寫!$E:$EU,COLUMN(基本資料填寫!DM33),0),"")</f>
        <v/>
      </c>
      <c r="O36" s="166" t="str">
        <f>IFERROR(VLOOKUP(基本資料填寫!$E$1&amp;"-"&amp;ROW(DJ33),基本資料填寫!$E:$EU,COLUMN(基本資料填寫!DO33),0),"")</f>
        <v/>
      </c>
      <c r="P36" s="252"/>
      <c r="Q36" s="252"/>
      <c r="R36" s="252"/>
      <c r="S36" s="252"/>
      <c r="T36" s="166" t="str">
        <f>IFERROR(VLOOKUP(基本資料填寫!$E$1&amp;"-"&amp;ROW(DG33),基本資料填寫!$E:$EU,COLUMN(基本資料填寫!DL33),0),"")</f>
        <v/>
      </c>
      <c r="U36" s="168"/>
      <c r="V36" s="169"/>
      <c r="X36" s="168"/>
      <c r="AA36" s="168"/>
      <c r="AB36" s="168"/>
    </row>
    <row r="37" spans="1:28" ht="18.75" customHeight="1" x14ac:dyDescent="0.3">
      <c r="A37" s="169"/>
      <c r="B37" s="168"/>
      <c r="C37" s="168"/>
      <c r="D37" s="168"/>
      <c r="E37" s="166" t="str">
        <f>IFERROR(VLOOKUP(基本資料填寫!$E$1&amp;"-"&amp;ROW(CS34),基本資料填寫!$E:$EU,COLUMN(基本資料填寫!CW34),0),"")</f>
        <v/>
      </c>
      <c r="F37" s="166" t="str">
        <f>IFERROR(VLOOKUP(基本資料填寫!$E$1&amp;"-"&amp;ROW(CT34),基本資料填寫!$E:$EU,COLUMN(基本資料填寫!CX34),0),"")</f>
        <v/>
      </c>
      <c r="G37" s="166" t="str">
        <f>IFERROR(VLOOKUP(基本資料填寫!$E$1&amp;"-"&amp;ROW(CQ34),基本資料填寫!$E:$EU,COLUMN(基本資料填寫!CU34),0),"")</f>
        <v/>
      </c>
      <c r="H37" s="169"/>
      <c r="I37" s="168"/>
      <c r="J37" s="168"/>
      <c r="K37" s="166" t="str">
        <f>IFERROR(VLOOKUP(基本資料填寫!$E$1&amp;"-"&amp;ROW(DC34),基本資料填寫!$E:$EU,COLUMN(基本資料填寫!DH34),0),"")</f>
        <v/>
      </c>
      <c r="M37" s="166" t="str">
        <f>IFERROR(VLOOKUP(基本資料填寫!$E$1&amp;"-"&amp;ROW(DI34),基本資料填寫!$E:$EU,COLUMN(基本資料填寫!DN34),0),"")</f>
        <v/>
      </c>
      <c r="N37" s="166" t="str">
        <f>IFERROR(VLOOKUP(基本資料填寫!$E$1&amp;"-"&amp;ROW(DH34),基本資料填寫!$E:$EU,COLUMN(基本資料填寫!DM34),0),"")</f>
        <v/>
      </c>
      <c r="O37" s="166" t="str">
        <f>IFERROR(VLOOKUP(基本資料填寫!$E$1&amp;"-"&amp;ROW(DJ34),基本資料填寫!$E:$EU,COLUMN(基本資料填寫!DO34),0),"")</f>
        <v/>
      </c>
      <c r="P37" s="252"/>
      <c r="Q37" s="252"/>
      <c r="R37" s="252"/>
      <c r="S37" s="252"/>
      <c r="T37" s="166" t="str">
        <f>IFERROR(VLOOKUP(基本資料填寫!$E$1&amp;"-"&amp;ROW(DG34),基本資料填寫!$E:$EU,COLUMN(基本資料填寫!DL34),0),"")</f>
        <v/>
      </c>
      <c r="U37" s="168"/>
      <c r="V37" s="169"/>
      <c r="X37" s="168"/>
      <c r="AA37" s="168"/>
      <c r="AB37" s="168"/>
    </row>
    <row r="38" spans="1:28" ht="18.75" customHeight="1" x14ac:dyDescent="0.3">
      <c r="A38" s="169"/>
      <c r="B38" s="168"/>
      <c r="C38" s="168"/>
      <c r="D38" s="168"/>
      <c r="E38" s="166" t="str">
        <f>IFERROR(VLOOKUP(基本資料填寫!$E$1&amp;"-"&amp;ROW(CS35),基本資料填寫!$E:$EU,COLUMN(基本資料填寫!CW35),0),"")</f>
        <v/>
      </c>
      <c r="F38" s="166" t="str">
        <f>IFERROR(VLOOKUP(基本資料填寫!$E$1&amp;"-"&amp;ROW(CT35),基本資料填寫!$E:$EU,COLUMN(基本資料填寫!CX35),0),"")</f>
        <v/>
      </c>
      <c r="G38" s="166" t="str">
        <f>IFERROR(VLOOKUP(基本資料填寫!$E$1&amp;"-"&amp;ROW(CQ35),基本資料填寫!$E:$EU,COLUMN(基本資料填寫!CU35),0),"")</f>
        <v/>
      </c>
      <c r="H38" s="169"/>
      <c r="I38" s="168"/>
      <c r="J38" s="168"/>
      <c r="K38" s="166" t="str">
        <f>IFERROR(VLOOKUP(基本資料填寫!$E$1&amp;"-"&amp;ROW(DC35),基本資料填寫!$E:$EU,COLUMN(基本資料填寫!DH35),0),"")</f>
        <v/>
      </c>
      <c r="M38" s="166" t="str">
        <f>IFERROR(VLOOKUP(基本資料填寫!$E$1&amp;"-"&amp;ROW(DI35),基本資料填寫!$E:$EU,COLUMN(基本資料填寫!DN35),0),"")</f>
        <v/>
      </c>
      <c r="N38" s="166" t="str">
        <f>IFERROR(VLOOKUP(基本資料填寫!$E$1&amp;"-"&amp;ROW(DH35),基本資料填寫!$E:$EU,COLUMN(基本資料填寫!DM35),0),"")</f>
        <v/>
      </c>
      <c r="O38" s="166" t="str">
        <f>IFERROR(VLOOKUP(基本資料填寫!$E$1&amp;"-"&amp;ROW(DJ35),基本資料填寫!$E:$EU,COLUMN(基本資料填寫!DO35),0),"")</f>
        <v/>
      </c>
      <c r="P38" s="252"/>
      <c r="Q38" s="252"/>
      <c r="R38" s="252"/>
      <c r="S38" s="252"/>
      <c r="T38" s="166" t="str">
        <f>IFERROR(VLOOKUP(基本資料填寫!$E$1&amp;"-"&amp;ROW(DG35),基本資料填寫!$E:$EU,COLUMN(基本資料填寫!DL35),0),"")</f>
        <v/>
      </c>
      <c r="U38" s="168"/>
      <c r="V38" s="169"/>
      <c r="X38" s="168"/>
      <c r="AA38" s="168"/>
      <c r="AB38" s="168"/>
    </row>
    <row r="39" spans="1:28" ht="18.75" customHeight="1" x14ac:dyDescent="0.3">
      <c r="A39" s="169"/>
      <c r="B39" s="168"/>
      <c r="C39" s="168"/>
      <c r="D39" s="168"/>
      <c r="E39" s="166" t="str">
        <f>IFERROR(VLOOKUP(基本資料填寫!$E$1&amp;"-"&amp;ROW(CS36),基本資料填寫!$E:$EU,COLUMN(基本資料填寫!CW36),0),"")</f>
        <v/>
      </c>
      <c r="F39" s="166" t="str">
        <f>IFERROR(VLOOKUP(基本資料填寫!$E$1&amp;"-"&amp;ROW(CT36),基本資料填寫!$E:$EU,COLUMN(基本資料填寫!CX36),0),"")</f>
        <v/>
      </c>
      <c r="G39" s="166" t="str">
        <f>IFERROR(VLOOKUP(基本資料填寫!$E$1&amp;"-"&amp;ROW(CQ36),基本資料填寫!$E:$EU,COLUMN(基本資料填寫!CU36),0),"")</f>
        <v/>
      </c>
      <c r="H39" s="169"/>
      <c r="I39" s="168"/>
      <c r="J39" s="168"/>
      <c r="K39" s="166" t="str">
        <f>IFERROR(VLOOKUP(基本資料填寫!$E$1&amp;"-"&amp;ROW(DC36),基本資料填寫!$E:$EU,COLUMN(基本資料填寫!DH36),0),"")</f>
        <v/>
      </c>
      <c r="M39" s="166" t="str">
        <f>IFERROR(VLOOKUP(基本資料填寫!$E$1&amp;"-"&amp;ROW(DI36),基本資料填寫!$E:$EU,COLUMN(基本資料填寫!DN36),0),"")</f>
        <v/>
      </c>
      <c r="N39" s="166" t="str">
        <f>IFERROR(VLOOKUP(基本資料填寫!$E$1&amp;"-"&amp;ROW(DH36),基本資料填寫!$E:$EU,COLUMN(基本資料填寫!DM36),0),"")</f>
        <v/>
      </c>
      <c r="O39" s="166" t="str">
        <f>IFERROR(VLOOKUP(基本資料填寫!$E$1&amp;"-"&amp;ROW(DJ36),基本資料填寫!$E:$EU,COLUMN(基本資料填寫!DO36),0),"")</f>
        <v/>
      </c>
      <c r="P39" s="252"/>
      <c r="Q39" s="252"/>
      <c r="R39" s="252"/>
      <c r="S39" s="252"/>
      <c r="T39" s="166" t="str">
        <f>IFERROR(VLOOKUP(基本資料填寫!$E$1&amp;"-"&amp;ROW(DG36),基本資料填寫!$E:$EU,COLUMN(基本資料填寫!DL36),0),"")</f>
        <v/>
      </c>
      <c r="U39" s="168"/>
      <c r="V39" s="169"/>
      <c r="X39" s="168"/>
      <c r="AA39" s="168"/>
      <c r="AB39" s="168"/>
    </row>
    <row r="40" spans="1:28" ht="18.75" customHeight="1" x14ac:dyDescent="0.3">
      <c r="A40" s="169"/>
      <c r="B40" s="168"/>
      <c r="C40" s="168"/>
      <c r="D40" s="168"/>
      <c r="E40" s="166" t="str">
        <f>IFERROR(VLOOKUP(基本資料填寫!$E$1&amp;"-"&amp;ROW(CS37),基本資料填寫!$E:$EU,COLUMN(基本資料填寫!CW37),0),"")</f>
        <v/>
      </c>
      <c r="F40" s="166" t="str">
        <f>IFERROR(VLOOKUP(基本資料填寫!$E$1&amp;"-"&amp;ROW(CT37),基本資料填寫!$E:$EU,COLUMN(基本資料填寫!CX37),0),"")</f>
        <v/>
      </c>
      <c r="G40" s="166" t="str">
        <f>IFERROR(VLOOKUP(基本資料填寫!$E$1&amp;"-"&amp;ROW(CQ37),基本資料填寫!$E:$EU,COLUMN(基本資料填寫!CU37),0),"")</f>
        <v/>
      </c>
      <c r="H40" s="169"/>
      <c r="I40" s="168"/>
      <c r="J40" s="168"/>
      <c r="K40" s="166" t="str">
        <f>IFERROR(VLOOKUP(基本資料填寫!$E$1&amp;"-"&amp;ROW(DC37),基本資料填寫!$E:$EU,COLUMN(基本資料填寫!DH37),0),"")</f>
        <v/>
      </c>
      <c r="M40" s="166" t="str">
        <f>IFERROR(VLOOKUP(基本資料填寫!$E$1&amp;"-"&amp;ROW(DI37),基本資料填寫!$E:$EU,COLUMN(基本資料填寫!DN37),0),"")</f>
        <v/>
      </c>
      <c r="N40" s="166" t="str">
        <f>IFERROR(VLOOKUP(基本資料填寫!$E$1&amp;"-"&amp;ROW(DH37),基本資料填寫!$E:$EU,COLUMN(基本資料填寫!DM37),0),"")</f>
        <v/>
      </c>
      <c r="O40" s="166" t="str">
        <f>IFERROR(VLOOKUP(基本資料填寫!$E$1&amp;"-"&amp;ROW(DJ37),基本資料填寫!$E:$EU,COLUMN(基本資料填寫!DO37),0),"")</f>
        <v/>
      </c>
      <c r="P40" s="252"/>
      <c r="Q40" s="252"/>
      <c r="R40" s="252"/>
      <c r="S40" s="252"/>
      <c r="T40" s="166" t="str">
        <f>IFERROR(VLOOKUP(基本資料填寫!$E$1&amp;"-"&amp;ROW(DG37),基本資料填寫!$E:$EU,COLUMN(基本資料填寫!DL37),0),"")</f>
        <v/>
      </c>
      <c r="U40" s="168"/>
      <c r="V40" s="169"/>
      <c r="X40" s="168"/>
      <c r="AA40" s="168"/>
      <c r="AB40" s="168"/>
    </row>
    <row r="41" spans="1:28" ht="18.75" customHeight="1" x14ac:dyDescent="0.3">
      <c r="A41" s="169"/>
      <c r="B41" s="168"/>
      <c r="C41" s="168"/>
      <c r="D41" s="168"/>
      <c r="E41" s="166" t="str">
        <f>IFERROR(VLOOKUP(基本資料填寫!$E$1&amp;"-"&amp;ROW(CS38),基本資料填寫!$E:$EU,COLUMN(基本資料填寫!CW38),0),"")</f>
        <v/>
      </c>
      <c r="F41" s="166" t="str">
        <f>IFERROR(VLOOKUP(基本資料填寫!$E$1&amp;"-"&amp;ROW(CT38),基本資料填寫!$E:$EU,COLUMN(基本資料填寫!CX38),0),"")</f>
        <v/>
      </c>
      <c r="G41" s="166" t="str">
        <f>IFERROR(VLOOKUP(基本資料填寫!$E$1&amp;"-"&amp;ROW(CQ38),基本資料填寫!$E:$EU,COLUMN(基本資料填寫!CU38),0),"")</f>
        <v/>
      </c>
      <c r="H41" s="169"/>
      <c r="I41" s="168"/>
      <c r="J41" s="168"/>
      <c r="K41" s="166" t="str">
        <f>IFERROR(VLOOKUP(基本資料填寫!$E$1&amp;"-"&amp;ROW(DC38),基本資料填寫!$E:$EU,COLUMN(基本資料填寫!DH38),0),"")</f>
        <v/>
      </c>
      <c r="M41" s="166" t="str">
        <f>IFERROR(VLOOKUP(基本資料填寫!$E$1&amp;"-"&amp;ROW(DI38),基本資料填寫!$E:$EU,COLUMN(基本資料填寫!DN38),0),"")</f>
        <v/>
      </c>
      <c r="N41" s="166" t="str">
        <f>IFERROR(VLOOKUP(基本資料填寫!$E$1&amp;"-"&amp;ROW(DH38),基本資料填寫!$E:$EU,COLUMN(基本資料填寫!DM38),0),"")</f>
        <v/>
      </c>
      <c r="O41" s="166" t="str">
        <f>IFERROR(VLOOKUP(基本資料填寫!$E$1&amp;"-"&amp;ROW(DJ38),基本資料填寫!$E:$EU,COLUMN(基本資料填寫!DO38),0),"")</f>
        <v/>
      </c>
      <c r="P41" s="252"/>
      <c r="Q41" s="252"/>
      <c r="R41" s="252"/>
      <c r="S41" s="252"/>
      <c r="T41" s="166" t="str">
        <f>IFERROR(VLOOKUP(基本資料填寫!$E$1&amp;"-"&amp;ROW(DG38),基本資料填寫!$E:$EU,COLUMN(基本資料填寫!DL38),0),"")</f>
        <v/>
      </c>
      <c r="U41" s="168"/>
      <c r="V41" s="169"/>
      <c r="X41" s="168"/>
      <c r="AA41" s="168"/>
      <c r="AB41" s="168"/>
    </row>
    <row r="42" spans="1:28" ht="18.75" customHeight="1" x14ac:dyDescent="0.3">
      <c r="A42" s="169"/>
      <c r="B42" s="168"/>
      <c r="C42" s="168"/>
      <c r="D42" s="168"/>
      <c r="E42" s="166" t="str">
        <f>IFERROR(VLOOKUP(基本資料填寫!$E$1&amp;"-"&amp;ROW(CS39),基本資料填寫!$E:$EU,COLUMN(基本資料填寫!CW39),0),"")</f>
        <v/>
      </c>
      <c r="F42" s="166" t="str">
        <f>IFERROR(VLOOKUP(基本資料填寫!$E$1&amp;"-"&amp;ROW(CT39),基本資料填寫!$E:$EU,COLUMN(基本資料填寫!CX39),0),"")</f>
        <v/>
      </c>
      <c r="G42" s="166" t="str">
        <f>IFERROR(VLOOKUP(基本資料填寫!$E$1&amp;"-"&amp;ROW(CQ39),基本資料填寫!$E:$EU,COLUMN(基本資料填寫!CU39),0),"")</f>
        <v/>
      </c>
      <c r="H42" s="169"/>
      <c r="I42" s="168"/>
      <c r="J42" s="168"/>
      <c r="K42" s="166" t="str">
        <f>IFERROR(VLOOKUP(基本資料填寫!$E$1&amp;"-"&amp;ROW(DC39),基本資料填寫!$E:$EU,COLUMN(基本資料填寫!DH39),0),"")</f>
        <v/>
      </c>
      <c r="M42" s="166" t="str">
        <f>IFERROR(VLOOKUP(基本資料填寫!$E$1&amp;"-"&amp;ROW(DI39),基本資料填寫!$E:$EU,COLUMN(基本資料填寫!DN39),0),"")</f>
        <v/>
      </c>
      <c r="N42" s="166" t="str">
        <f>IFERROR(VLOOKUP(基本資料填寫!$E$1&amp;"-"&amp;ROW(DH39),基本資料填寫!$E:$EU,COLUMN(基本資料填寫!DM39),0),"")</f>
        <v/>
      </c>
      <c r="O42" s="166" t="str">
        <f>IFERROR(VLOOKUP(基本資料填寫!$E$1&amp;"-"&amp;ROW(DJ39),基本資料填寫!$E:$EU,COLUMN(基本資料填寫!DO39),0),"")</f>
        <v/>
      </c>
      <c r="P42" s="252"/>
      <c r="Q42" s="252"/>
      <c r="R42" s="252"/>
      <c r="S42" s="252"/>
      <c r="T42" s="166" t="str">
        <f>IFERROR(VLOOKUP(基本資料填寫!$E$1&amp;"-"&amp;ROW(DG39),基本資料填寫!$E:$EU,COLUMN(基本資料填寫!DL39),0),"")</f>
        <v/>
      </c>
      <c r="U42" s="168"/>
      <c r="V42" s="169"/>
      <c r="X42" s="168"/>
      <c r="AA42" s="168"/>
      <c r="AB42" s="168"/>
    </row>
    <row r="43" spans="1:28" ht="18.75" customHeight="1" x14ac:dyDescent="0.3">
      <c r="A43" s="169"/>
      <c r="B43" s="168"/>
      <c r="C43" s="168"/>
      <c r="D43" s="168"/>
      <c r="E43" s="166" t="str">
        <f>IFERROR(VLOOKUP(基本資料填寫!$E$1&amp;"-"&amp;ROW(CS40),基本資料填寫!$E:$EU,COLUMN(基本資料填寫!CW40),0),"")</f>
        <v/>
      </c>
      <c r="F43" s="166" t="str">
        <f>IFERROR(VLOOKUP(基本資料填寫!$E$1&amp;"-"&amp;ROW(CT40),基本資料填寫!$E:$EU,COLUMN(基本資料填寫!CX40),0),"")</f>
        <v/>
      </c>
      <c r="G43" s="166" t="str">
        <f>IFERROR(VLOOKUP(基本資料填寫!$E$1&amp;"-"&amp;ROW(CQ40),基本資料填寫!$E:$EU,COLUMN(基本資料填寫!CU40),0),"")</f>
        <v/>
      </c>
      <c r="H43" s="169"/>
      <c r="I43" s="168"/>
      <c r="J43" s="168"/>
      <c r="K43" s="166" t="str">
        <f>IFERROR(VLOOKUP(基本資料填寫!$E$1&amp;"-"&amp;ROW(DC40),基本資料填寫!$E:$EU,COLUMN(基本資料填寫!DH40),0),"")</f>
        <v/>
      </c>
      <c r="M43" s="166" t="str">
        <f>IFERROR(VLOOKUP(基本資料填寫!$E$1&amp;"-"&amp;ROW(DI40),基本資料填寫!$E:$EU,COLUMN(基本資料填寫!DN40),0),"")</f>
        <v/>
      </c>
      <c r="N43" s="166" t="str">
        <f>IFERROR(VLOOKUP(基本資料填寫!$E$1&amp;"-"&amp;ROW(DH40),基本資料填寫!$E:$EU,COLUMN(基本資料填寫!DM40),0),"")</f>
        <v/>
      </c>
      <c r="O43" s="166" t="str">
        <f>IFERROR(VLOOKUP(基本資料填寫!$E$1&amp;"-"&amp;ROW(DJ40),基本資料填寫!$E:$EU,COLUMN(基本資料填寫!DO40),0),"")</f>
        <v/>
      </c>
      <c r="P43" s="252"/>
      <c r="Q43" s="252"/>
      <c r="R43" s="252"/>
      <c r="S43" s="252"/>
      <c r="T43" s="166" t="str">
        <f>IFERROR(VLOOKUP(基本資料填寫!$E$1&amp;"-"&amp;ROW(DG40),基本資料填寫!$E:$EU,COLUMN(基本資料填寫!DL40),0),"")</f>
        <v/>
      </c>
      <c r="U43" s="168"/>
      <c r="V43" s="169"/>
      <c r="X43" s="168"/>
      <c r="AA43" s="168"/>
      <c r="AB43" s="168"/>
    </row>
    <row r="44" spans="1:28" ht="18.75" customHeight="1" x14ac:dyDescent="0.3">
      <c r="A44" s="169"/>
      <c r="B44" s="168"/>
      <c r="C44" s="168"/>
      <c r="D44" s="168"/>
      <c r="E44" s="166" t="str">
        <f>IFERROR(VLOOKUP(基本資料填寫!$E$1&amp;"-"&amp;ROW(CS41),基本資料填寫!$E:$EU,COLUMN(基本資料填寫!CW41),0),"")</f>
        <v/>
      </c>
      <c r="F44" s="166" t="str">
        <f>IFERROR(VLOOKUP(基本資料填寫!$E$1&amp;"-"&amp;ROW(CT41),基本資料填寫!$E:$EU,COLUMN(基本資料填寫!CX41),0),"")</f>
        <v/>
      </c>
      <c r="G44" s="166" t="str">
        <f>IFERROR(VLOOKUP(基本資料填寫!$E$1&amp;"-"&amp;ROW(CQ41),基本資料填寫!$E:$EU,COLUMN(基本資料填寫!CU41),0),"")</f>
        <v/>
      </c>
      <c r="H44" s="169"/>
      <c r="I44" s="168"/>
      <c r="J44" s="168"/>
      <c r="K44" s="166" t="str">
        <f>IFERROR(VLOOKUP(基本資料填寫!$E$1&amp;"-"&amp;ROW(DC41),基本資料填寫!$E:$EU,COLUMN(基本資料填寫!DH41),0),"")</f>
        <v/>
      </c>
      <c r="M44" s="166" t="str">
        <f>IFERROR(VLOOKUP(基本資料填寫!$E$1&amp;"-"&amp;ROW(DI41),基本資料填寫!$E:$EU,COLUMN(基本資料填寫!DN41),0),"")</f>
        <v/>
      </c>
      <c r="N44" s="166" t="str">
        <f>IFERROR(VLOOKUP(基本資料填寫!$E$1&amp;"-"&amp;ROW(DH41),基本資料填寫!$E:$EU,COLUMN(基本資料填寫!DM41),0),"")</f>
        <v/>
      </c>
      <c r="O44" s="166" t="str">
        <f>IFERROR(VLOOKUP(基本資料填寫!$E$1&amp;"-"&amp;ROW(DJ41),基本資料填寫!$E:$EU,COLUMN(基本資料填寫!DO41),0),"")</f>
        <v/>
      </c>
      <c r="P44" s="252"/>
      <c r="Q44" s="252"/>
      <c r="R44" s="252"/>
      <c r="S44" s="252"/>
      <c r="T44" s="166" t="str">
        <f>IFERROR(VLOOKUP(基本資料填寫!$E$1&amp;"-"&amp;ROW(DG41),基本資料填寫!$E:$EU,COLUMN(基本資料填寫!DL41),0),"")</f>
        <v/>
      </c>
      <c r="U44" s="168"/>
      <c r="V44" s="169"/>
      <c r="X44" s="168"/>
      <c r="AA44" s="168"/>
      <c r="AB44" s="168"/>
    </row>
    <row r="45" spans="1:28" ht="18.75" customHeight="1" x14ac:dyDescent="0.3">
      <c r="A45" s="169"/>
      <c r="B45" s="168"/>
      <c r="C45" s="168"/>
      <c r="D45" s="168"/>
      <c r="E45" s="166" t="str">
        <f>IFERROR(VLOOKUP(基本資料填寫!$E$1&amp;"-"&amp;ROW(CS42),基本資料填寫!$E:$EU,COLUMN(基本資料填寫!CW42),0),"")</f>
        <v/>
      </c>
      <c r="F45" s="166" t="str">
        <f>IFERROR(VLOOKUP(基本資料填寫!$E$1&amp;"-"&amp;ROW(CT42),基本資料填寫!$E:$EU,COLUMN(基本資料填寫!CX42),0),"")</f>
        <v/>
      </c>
      <c r="G45" s="166" t="str">
        <f>IFERROR(VLOOKUP(基本資料填寫!$E$1&amp;"-"&amp;ROW(CQ42),基本資料填寫!$E:$EU,COLUMN(基本資料填寫!CU42),0),"")</f>
        <v/>
      </c>
      <c r="H45" s="169"/>
      <c r="I45" s="168"/>
      <c r="J45" s="168"/>
      <c r="K45" s="166" t="str">
        <f>IFERROR(VLOOKUP(基本資料填寫!$E$1&amp;"-"&amp;ROW(DC42),基本資料填寫!$E:$EU,COLUMN(基本資料填寫!DH42),0),"")</f>
        <v/>
      </c>
      <c r="M45" s="166" t="str">
        <f>IFERROR(VLOOKUP(基本資料填寫!$E$1&amp;"-"&amp;ROW(DI42),基本資料填寫!$E:$EU,COLUMN(基本資料填寫!DN42),0),"")</f>
        <v/>
      </c>
      <c r="N45" s="166" t="str">
        <f>IFERROR(VLOOKUP(基本資料填寫!$E$1&amp;"-"&amp;ROW(DH42),基本資料填寫!$E:$EU,COLUMN(基本資料填寫!DM42),0),"")</f>
        <v/>
      </c>
      <c r="O45" s="166" t="str">
        <f>IFERROR(VLOOKUP(基本資料填寫!$E$1&amp;"-"&amp;ROW(DJ42),基本資料填寫!$E:$EU,COLUMN(基本資料填寫!DO42),0),"")</f>
        <v/>
      </c>
      <c r="P45" s="252"/>
      <c r="Q45" s="252"/>
      <c r="R45" s="252"/>
      <c r="S45" s="252"/>
      <c r="T45" s="166" t="str">
        <f>IFERROR(VLOOKUP(基本資料填寫!$E$1&amp;"-"&amp;ROW(DG42),基本資料填寫!$E:$EU,COLUMN(基本資料填寫!DL42),0),"")</f>
        <v/>
      </c>
      <c r="U45" s="168"/>
      <c r="V45" s="169"/>
      <c r="X45" s="168"/>
      <c r="AA45" s="168"/>
      <c r="AB45" s="168"/>
    </row>
    <row r="46" spans="1:28" ht="18.75" customHeight="1" x14ac:dyDescent="0.3">
      <c r="A46" s="169"/>
      <c r="B46" s="168"/>
      <c r="C46" s="168"/>
      <c r="D46" s="168"/>
      <c r="E46" s="166" t="str">
        <f>IFERROR(VLOOKUP(基本資料填寫!$E$1&amp;"-"&amp;ROW(CS43),基本資料填寫!$E:$EU,COLUMN(基本資料填寫!CW43),0),"")</f>
        <v/>
      </c>
      <c r="F46" s="166" t="str">
        <f>IFERROR(VLOOKUP(基本資料填寫!$E$1&amp;"-"&amp;ROW(CT43),基本資料填寫!$E:$EU,COLUMN(基本資料填寫!CX43),0),"")</f>
        <v/>
      </c>
      <c r="G46" s="166" t="str">
        <f>IFERROR(VLOOKUP(基本資料填寫!$E$1&amp;"-"&amp;ROW(CQ43),基本資料填寫!$E:$EU,COLUMN(基本資料填寫!CU43),0),"")</f>
        <v/>
      </c>
      <c r="H46" s="169"/>
      <c r="I46" s="168"/>
      <c r="J46" s="168"/>
      <c r="K46" s="166" t="str">
        <f>IFERROR(VLOOKUP(基本資料填寫!$E$1&amp;"-"&amp;ROW(DC43),基本資料填寫!$E:$EU,COLUMN(基本資料填寫!DH43),0),"")</f>
        <v/>
      </c>
      <c r="M46" s="166" t="str">
        <f>IFERROR(VLOOKUP(基本資料填寫!$E$1&amp;"-"&amp;ROW(DI43),基本資料填寫!$E:$EU,COLUMN(基本資料填寫!DN43),0),"")</f>
        <v/>
      </c>
      <c r="N46" s="166" t="str">
        <f>IFERROR(VLOOKUP(基本資料填寫!$E$1&amp;"-"&amp;ROW(DH43),基本資料填寫!$E:$EU,COLUMN(基本資料填寫!DM43),0),"")</f>
        <v/>
      </c>
      <c r="O46" s="166" t="str">
        <f>IFERROR(VLOOKUP(基本資料填寫!$E$1&amp;"-"&amp;ROW(DJ43),基本資料填寫!$E:$EU,COLUMN(基本資料填寫!DO43),0),"")</f>
        <v/>
      </c>
      <c r="P46" s="252"/>
      <c r="Q46" s="252"/>
      <c r="R46" s="252"/>
      <c r="S46" s="252"/>
      <c r="T46" s="166" t="str">
        <f>IFERROR(VLOOKUP(基本資料填寫!$E$1&amp;"-"&amp;ROW(DG43),基本資料填寫!$E:$EU,COLUMN(基本資料填寫!DL43),0),"")</f>
        <v/>
      </c>
      <c r="U46" s="168"/>
      <c r="V46" s="169"/>
      <c r="X46" s="168"/>
      <c r="AA46" s="168"/>
      <c r="AB46" s="168"/>
    </row>
    <row r="47" spans="1:28" ht="18.75" customHeight="1" x14ac:dyDescent="0.3">
      <c r="A47" s="169"/>
      <c r="B47" s="168"/>
      <c r="C47" s="168"/>
      <c r="D47" s="168"/>
      <c r="E47" s="166" t="str">
        <f>IFERROR(VLOOKUP(基本資料填寫!$E$1&amp;"-"&amp;ROW(CS44),基本資料填寫!$E:$EU,COLUMN(基本資料填寫!CW44),0),"")</f>
        <v/>
      </c>
      <c r="F47" s="166" t="str">
        <f>IFERROR(VLOOKUP(基本資料填寫!$E$1&amp;"-"&amp;ROW(CT44),基本資料填寫!$E:$EU,COLUMN(基本資料填寫!CX44),0),"")</f>
        <v/>
      </c>
      <c r="G47" s="166" t="str">
        <f>IFERROR(VLOOKUP(基本資料填寫!$E$1&amp;"-"&amp;ROW(CQ44),基本資料填寫!$E:$EU,COLUMN(基本資料填寫!CU44),0),"")</f>
        <v/>
      </c>
      <c r="H47" s="169"/>
      <c r="I47" s="168"/>
      <c r="J47" s="168"/>
      <c r="K47" s="166" t="str">
        <f>IFERROR(VLOOKUP(基本資料填寫!$E$1&amp;"-"&amp;ROW(DC44),基本資料填寫!$E:$EU,COLUMN(基本資料填寫!DH44),0),"")</f>
        <v/>
      </c>
      <c r="M47" s="166" t="str">
        <f>IFERROR(VLOOKUP(基本資料填寫!$E$1&amp;"-"&amp;ROW(DI44),基本資料填寫!$E:$EU,COLUMN(基本資料填寫!DN44),0),"")</f>
        <v/>
      </c>
      <c r="N47" s="166" t="str">
        <f>IFERROR(VLOOKUP(基本資料填寫!$E$1&amp;"-"&amp;ROW(DH44),基本資料填寫!$E:$EU,COLUMN(基本資料填寫!DM44),0),"")</f>
        <v/>
      </c>
      <c r="O47" s="166" t="str">
        <f>IFERROR(VLOOKUP(基本資料填寫!$E$1&amp;"-"&amp;ROW(DJ44),基本資料填寫!$E:$EU,COLUMN(基本資料填寫!DO44),0),"")</f>
        <v/>
      </c>
      <c r="P47" s="252"/>
      <c r="Q47" s="252"/>
      <c r="R47" s="252"/>
      <c r="S47" s="252"/>
      <c r="T47" s="166" t="str">
        <f>IFERROR(VLOOKUP(基本資料填寫!$E$1&amp;"-"&amp;ROW(DG44),基本資料填寫!$E:$EU,COLUMN(基本資料填寫!DL44),0),"")</f>
        <v/>
      </c>
      <c r="U47" s="168"/>
      <c r="V47" s="169"/>
      <c r="X47" s="168"/>
      <c r="AA47" s="168"/>
      <c r="AB47" s="168"/>
    </row>
    <row r="48" spans="1:28" ht="18.75" customHeight="1" x14ac:dyDescent="0.3">
      <c r="A48" s="169"/>
      <c r="B48" s="168"/>
      <c r="C48" s="168"/>
      <c r="D48" s="168"/>
      <c r="E48" s="166" t="str">
        <f>IFERROR(VLOOKUP(基本資料填寫!$E$1&amp;"-"&amp;ROW(CS45),基本資料填寫!$E:$EU,COLUMN(基本資料填寫!CW45),0),"")</f>
        <v/>
      </c>
      <c r="F48" s="166" t="str">
        <f>IFERROR(VLOOKUP(基本資料填寫!$E$1&amp;"-"&amp;ROW(CT45),基本資料填寫!$E:$EU,COLUMN(基本資料填寫!CX45),0),"")</f>
        <v/>
      </c>
      <c r="G48" s="166" t="str">
        <f>IFERROR(VLOOKUP(基本資料填寫!$E$1&amp;"-"&amp;ROW(CQ45),基本資料填寫!$E:$EU,COLUMN(基本資料填寫!CU45),0),"")</f>
        <v/>
      </c>
      <c r="H48" s="169"/>
      <c r="I48" s="168"/>
      <c r="J48" s="168"/>
      <c r="K48" s="166" t="str">
        <f>IFERROR(VLOOKUP(基本資料填寫!$E$1&amp;"-"&amp;ROW(DC45),基本資料填寫!$E:$EU,COLUMN(基本資料填寫!DH45),0),"")</f>
        <v/>
      </c>
      <c r="M48" s="166" t="str">
        <f>IFERROR(VLOOKUP(基本資料填寫!$E$1&amp;"-"&amp;ROW(DI45),基本資料填寫!$E:$EU,COLUMN(基本資料填寫!DN45),0),"")</f>
        <v/>
      </c>
      <c r="N48" s="166" t="str">
        <f>IFERROR(VLOOKUP(基本資料填寫!$E$1&amp;"-"&amp;ROW(DH45),基本資料填寫!$E:$EU,COLUMN(基本資料填寫!DM45),0),"")</f>
        <v/>
      </c>
      <c r="O48" s="166" t="str">
        <f>IFERROR(VLOOKUP(基本資料填寫!$E$1&amp;"-"&amp;ROW(DJ45),基本資料填寫!$E:$EU,COLUMN(基本資料填寫!DO45),0),"")</f>
        <v/>
      </c>
      <c r="P48" s="252"/>
      <c r="Q48" s="252"/>
      <c r="R48" s="252"/>
      <c r="S48" s="252"/>
      <c r="T48" s="166" t="str">
        <f>IFERROR(VLOOKUP(基本資料填寫!$E$1&amp;"-"&amp;ROW(DG45),基本資料填寫!$E:$EU,COLUMN(基本資料填寫!DL45),0),"")</f>
        <v/>
      </c>
      <c r="U48" s="168"/>
      <c r="V48" s="169"/>
      <c r="X48" s="168"/>
      <c r="AA48" s="168"/>
      <c r="AB48" s="168"/>
    </row>
    <row r="49" spans="1:28" ht="18.75" customHeight="1" x14ac:dyDescent="0.3">
      <c r="A49" s="169"/>
      <c r="B49" s="168"/>
      <c r="C49" s="168"/>
      <c r="D49" s="168"/>
      <c r="E49" s="166" t="str">
        <f>IFERROR(VLOOKUP(基本資料填寫!$E$1&amp;"-"&amp;ROW(CS46),基本資料填寫!$E:$EU,COLUMN(基本資料填寫!CW46),0),"")</f>
        <v/>
      </c>
      <c r="F49" s="166" t="str">
        <f>IFERROR(VLOOKUP(基本資料填寫!$E$1&amp;"-"&amp;ROW(CT46),基本資料填寫!$E:$EU,COLUMN(基本資料填寫!CX46),0),"")</f>
        <v/>
      </c>
      <c r="G49" s="166" t="str">
        <f>IFERROR(VLOOKUP(基本資料填寫!$E$1&amp;"-"&amp;ROW(CQ46),基本資料填寫!$E:$EU,COLUMN(基本資料填寫!CU46),0),"")</f>
        <v/>
      </c>
      <c r="H49" s="169"/>
      <c r="I49" s="168"/>
      <c r="J49" s="168"/>
      <c r="K49" s="166" t="str">
        <f>IFERROR(VLOOKUP(基本資料填寫!$E$1&amp;"-"&amp;ROW(DC46),基本資料填寫!$E:$EU,COLUMN(基本資料填寫!DH46),0),"")</f>
        <v/>
      </c>
      <c r="M49" s="166" t="str">
        <f>IFERROR(VLOOKUP(基本資料填寫!$E$1&amp;"-"&amp;ROW(DI46),基本資料填寫!$E:$EU,COLUMN(基本資料填寫!DN46),0),"")</f>
        <v/>
      </c>
      <c r="N49" s="166" t="str">
        <f>IFERROR(VLOOKUP(基本資料填寫!$E$1&amp;"-"&amp;ROW(DH46),基本資料填寫!$E:$EU,COLUMN(基本資料填寫!DM46),0),"")</f>
        <v/>
      </c>
      <c r="O49" s="166" t="str">
        <f>IFERROR(VLOOKUP(基本資料填寫!$E$1&amp;"-"&amp;ROW(DJ46),基本資料填寫!$E:$EU,COLUMN(基本資料填寫!DO46),0),"")</f>
        <v/>
      </c>
      <c r="P49" s="252"/>
      <c r="Q49" s="252"/>
      <c r="R49" s="252"/>
      <c r="S49" s="252"/>
      <c r="T49" s="166" t="str">
        <f>IFERROR(VLOOKUP(基本資料填寫!$E$1&amp;"-"&amp;ROW(DG46),基本資料填寫!$E:$EU,COLUMN(基本資料填寫!DL46),0),"")</f>
        <v/>
      </c>
      <c r="U49" s="168"/>
      <c r="V49" s="169"/>
      <c r="X49" s="168"/>
      <c r="AA49" s="168"/>
      <c r="AB49" s="168"/>
    </row>
    <row r="50" spans="1:28" ht="18.75" customHeight="1" x14ac:dyDescent="0.3">
      <c r="A50" s="169"/>
      <c r="B50" s="168"/>
      <c r="C50" s="168"/>
      <c r="D50" s="168"/>
      <c r="E50" s="166" t="str">
        <f>IFERROR(VLOOKUP(基本資料填寫!$E$1&amp;"-"&amp;ROW(CS47),基本資料填寫!$E:$EU,COLUMN(基本資料填寫!CW47),0),"")</f>
        <v/>
      </c>
      <c r="F50" s="166" t="str">
        <f>IFERROR(VLOOKUP(基本資料填寫!$E$1&amp;"-"&amp;ROW(CT47),基本資料填寫!$E:$EU,COLUMN(基本資料填寫!CX47),0),"")</f>
        <v/>
      </c>
      <c r="G50" s="166" t="str">
        <f>IFERROR(VLOOKUP(基本資料填寫!$E$1&amp;"-"&amp;ROW(CQ47),基本資料填寫!$E:$EU,COLUMN(基本資料填寫!CU47),0),"")</f>
        <v/>
      </c>
      <c r="H50" s="169"/>
      <c r="I50" s="168"/>
      <c r="J50" s="168"/>
      <c r="K50" s="166" t="str">
        <f>IFERROR(VLOOKUP(基本資料填寫!$E$1&amp;"-"&amp;ROW(DC47),基本資料填寫!$E:$EU,COLUMN(基本資料填寫!DH47),0),"")</f>
        <v/>
      </c>
      <c r="M50" s="166" t="str">
        <f>IFERROR(VLOOKUP(基本資料填寫!$E$1&amp;"-"&amp;ROW(DI47),基本資料填寫!$E:$EU,COLUMN(基本資料填寫!DN47),0),"")</f>
        <v/>
      </c>
      <c r="N50" s="166" t="str">
        <f>IFERROR(VLOOKUP(基本資料填寫!$E$1&amp;"-"&amp;ROW(DH47),基本資料填寫!$E:$EU,COLUMN(基本資料填寫!DM47),0),"")</f>
        <v/>
      </c>
      <c r="O50" s="166" t="str">
        <f>IFERROR(VLOOKUP(基本資料填寫!$E$1&amp;"-"&amp;ROW(DJ47),基本資料填寫!$E:$EU,COLUMN(基本資料填寫!DO47),0),"")</f>
        <v/>
      </c>
      <c r="P50" s="252"/>
      <c r="Q50" s="252"/>
      <c r="R50" s="252"/>
      <c r="S50" s="252"/>
      <c r="T50" s="166" t="str">
        <f>IFERROR(VLOOKUP(基本資料填寫!$E$1&amp;"-"&amp;ROW(DG47),基本資料填寫!$E:$EU,COLUMN(基本資料填寫!DL47),0),"")</f>
        <v/>
      </c>
      <c r="U50" s="168"/>
      <c r="V50" s="169"/>
      <c r="X50" s="168"/>
      <c r="AA50" s="168"/>
      <c r="AB50" s="168"/>
    </row>
    <row r="51" spans="1:28" ht="18.75" customHeight="1" x14ac:dyDescent="0.3">
      <c r="A51" s="169"/>
      <c r="B51" s="168"/>
      <c r="C51" s="168"/>
      <c r="D51" s="168"/>
      <c r="E51" s="166" t="str">
        <f>IFERROR(VLOOKUP(基本資料填寫!$E$1&amp;"-"&amp;ROW(CS48),基本資料填寫!$E:$EU,COLUMN(基本資料填寫!CW48),0),"")</f>
        <v/>
      </c>
      <c r="F51" s="166" t="str">
        <f>IFERROR(VLOOKUP(基本資料填寫!$E$1&amp;"-"&amp;ROW(CT48),基本資料填寫!$E:$EU,COLUMN(基本資料填寫!CX48),0),"")</f>
        <v/>
      </c>
      <c r="G51" s="166" t="str">
        <f>IFERROR(VLOOKUP(基本資料填寫!$E$1&amp;"-"&amp;ROW(CQ48),基本資料填寫!$E:$EU,COLUMN(基本資料填寫!CU48),0),"")</f>
        <v/>
      </c>
      <c r="H51" s="169"/>
      <c r="I51" s="168"/>
      <c r="J51" s="168"/>
      <c r="K51" s="166" t="str">
        <f>IFERROR(VLOOKUP(基本資料填寫!$E$1&amp;"-"&amp;ROW(DC48),基本資料填寫!$E:$EU,COLUMN(基本資料填寫!DH48),0),"")</f>
        <v/>
      </c>
      <c r="M51" s="166" t="str">
        <f>IFERROR(VLOOKUP(基本資料填寫!$E$1&amp;"-"&amp;ROW(DI48),基本資料填寫!$E:$EU,COLUMN(基本資料填寫!DN48),0),"")</f>
        <v/>
      </c>
      <c r="N51" s="166" t="str">
        <f>IFERROR(VLOOKUP(基本資料填寫!$E$1&amp;"-"&amp;ROW(DH48),基本資料填寫!$E:$EU,COLUMN(基本資料填寫!DM48),0),"")</f>
        <v/>
      </c>
      <c r="O51" s="166" t="str">
        <f>IFERROR(VLOOKUP(基本資料填寫!$E$1&amp;"-"&amp;ROW(DJ48),基本資料填寫!$E:$EU,COLUMN(基本資料填寫!DO48),0),"")</f>
        <v/>
      </c>
      <c r="P51" s="252"/>
      <c r="Q51" s="252"/>
      <c r="R51" s="252"/>
      <c r="S51" s="252"/>
      <c r="T51" s="166" t="str">
        <f>IFERROR(VLOOKUP(基本資料填寫!$E$1&amp;"-"&amp;ROW(DG48),基本資料填寫!$E:$EU,COLUMN(基本資料填寫!DL48),0),"")</f>
        <v/>
      </c>
      <c r="U51" s="168"/>
      <c r="V51" s="169"/>
      <c r="X51" s="168"/>
      <c r="AA51" s="168"/>
      <c r="AB51" s="168"/>
    </row>
    <row r="52" spans="1:28" ht="18.75" customHeight="1" x14ac:dyDescent="0.3">
      <c r="A52" s="169"/>
      <c r="B52" s="168"/>
      <c r="C52" s="168"/>
      <c r="D52" s="168"/>
      <c r="E52" s="166" t="str">
        <f>IFERROR(VLOOKUP(基本資料填寫!$E$1&amp;"-"&amp;ROW(CS49),基本資料填寫!$E:$EU,COLUMN(基本資料填寫!CW49),0),"")</f>
        <v/>
      </c>
      <c r="F52" s="166" t="str">
        <f>IFERROR(VLOOKUP(基本資料填寫!$E$1&amp;"-"&amp;ROW(CT49),基本資料填寫!$E:$EU,COLUMN(基本資料填寫!CX49),0),"")</f>
        <v/>
      </c>
      <c r="G52" s="166" t="str">
        <f>IFERROR(VLOOKUP(基本資料填寫!$E$1&amp;"-"&amp;ROW(CQ49),基本資料填寫!$E:$EU,COLUMN(基本資料填寫!CU49),0),"")</f>
        <v/>
      </c>
      <c r="H52" s="169"/>
      <c r="I52" s="168"/>
      <c r="J52" s="168"/>
      <c r="K52" s="166" t="str">
        <f>IFERROR(VLOOKUP(基本資料填寫!$E$1&amp;"-"&amp;ROW(DC49),基本資料填寫!$E:$EU,COLUMN(基本資料填寫!DH49),0),"")</f>
        <v/>
      </c>
      <c r="M52" s="166" t="str">
        <f>IFERROR(VLOOKUP(基本資料填寫!$E$1&amp;"-"&amp;ROW(DI49),基本資料填寫!$E:$EU,COLUMN(基本資料填寫!DN49),0),"")</f>
        <v/>
      </c>
      <c r="N52" s="166" t="str">
        <f>IFERROR(VLOOKUP(基本資料填寫!$E$1&amp;"-"&amp;ROW(DH49),基本資料填寫!$E:$EU,COLUMN(基本資料填寫!DM49),0),"")</f>
        <v/>
      </c>
      <c r="O52" s="166" t="str">
        <f>IFERROR(VLOOKUP(基本資料填寫!$E$1&amp;"-"&amp;ROW(DJ49),基本資料填寫!$E:$EU,COLUMN(基本資料填寫!DO49),0),"")</f>
        <v/>
      </c>
      <c r="P52" s="252"/>
      <c r="Q52" s="252"/>
      <c r="R52" s="252"/>
      <c r="S52" s="252"/>
      <c r="T52" s="166" t="str">
        <f>IFERROR(VLOOKUP(基本資料填寫!$E$1&amp;"-"&amp;ROW(DG49),基本資料填寫!$E:$EU,COLUMN(基本資料填寫!DL49),0),"")</f>
        <v/>
      </c>
      <c r="U52" s="168"/>
      <c r="V52" s="169"/>
      <c r="X52" s="168"/>
      <c r="AA52" s="168"/>
      <c r="AB52" s="168"/>
    </row>
    <row r="53" spans="1:28" ht="18.75" customHeight="1" x14ac:dyDescent="0.3">
      <c r="A53" s="169"/>
      <c r="B53" s="168"/>
      <c r="C53" s="168"/>
      <c r="D53" s="168"/>
      <c r="E53" s="166" t="str">
        <f>IFERROR(VLOOKUP(基本資料填寫!$E$1&amp;"-"&amp;ROW(CS50),基本資料填寫!$E:$EU,COLUMN(基本資料填寫!CW50),0),"")</f>
        <v/>
      </c>
      <c r="F53" s="166" t="str">
        <f>IFERROR(VLOOKUP(基本資料填寫!$E$1&amp;"-"&amp;ROW(CT50),基本資料填寫!$E:$EU,COLUMN(基本資料填寫!CX50),0),"")</f>
        <v/>
      </c>
      <c r="G53" s="166" t="str">
        <f>IFERROR(VLOOKUP(基本資料填寫!$E$1&amp;"-"&amp;ROW(CQ50),基本資料填寫!$E:$EU,COLUMN(基本資料填寫!CU50),0),"")</f>
        <v/>
      </c>
      <c r="H53" s="169"/>
      <c r="I53" s="168"/>
      <c r="J53" s="168"/>
      <c r="K53" s="166" t="str">
        <f>IFERROR(VLOOKUP(基本資料填寫!$E$1&amp;"-"&amp;ROW(DC50),基本資料填寫!$E:$EU,COLUMN(基本資料填寫!DH50),0),"")</f>
        <v/>
      </c>
      <c r="M53" s="166" t="str">
        <f>IFERROR(VLOOKUP(基本資料填寫!$E$1&amp;"-"&amp;ROW(DI50),基本資料填寫!$E:$EU,COLUMN(基本資料填寫!DN50),0),"")</f>
        <v/>
      </c>
      <c r="N53" s="166" t="str">
        <f>IFERROR(VLOOKUP(基本資料填寫!$E$1&amp;"-"&amp;ROW(DH50),基本資料填寫!$E:$EU,COLUMN(基本資料填寫!DM50),0),"")</f>
        <v/>
      </c>
      <c r="O53" s="166" t="str">
        <f>IFERROR(VLOOKUP(基本資料填寫!$E$1&amp;"-"&amp;ROW(DJ50),基本資料填寫!$E:$EU,COLUMN(基本資料填寫!DO50),0),"")</f>
        <v/>
      </c>
      <c r="P53" s="252"/>
      <c r="Q53" s="252"/>
      <c r="R53" s="252"/>
      <c r="S53" s="252"/>
      <c r="T53" s="166" t="str">
        <f>IFERROR(VLOOKUP(基本資料填寫!$E$1&amp;"-"&amp;ROW(DG50),基本資料填寫!$E:$EU,COLUMN(基本資料填寫!DL50),0),"")</f>
        <v/>
      </c>
      <c r="U53" s="168"/>
      <c r="V53" s="169"/>
      <c r="X53" s="168"/>
      <c r="AA53" s="168"/>
      <c r="AB53" s="168"/>
    </row>
    <row r="54" spans="1:28" ht="18.75" customHeight="1" x14ac:dyDescent="0.3">
      <c r="A54" s="169"/>
      <c r="B54" s="168"/>
      <c r="C54" s="168"/>
      <c r="D54" s="168"/>
      <c r="E54" s="166" t="str">
        <f>IFERROR(VLOOKUP(基本資料填寫!$E$1&amp;"-"&amp;ROW(CS51),基本資料填寫!$E:$EU,COLUMN(基本資料填寫!CW51),0),"")</f>
        <v/>
      </c>
      <c r="F54" s="166" t="str">
        <f>IFERROR(VLOOKUP(基本資料填寫!$E$1&amp;"-"&amp;ROW(CT51),基本資料填寫!$E:$EU,COLUMN(基本資料填寫!CX51),0),"")</f>
        <v/>
      </c>
      <c r="G54" s="166" t="str">
        <f>IFERROR(VLOOKUP(基本資料填寫!$E$1&amp;"-"&amp;ROW(CQ51),基本資料填寫!$E:$EU,COLUMN(基本資料填寫!CU51),0),"")</f>
        <v/>
      </c>
      <c r="H54" s="169"/>
      <c r="I54" s="168"/>
      <c r="J54" s="168"/>
      <c r="K54" s="166" t="str">
        <f>IFERROR(VLOOKUP(基本資料填寫!$E$1&amp;"-"&amp;ROW(DC51),基本資料填寫!$E:$EU,COLUMN(基本資料填寫!DH51),0),"")</f>
        <v/>
      </c>
      <c r="M54" s="166" t="str">
        <f>IFERROR(VLOOKUP(基本資料填寫!$E$1&amp;"-"&amp;ROW(DI51),基本資料填寫!$E:$EU,COLUMN(基本資料填寫!DN51),0),"")</f>
        <v/>
      </c>
      <c r="N54" s="166" t="str">
        <f>IFERROR(VLOOKUP(基本資料填寫!$E$1&amp;"-"&amp;ROW(DH51),基本資料填寫!$E:$EU,COLUMN(基本資料填寫!DM51),0),"")</f>
        <v/>
      </c>
      <c r="O54" s="166" t="str">
        <f>IFERROR(VLOOKUP(基本資料填寫!$E$1&amp;"-"&amp;ROW(DJ51),基本資料填寫!$E:$EU,COLUMN(基本資料填寫!DO51),0),"")</f>
        <v/>
      </c>
      <c r="P54" s="252"/>
      <c r="Q54" s="252"/>
      <c r="R54" s="252"/>
      <c r="S54" s="252"/>
      <c r="T54" s="166" t="str">
        <f>IFERROR(VLOOKUP(基本資料填寫!$E$1&amp;"-"&amp;ROW(DG51),基本資料填寫!$E:$EU,COLUMN(基本資料填寫!DL51),0),"")</f>
        <v/>
      </c>
      <c r="U54" s="168"/>
      <c r="V54" s="169"/>
      <c r="X54" s="168"/>
      <c r="AA54" s="168"/>
      <c r="AB54" s="168"/>
    </row>
    <row r="55" spans="1:28" ht="18.75" customHeight="1" x14ac:dyDescent="0.3">
      <c r="A55" s="169"/>
      <c r="B55" s="168"/>
      <c r="C55" s="168"/>
      <c r="D55" s="168"/>
      <c r="E55" s="166" t="str">
        <f>IFERROR(VLOOKUP(基本資料填寫!$E$1&amp;"-"&amp;ROW(CS52),基本資料填寫!$E:$EU,COLUMN(基本資料填寫!CW52),0),"")</f>
        <v/>
      </c>
      <c r="F55" s="166" t="str">
        <f>IFERROR(VLOOKUP(基本資料填寫!$E$1&amp;"-"&amp;ROW(CT52),基本資料填寫!$E:$EU,COLUMN(基本資料填寫!CX52),0),"")</f>
        <v/>
      </c>
      <c r="G55" s="166" t="str">
        <f>IFERROR(VLOOKUP(基本資料填寫!$E$1&amp;"-"&amp;ROW(CQ52),基本資料填寫!$E:$EU,COLUMN(基本資料填寫!CU52),0),"")</f>
        <v/>
      </c>
      <c r="H55" s="169"/>
      <c r="I55" s="168"/>
      <c r="J55" s="168"/>
      <c r="K55" s="166" t="str">
        <f>IFERROR(VLOOKUP(基本資料填寫!$E$1&amp;"-"&amp;ROW(DC52),基本資料填寫!$E:$EU,COLUMN(基本資料填寫!DH52),0),"")</f>
        <v/>
      </c>
      <c r="M55" s="166" t="str">
        <f>IFERROR(VLOOKUP(基本資料填寫!$E$1&amp;"-"&amp;ROW(DI52),基本資料填寫!$E:$EU,COLUMN(基本資料填寫!DN52),0),"")</f>
        <v/>
      </c>
      <c r="N55" s="166" t="str">
        <f>IFERROR(VLOOKUP(基本資料填寫!$E$1&amp;"-"&amp;ROW(DH52),基本資料填寫!$E:$EU,COLUMN(基本資料填寫!DM52),0),"")</f>
        <v/>
      </c>
      <c r="O55" s="166" t="str">
        <f>IFERROR(VLOOKUP(基本資料填寫!$E$1&amp;"-"&amp;ROW(DJ52),基本資料填寫!$E:$EU,COLUMN(基本資料填寫!DO52),0),"")</f>
        <v/>
      </c>
      <c r="P55" s="252"/>
      <c r="Q55" s="252"/>
      <c r="R55" s="252"/>
      <c r="S55" s="252"/>
      <c r="T55" s="166" t="str">
        <f>IFERROR(VLOOKUP(基本資料填寫!$E$1&amp;"-"&amp;ROW(DG52),基本資料填寫!$E:$EU,COLUMN(基本資料填寫!DL52),0),"")</f>
        <v/>
      </c>
      <c r="U55" s="168"/>
      <c r="V55" s="169"/>
      <c r="X55" s="168"/>
      <c r="AA55" s="168"/>
      <c r="AB55" s="168"/>
    </row>
    <row r="56" spans="1:28" ht="18.75" customHeight="1" x14ac:dyDescent="0.3">
      <c r="A56" s="169"/>
      <c r="B56" s="168"/>
      <c r="C56" s="168"/>
      <c r="D56" s="168"/>
      <c r="E56" s="166" t="str">
        <f>IFERROR(VLOOKUP(基本資料填寫!$E$1&amp;"-"&amp;ROW(CS53),基本資料填寫!$E:$EU,COLUMN(基本資料填寫!CW53),0),"")</f>
        <v/>
      </c>
      <c r="F56" s="166" t="str">
        <f>IFERROR(VLOOKUP(基本資料填寫!$E$1&amp;"-"&amp;ROW(CT53),基本資料填寫!$E:$EU,COLUMN(基本資料填寫!CX53),0),"")</f>
        <v/>
      </c>
      <c r="G56" s="166" t="str">
        <f>IFERROR(VLOOKUP(基本資料填寫!$E$1&amp;"-"&amp;ROW(CQ53),基本資料填寫!$E:$EU,COLUMN(基本資料填寫!CU53),0),"")</f>
        <v/>
      </c>
      <c r="H56" s="169"/>
      <c r="I56" s="168"/>
      <c r="J56" s="168"/>
      <c r="K56" s="166" t="str">
        <f>IFERROR(VLOOKUP(基本資料填寫!$E$1&amp;"-"&amp;ROW(DC53),基本資料填寫!$E:$EU,COLUMN(基本資料填寫!DH53),0),"")</f>
        <v/>
      </c>
      <c r="M56" s="166" t="str">
        <f>IFERROR(VLOOKUP(基本資料填寫!$E$1&amp;"-"&amp;ROW(DI53),基本資料填寫!$E:$EU,COLUMN(基本資料填寫!DN53),0),"")</f>
        <v/>
      </c>
      <c r="N56" s="166" t="str">
        <f>IFERROR(VLOOKUP(基本資料填寫!$E$1&amp;"-"&amp;ROW(DH53),基本資料填寫!$E:$EU,COLUMN(基本資料填寫!DM53),0),"")</f>
        <v/>
      </c>
      <c r="O56" s="166" t="str">
        <f>IFERROR(VLOOKUP(基本資料填寫!$E$1&amp;"-"&amp;ROW(DJ53),基本資料填寫!$E:$EU,COLUMN(基本資料填寫!DO53),0),"")</f>
        <v/>
      </c>
      <c r="P56" s="252"/>
      <c r="Q56" s="252"/>
      <c r="R56" s="252"/>
      <c r="S56" s="252"/>
      <c r="T56" s="166" t="str">
        <f>IFERROR(VLOOKUP(基本資料填寫!$E$1&amp;"-"&amp;ROW(DG53),基本資料填寫!$E:$EU,COLUMN(基本資料填寫!DL53),0),"")</f>
        <v/>
      </c>
      <c r="U56" s="168"/>
      <c r="V56" s="169"/>
      <c r="X56" s="168"/>
      <c r="AA56" s="168"/>
      <c r="AB56" s="168"/>
    </row>
    <row r="57" spans="1:28" ht="18.75" customHeight="1" x14ac:dyDescent="0.3">
      <c r="A57" s="169"/>
      <c r="B57" s="168"/>
      <c r="C57" s="168"/>
      <c r="D57" s="168"/>
      <c r="E57" s="166" t="str">
        <f>IFERROR(VLOOKUP(基本資料填寫!$E$1&amp;"-"&amp;ROW(CS54),基本資料填寫!$E:$EU,COLUMN(基本資料填寫!CW54),0),"")</f>
        <v/>
      </c>
      <c r="F57" s="166" t="str">
        <f>IFERROR(VLOOKUP(基本資料填寫!$E$1&amp;"-"&amp;ROW(CT54),基本資料填寫!$E:$EU,COLUMN(基本資料填寫!CX54),0),"")</f>
        <v/>
      </c>
      <c r="G57" s="166" t="str">
        <f>IFERROR(VLOOKUP(基本資料填寫!$E$1&amp;"-"&amp;ROW(CQ54),基本資料填寫!$E:$EU,COLUMN(基本資料填寫!CU54),0),"")</f>
        <v/>
      </c>
      <c r="H57" s="169"/>
      <c r="I57" s="168"/>
      <c r="J57" s="168"/>
      <c r="K57" s="166" t="str">
        <f>IFERROR(VLOOKUP(基本資料填寫!$E$1&amp;"-"&amp;ROW(DC54),基本資料填寫!$E:$EU,COLUMN(基本資料填寫!DH54),0),"")</f>
        <v/>
      </c>
      <c r="M57" s="166" t="str">
        <f>IFERROR(VLOOKUP(基本資料填寫!$E$1&amp;"-"&amp;ROW(DI54),基本資料填寫!$E:$EU,COLUMN(基本資料填寫!DN54),0),"")</f>
        <v/>
      </c>
      <c r="N57" s="166" t="str">
        <f>IFERROR(VLOOKUP(基本資料填寫!$E$1&amp;"-"&amp;ROW(DH54),基本資料填寫!$E:$EU,COLUMN(基本資料填寫!DM54),0),"")</f>
        <v/>
      </c>
      <c r="O57" s="166" t="str">
        <f>IFERROR(VLOOKUP(基本資料填寫!$E$1&amp;"-"&amp;ROW(DJ54),基本資料填寫!$E:$EU,COLUMN(基本資料填寫!DO54),0),"")</f>
        <v/>
      </c>
      <c r="P57" s="252"/>
      <c r="Q57" s="252"/>
      <c r="R57" s="252"/>
      <c r="S57" s="252"/>
      <c r="T57" s="166" t="str">
        <f>IFERROR(VLOOKUP(基本資料填寫!$E$1&amp;"-"&amp;ROW(DG54),基本資料填寫!$E:$EU,COLUMN(基本資料填寫!DL54),0),"")</f>
        <v/>
      </c>
      <c r="U57" s="168"/>
      <c r="V57" s="169"/>
      <c r="X57" s="168"/>
      <c r="AA57" s="168"/>
      <c r="AB57" s="168"/>
    </row>
    <row r="58" spans="1:28" ht="18.75" customHeight="1" x14ac:dyDescent="0.3">
      <c r="A58" s="169"/>
      <c r="B58" s="168"/>
      <c r="C58" s="168"/>
      <c r="D58" s="168"/>
      <c r="E58" s="166" t="str">
        <f>IFERROR(VLOOKUP(基本資料填寫!$E$1&amp;"-"&amp;ROW(CS55),基本資料填寫!$E:$EU,COLUMN(基本資料填寫!CW55),0),"")</f>
        <v/>
      </c>
      <c r="F58" s="166" t="str">
        <f>IFERROR(VLOOKUP(基本資料填寫!$E$1&amp;"-"&amp;ROW(CT55),基本資料填寫!$E:$EU,COLUMN(基本資料填寫!CX55),0),"")</f>
        <v/>
      </c>
      <c r="G58" s="166" t="str">
        <f>IFERROR(VLOOKUP(基本資料填寫!$E$1&amp;"-"&amp;ROW(CQ55),基本資料填寫!$E:$EU,COLUMN(基本資料填寫!CU55),0),"")</f>
        <v/>
      </c>
      <c r="H58" s="169"/>
      <c r="I58" s="168"/>
      <c r="J58" s="168"/>
      <c r="K58" s="166" t="str">
        <f>IFERROR(VLOOKUP(基本資料填寫!$E$1&amp;"-"&amp;ROW(DC55),基本資料填寫!$E:$EU,COLUMN(基本資料填寫!DH55),0),"")</f>
        <v/>
      </c>
      <c r="M58" s="166" t="str">
        <f>IFERROR(VLOOKUP(基本資料填寫!$E$1&amp;"-"&amp;ROW(DI55),基本資料填寫!$E:$EU,COLUMN(基本資料填寫!DN55),0),"")</f>
        <v/>
      </c>
      <c r="N58" s="166" t="str">
        <f>IFERROR(VLOOKUP(基本資料填寫!$E$1&amp;"-"&amp;ROW(DH55),基本資料填寫!$E:$EU,COLUMN(基本資料填寫!DM55),0),"")</f>
        <v/>
      </c>
      <c r="O58" s="166" t="str">
        <f>IFERROR(VLOOKUP(基本資料填寫!$E$1&amp;"-"&amp;ROW(DJ55),基本資料填寫!$E:$EU,COLUMN(基本資料填寫!DO55),0),"")</f>
        <v/>
      </c>
      <c r="P58" s="252"/>
      <c r="Q58" s="252"/>
      <c r="R58" s="252"/>
      <c r="S58" s="252"/>
      <c r="T58" s="166" t="str">
        <f>IFERROR(VLOOKUP(基本資料填寫!$E$1&amp;"-"&amp;ROW(DG55),基本資料填寫!$E:$EU,COLUMN(基本資料填寫!DL55),0),"")</f>
        <v/>
      </c>
      <c r="U58" s="168"/>
      <c r="V58" s="169"/>
      <c r="X58" s="168"/>
      <c r="AA58" s="168"/>
      <c r="AB58" s="168"/>
    </row>
    <row r="59" spans="1:28" ht="18.75" customHeight="1" x14ac:dyDescent="0.3">
      <c r="A59" s="169"/>
      <c r="B59" s="168"/>
      <c r="C59" s="168"/>
      <c r="D59" s="168"/>
      <c r="E59" s="166" t="str">
        <f>IFERROR(VLOOKUP(基本資料填寫!$E$1&amp;"-"&amp;ROW(CS56),基本資料填寫!$E:$EU,COLUMN(基本資料填寫!CW56),0),"")</f>
        <v/>
      </c>
      <c r="F59" s="166" t="str">
        <f>IFERROR(VLOOKUP(基本資料填寫!$E$1&amp;"-"&amp;ROW(CT56),基本資料填寫!$E:$EU,COLUMN(基本資料填寫!CX56),0),"")</f>
        <v/>
      </c>
      <c r="G59" s="166" t="str">
        <f>IFERROR(VLOOKUP(基本資料填寫!$E$1&amp;"-"&amp;ROW(CQ56),基本資料填寫!$E:$EU,COLUMN(基本資料填寫!CU56),0),"")</f>
        <v/>
      </c>
      <c r="H59" s="169"/>
      <c r="I59" s="168"/>
      <c r="J59" s="168"/>
      <c r="K59" s="166" t="str">
        <f>IFERROR(VLOOKUP(基本資料填寫!$E$1&amp;"-"&amp;ROW(DC56),基本資料填寫!$E:$EU,COLUMN(基本資料填寫!DH56),0),"")</f>
        <v/>
      </c>
      <c r="M59" s="166" t="str">
        <f>IFERROR(VLOOKUP(基本資料填寫!$E$1&amp;"-"&amp;ROW(DI56),基本資料填寫!$E:$EU,COLUMN(基本資料填寫!DN56),0),"")</f>
        <v/>
      </c>
      <c r="N59" s="166" t="str">
        <f>IFERROR(VLOOKUP(基本資料填寫!$E$1&amp;"-"&amp;ROW(DH56),基本資料填寫!$E:$EU,COLUMN(基本資料填寫!DM56),0),"")</f>
        <v/>
      </c>
      <c r="O59" s="166" t="str">
        <f>IFERROR(VLOOKUP(基本資料填寫!$E$1&amp;"-"&amp;ROW(DJ56),基本資料填寫!$E:$EU,COLUMN(基本資料填寫!DO56),0),"")</f>
        <v/>
      </c>
      <c r="P59" s="252"/>
      <c r="Q59" s="252"/>
      <c r="R59" s="252"/>
      <c r="S59" s="252"/>
      <c r="T59" s="166" t="str">
        <f>IFERROR(VLOOKUP(基本資料填寫!$E$1&amp;"-"&amp;ROW(DG56),基本資料填寫!$E:$EU,COLUMN(基本資料填寫!DL56),0),"")</f>
        <v/>
      </c>
      <c r="U59" s="168"/>
      <c r="V59" s="169"/>
      <c r="X59" s="168"/>
      <c r="AA59" s="168"/>
      <c r="AB59" s="168"/>
    </row>
    <row r="60" spans="1:28" ht="18.75" customHeight="1" x14ac:dyDescent="0.3">
      <c r="A60" s="169"/>
      <c r="B60" s="168"/>
      <c r="C60" s="168"/>
      <c r="D60" s="168"/>
      <c r="E60" s="166" t="str">
        <f>IFERROR(VLOOKUP(基本資料填寫!$E$1&amp;"-"&amp;ROW(CS57),基本資料填寫!$E:$EU,COLUMN(基本資料填寫!CW57),0),"")</f>
        <v/>
      </c>
      <c r="F60" s="166" t="str">
        <f>IFERROR(VLOOKUP(基本資料填寫!$E$1&amp;"-"&amp;ROW(CT57),基本資料填寫!$E:$EU,COLUMN(基本資料填寫!CX57),0),"")</f>
        <v/>
      </c>
      <c r="G60" s="166" t="str">
        <f>IFERROR(VLOOKUP(基本資料填寫!$E$1&amp;"-"&amp;ROW(CQ57),基本資料填寫!$E:$EU,COLUMN(基本資料填寫!CU57),0),"")</f>
        <v/>
      </c>
      <c r="H60" s="169"/>
      <c r="I60" s="168"/>
      <c r="J60" s="168"/>
      <c r="K60" s="166" t="str">
        <f>IFERROR(VLOOKUP(基本資料填寫!$E$1&amp;"-"&amp;ROW(DC57),基本資料填寫!$E:$EU,COLUMN(基本資料填寫!DH57),0),"")</f>
        <v/>
      </c>
      <c r="M60" s="166" t="str">
        <f>IFERROR(VLOOKUP(基本資料填寫!$E$1&amp;"-"&amp;ROW(DI57),基本資料填寫!$E:$EU,COLUMN(基本資料填寫!DN57),0),"")</f>
        <v/>
      </c>
      <c r="N60" s="166" t="str">
        <f>IFERROR(VLOOKUP(基本資料填寫!$E$1&amp;"-"&amp;ROW(DH57),基本資料填寫!$E:$EU,COLUMN(基本資料填寫!DM57),0),"")</f>
        <v/>
      </c>
      <c r="O60" s="166" t="str">
        <f>IFERROR(VLOOKUP(基本資料填寫!$E$1&amp;"-"&amp;ROW(DJ57),基本資料填寫!$E:$EU,COLUMN(基本資料填寫!DO57),0),"")</f>
        <v/>
      </c>
      <c r="P60" s="252"/>
      <c r="Q60" s="252"/>
      <c r="R60" s="252"/>
      <c r="S60" s="252"/>
      <c r="T60" s="166" t="str">
        <f>IFERROR(VLOOKUP(基本資料填寫!$E$1&amp;"-"&amp;ROW(DG57),基本資料填寫!$E:$EU,COLUMN(基本資料填寫!DL57),0),"")</f>
        <v/>
      </c>
      <c r="U60" s="168"/>
      <c r="V60" s="169"/>
      <c r="X60" s="168"/>
      <c r="AA60" s="168"/>
      <c r="AB60" s="168"/>
    </row>
    <row r="61" spans="1:28" ht="18.75" customHeight="1" x14ac:dyDescent="0.3">
      <c r="A61" s="169"/>
      <c r="B61" s="168"/>
      <c r="C61" s="168"/>
      <c r="D61" s="168"/>
      <c r="E61" s="166" t="str">
        <f>IFERROR(VLOOKUP(基本資料填寫!$E$1&amp;"-"&amp;ROW(CS58),基本資料填寫!$E:$EU,COLUMN(基本資料填寫!CW58),0),"")</f>
        <v/>
      </c>
      <c r="F61" s="166" t="str">
        <f>IFERROR(VLOOKUP(基本資料填寫!$E$1&amp;"-"&amp;ROW(CT58),基本資料填寫!$E:$EU,COLUMN(基本資料填寫!CX58),0),"")</f>
        <v/>
      </c>
      <c r="G61" s="166" t="str">
        <f>IFERROR(VLOOKUP(基本資料填寫!$E$1&amp;"-"&amp;ROW(CQ58),基本資料填寫!$E:$EU,COLUMN(基本資料填寫!CU58),0),"")</f>
        <v/>
      </c>
      <c r="H61" s="169"/>
      <c r="I61" s="168"/>
      <c r="J61" s="168"/>
      <c r="K61" s="166" t="str">
        <f>IFERROR(VLOOKUP(基本資料填寫!$E$1&amp;"-"&amp;ROW(DC58),基本資料填寫!$E:$EU,COLUMN(基本資料填寫!DH58),0),"")</f>
        <v/>
      </c>
      <c r="M61" s="166" t="str">
        <f>IFERROR(VLOOKUP(基本資料填寫!$E$1&amp;"-"&amp;ROW(DI58),基本資料填寫!$E:$EU,COLUMN(基本資料填寫!DN58),0),"")</f>
        <v/>
      </c>
      <c r="N61" s="166" t="str">
        <f>IFERROR(VLOOKUP(基本資料填寫!$E$1&amp;"-"&amp;ROW(DH58),基本資料填寫!$E:$EU,COLUMN(基本資料填寫!DM58),0),"")</f>
        <v/>
      </c>
      <c r="O61" s="166" t="str">
        <f>IFERROR(VLOOKUP(基本資料填寫!$E$1&amp;"-"&amp;ROW(DJ58),基本資料填寫!$E:$EU,COLUMN(基本資料填寫!DO58),0),"")</f>
        <v/>
      </c>
      <c r="P61" s="252"/>
      <c r="Q61" s="252"/>
      <c r="R61" s="252"/>
      <c r="S61" s="252"/>
      <c r="T61" s="166" t="str">
        <f>IFERROR(VLOOKUP(基本資料填寫!$E$1&amp;"-"&amp;ROW(DG58),基本資料填寫!$E:$EU,COLUMN(基本資料填寫!DL58),0),"")</f>
        <v/>
      </c>
      <c r="U61" s="168"/>
      <c r="V61" s="169"/>
      <c r="X61" s="168"/>
      <c r="AA61" s="168"/>
      <c r="AB61" s="168"/>
    </row>
    <row r="62" spans="1:28" ht="18.75" customHeight="1" x14ac:dyDescent="0.3">
      <c r="A62" s="169"/>
      <c r="B62" s="168"/>
      <c r="C62" s="168"/>
      <c r="D62" s="168"/>
      <c r="E62" s="166" t="str">
        <f>IFERROR(VLOOKUP(基本資料填寫!$E$1&amp;"-"&amp;ROW(CS59),基本資料填寫!$E:$EU,COLUMN(基本資料填寫!CW59),0),"")</f>
        <v/>
      </c>
      <c r="F62" s="166" t="str">
        <f>IFERROR(VLOOKUP(基本資料填寫!$E$1&amp;"-"&amp;ROW(CT59),基本資料填寫!$E:$EU,COLUMN(基本資料填寫!CX59),0),"")</f>
        <v/>
      </c>
      <c r="G62" s="166" t="str">
        <f>IFERROR(VLOOKUP(基本資料填寫!$E$1&amp;"-"&amp;ROW(CQ59),基本資料填寫!$E:$EU,COLUMN(基本資料填寫!CU59),0),"")</f>
        <v/>
      </c>
      <c r="H62" s="169"/>
      <c r="I62" s="168"/>
      <c r="J62" s="168"/>
      <c r="K62" s="166" t="str">
        <f>IFERROR(VLOOKUP(基本資料填寫!$E$1&amp;"-"&amp;ROW(DC59),基本資料填寫!$E:$EU,COLUMN(基本資料填寫!DH59),0),"")</f>
        <v/>
      </c>
      <c r="M62" s="166" t="str">
        <f>IFERROR(VLOOKUP(基本資料填寫!$E$1&amp;"-"&amp;ROW(DI59),基本資料填寫!$E:$EU,COLUMN(基本資料填寫!DN59),0),"")</f>
        <v/>
      </c>
      <c r="N62" s="166" t="str">
        <f>IFERROR(VLOOKUP(基本資料填寫!$E$1&amp;"-"&amp;ROW(DH59),基本資料填寫!$E:$EU,COLUMN(基本資料填寫!DM59),0),"")</f>
        <v/>
      </c>
      <c r="O62" s="166" t="str">
        <f>IFERROR(VLOOKUP(基本資料填寫!$E$1&amp;"-"&amp;ROW(DJ59),基本資料填寫!$E:$EU,COLUMN(基本資料填寫!DO59),0),"")</f>
        <v/>
      </c>
      <c r="P62" s="252"/>
      <c r="Q62" s="252"/>
      <c r="R62" s="252"/>
      <c r="S62" s="252"/>
      <c r="T62" s="166" t="str">
        <f>IFERROR(VLOOKUP(基本資料填寫!$E$1&amp;"-"&amp;ROW(DG59),基本資料填寫!$E:$EU,COLUMN(基本資料填寫!DL59),0),"")</f>
        <v/>
      </c>
      <c r="U62" s="168"/>
      <c r="V62" s="169"/>
      <c r="X62" s="168"/>
      <c r="AA62" s="168"/>
      <c r="AB62" s="168"/>
    </row>
    <row r="63" spans="1:28" ht="18.75" customHeight="1" x14ac:dyDescent="0.3">
      <c r="A63" s="169"/>
      <c r="B63" s="168"/>
      <c r="C63" s="168"/>
      <c r="D63" s="168"/>
      <c r="E63" s="166" t="str">
        <f>IFERROR(VLOOKUP(基本資料填寫!$E$1&amp;"-"&amp;ROW(CS60),基本資料填寫!$E:$EU,COLUMN(基本資料填寫!CW60),0),"")</f>
        <v/>
      </c>
      <c r="F63" s="166" t="str">
        <f>IFERROR(VLOOKUP(基本資料填寫!$E$1&amp;"-"&amp;ROW(CT60),基本資料填寫!$E:$EU,COLUMN(基本資料填寫!CX60),0),"")</f>
        <v/>
      </c>
      <c r="G63" s="166" t="str">
        <f>IFERROR(VLOOKUP(基本資料填寫!$E$1&amp;"-"&amp;ROW(CQ60),基本資料填寫!$E:$EU,COLUMN(基本資料填寫!CU60),0),"")</f>
        <v/>
      </c>
      <c r="H63" s="169"/>
      <c r="I63" s="168"/>
      <c r="J63" s="168"/>
      <c r="K63" s="166" t="str">
        <f>IFERROR(VLOOKUP(基本資料填寫!$E$1&amp;"-"&amp;ROW(DC60),基本資料填寫!$E:$EU,COLUMN(基本資料填寫!DH60),0),"")</f>
        <v/>
      </c>
      <c r="M63" s="166" t="str">
        <f>IFERROR(VLOOKUP(基本資料填寫!$E$1&amp;"-"&amp;ROW(DI60),基本資料填寫!$E:$EU,COLUMN(基本資料填寫!DN60),0),"")</f>
        <v/>
      </c>
      <c r="N63" s="166" t="str">
        <f>IFERROR(VLOOKUP(基本資料填寫!$E$1&amp;"-"&amp;ROW(DH60),基本資料填寫!$E:$EU,COLUMN(基本資料填寫!DM60),0),"")</f>
        <v/>
      </c>
      <c r="O63" s="166" t="str">
        <f>IFERROR(VLOOKUP(基本資料填寫!$E$1&amp;"-"&amp;ROW(DJ60),基本資料填寫!$E:$EU,COLUMN(基本資料填寫!DO60),0),"")</f>
        <v/>
      </c>
      <c r="P63" s="252"/>
      <c r="Q63" s="252"/>
      <c r="R63" s="252"/>
      <c r="S63" s="252"/>
      <c r="T63" s="166" t="str">
        <f>IFERROR(VLOOKUP(基本資料填寫!$E$1&amp;"-"&amp;ROW(DG60),基本資料填寫!$E:$EU,COLUMN(基本資料填寫!DL60),0),"")</f>
        <v/>
      </c>
      <c r="U63" s="168"/>
      <c r="V63" s="169"/>
      <c r="X63" s="168"/>
      <c r="AA63" s="168"/>
      <c r="AB63" s="168"/>
    </row>
    <row r="64" spans="1:28" ht="18.75" customHeight="1" x14ac:dyDescent="0.3">
      <c r="A64" s="169"/>
      <c r="B64" s="168"/>
      <c r="C64" s="168"/>
      <c r="D64" s="168"/>
      <c r="E64" s="166" t="str">
        <f>IFERROR(VLOOKUP(基本資料填寫!$E$1&amp;"-"&amp;ROW(CS61),基本資料填寫!$E:$EU,COLUMN(基本資料填寫!CW61),0),"")</f>
        <v/>
      </c>
      <c r="F64" s="166" t="str">
        <f>IFERROR(VLOOKUP(基本資料填寫!$E$1&amp;"-"&amp;ROW(CT61),基本資料填寫!$E:$EU,COLUMN(基本資料填寫!CX61),0),"")</f>
        <v/>
      </c>
      <c r="G64" s="166" t="str">
        <f>IFERROR(VLOOKUP(基本資料填寫!$E$1&amp;"-"&amp;ROW(CQ61),基本資料填寫!$E:$EU,COLUMN(基本資料填寫!CU61),0),"")</f>
        <v/>
      </c>
      <c r="H64" s="169"/>
      <c r="I64" s="168"/>
      <c r="J64" s="168"/>
      <c r="K64" s="166" t="str">
        <f>IFERROR(VLOOKUP(基本資料填寫!$E$1&amp;"-"&amp;ROW(DC61),基本資料填寫!$E:$EU,COLUMN(基本資料填寫!DH61),0),"")</f>
        <v/>
      </c>
      <c r="M64" s="166" t="str">
        <f>IFERROR(VLOOKUP(基本資料填寫!$E$1&amp;"-"&amp;ROW(DI61),基本資料填寫!$E:$EU,COLUMN(基本資料填寫!DN61),0),"")</f>
        <v/>
      </c>
      <c r="N64" s="166" t="str">
        <f>IFERROR(VLOOKUP(基本資料填寫!$E$1&amp;"-"&amp;ROW(DH61),基本資料填寫!$E:$EU,COLUMN(基本資料填寫!DM61),0),"")</f>
        <v/>
      </c>
      <c r="O64" s="166" t="str">
        <f>IFERROR(VLOOKUP(基本資料填寫!$E$1&amp;"-"&amp;ROW(DJ61),基本資料填寫!$E:$EU,COLUMN(基本資料填寫!DO61),0),"")</f>
        <v/>
      </c>
      <c r="P64" s="252"/>
      <c r="Q64" s="252"/>
      <c r="R64" s="252"/>
      <c r="S64" s="252"/>
      <c r="T64" s="166" t="str">
        <f>IFERROR(VLOOKUP(基本資料填寫!$E$1&amp;"-"&amp;ROW(DG61),基本資料填寫!$E:$EU,COLUMN(基本資料填寫!DL61),0),"")</f>
        <v/>
      </c>
      <c r="U64" s="168"/>
      <c r="V64" s="169"/>
      <c r="X64" s="168"/>
      <c r="AA64" s="168"/>
      <c r="AB64" s="168"/>
    </row>
    <row r="65" spans="1:28" ht="18.75" customHeight="1" x14ac:dyDescent="0.3">
      <c r="A65" s="169"/>
      <c r="B65" s="168"/>
      <c r="C65" s="168"/>
      <c r="D65" s="168"/>
      <c r="E65" s="166" t="str">
        <f>IFERROR(VLOOKUP(基本資料填寫!$E$1&amp;"-"&amp;ROW(CS62),基本資料填寫!$E:$EU,COLUMN(基本資料填寫!CW62),0),"")</f>
        <v/>
      </c>
      <c r="F65" s="166" t="str">
        <f>IFERROR(VLOOKUP(基本資料填寫!$E$1&amp;"-"&amp;ROW(CT62),基本資料填寫!$E:$EU,COLUMN(基本資料填寫!CX62),0),"")</f>
        <v/>
      </c>
      <c r="G65" s="166" t="str">
        <f>IFERROR(VLOOKUP(基本資料填寫!$E$1&amp;"-"&amp;ROW(CQ62),基本資料填寫!$E:$EU,COLUMN(基本資料填寫!CU62),0),"")</f>
        <v/>
      </c>
      <c r="H65" s="169"/>
      <c r="I65" s="168"/>
      <c r="J65" s="168"/>
      <c r="K65" s="166" t="str">
        <f>IFERROR(VLOOKUP(基本資料填寫!$E$1&amp;"-"&amp;ROW(DC62),基本資料填寫!$E:$EU,COLUMN(基本資料填寫!DH62),0),"")</f>
        <v/>
      </c>
      <c r="M65" s="166" t="str">
        <f>IFERROR(VLOOKUP(基本資料填寫!$E$1&amp;"-"&amp;ROW(DI62),基本資料填寫!$E:$EU,COLUMN(基本資料填寫!DN62),0),"")</f>
        <v/>
      </c>
      <c r="N65" s="166" t="str">
        <f>IFERROR(VLOOKUP(基本資料填寫!$E$1&amp;"-"&amp;ROW(DH62),基本資料填寫!$E:$EU,COLUMN(基本資料填寫!DM62),0),"")</f>
        <v/>
      </c>
      <c r="O65" s="166" t="str">
        <f>IFERROR(VLOOKUP(基本資料填寫!$E$1&amp;"-"&amp;ROW(DJ62),基本資料填寫!$E:$EU,COLUMN(基本資料填寫!DO62),0),"")</f>
        <v/>
      </c>
      <c r="P65" s="252"/>
      <c r="Q65" s="252"/>
      <c r="R65" s="252"/>
      <c r="S65" s="252"/>
      <c r="T65" s="166" t="str">
        <f>IFERROR(VLOOKUP(基本資料填寫!$E$1&amp;"-"&amp;ROW(DG62),基本資料填寫!$E:$EU,COLUMN(基本資料填寫!DL62),0),"")</f>
        <v/>
      </c>
      <c r="U65" s="168"/>
      <c r="V65" s="169"/>
      <c r="X65" s="168"/>
      <c r="AA65" s="168"/>
      <c r="AB65" s="168"/>
    </row>
    <row r="66" spans="1:28" ht="18.75" customHeight="1" x14ac:dyDescent="0.3">
      <c r="A66" s="169"/>
      <c r="B66" s="168"/>
      <c r="C66" s="168"/>
      <c r="D66" s="168"/>
      <c r="E66" s="166" t="str">
        <f>IFERROR(VLOOKUP(基本資料填寫!$E$1&amp;"-"&amp;ROW(CS63),基本資料填寫!$E:$EU,COLUMN(基本資料填寫!CW63),0),"")</f>
        <v/>
      </c>
      <c r="F66" s="166" t="str">
        <f>IFERROR(VLOOKUP(基本資料填寫!$E$1&amp;"-"&amp;ROW(CT63),基本資料填寫!$E:$EU,COLUMN(基本資料填寫!CX63),0),"")</f>
        <v/>
      </c>
      <c r="G66" s="166" t="str">
        <f>IFERROR(VLOOKUP(基本資料填寫!$E$1&amp;"-"&amp;ROW(CQ63),基本資料填寫!$E:$EU,COLUMN(基本資料填寫!CU63),0),"")</f>
        <v/>
      </c>
      <c r="H66" s="169"/>
      <c r="I66" s="168"/>
      <c r="J66" s="168"/>
      <c r="K66" s="166" t="str">
        <f>IFERROR(VLOOKUP(基本資料填寫!$E$1&amp;"-"&amp;ROW(DC63),基本資料填寫!$E:$EU,COLUMN(基本資料填寫!DH63),0),"")</f>
        <v/>
      </c>
      <c r="M66" s="166" t="str">
        <f>IFERROR(VLOOKUP(基本資料填寫!$E$1&amp;"-"&amp;ROW(DI63),基本資料填寫!$E:$EU,COLUMN(基本資料填寫!DN63),0),"")</f>
        <v/>
      </c>
      <c r="N66" s="166" t="str">
        <f>IFERROR(VLOOKUP(基本資料填寫!$E$1&amp;"-"&amp;ROW(DH63),基本資料填寫!$E:$EU,COLUMN(基本資料填寫!DM63),0),"")</f>
        <v/>
      </c>
      <c r="O66" s="166" t="str">
        <f>IFERROR(VLOOKUP(基本資料填寫!$E$1&amp;"-"&amp;ROW(DJ63),基本資料填寫!$E:$EU,COLUMN(基本資料填寫!DO63),0),"")</f>
        <v/>
      </c>
      <c r="P66" s="252"/>
      <c r="Q66" s="252"/>
      <c r="R66" s="252"/>
      <c r="S66" s="252"/>
      <c r="T66" s="166" t="str">
        <f>IFERROR(VLOOKUP(基本資料填寫!$E$1&amp;"-"&amp;ROW(DG63),基本資料填寫!$E:$EU,COLUMN(基本資料填寫!DL63),0),"")</f>
        <v/>
      </c>
      <c r="U66" s="168"/>
      <c r="V66" s="169"/>
      <c r="X66" s="168"/>
      <c r="AA66" s="168"/>
      <c r="AB66" s="168"/>
    </row>
    <row r="67" spans="1:28" ht="18.75" customHeight="1" x14ac:dyDescent="0.3">
      <c r="A67" s="169"/>
      <c r="B67" s="168"/>
      <c r="C67" s="168"/>
      <c r="D67" s="168"/>
      <c r="E67" s="166" t="str">
        <f>IFERROR(VLOOKUP(基本資料填寫!$E$1&amp;"-"&amp;ROW(CS64),基本資料填寫!$E:$EU,COLUMN(基本資料填寫!CW64),0),"")</f>
        <v/>
      </c>
      <c r="F67" s="166" t="str">
        <f>IFERROR(VLOOKUP(基本資料填寫!$E$1&amp;"-"&amp;ROW(CT64),基本資料填寫!$E:$EU,COLUMN(基本資料填寫!CX64),0),"")</f>
        <v/>
      </c>
      <c r="G67" s="166" t="str">
        <f>IFERROR(VLOOKUP(基本資料填寫!$E$1&amp;"-"&amp;ROW(CQ64),基本資料填寫!$E:$EU,COLUMN(基本資料填寫!CU64),0),"")</f>
        <v/>
      </c>
      <c r="H67" s="169"/>
      <c r="I67" s="168"/>
      <c r="J67" s="168"/>
      <c r="K67" s="166" t="str">
        <f>IFERROR(VLOOKUP(基本資料填寫!$E$1&amp;"-"&amp;ROW(DC64),基本資料填寫!$E:$EU,COLUMN(基本資料填寫!DH64),0),"")</f>
        <v/>
      </c>
      <c r="M67" s="166" t="str">
        <f>IFERROR(VLOOKUP(基本資料填寫!$E$1&amp;"-"&amp;ROW(DI64),基本資料填寫!$E:$EU,COLUMN(基本資料填寫!DN64),0),"")</f>
        <v/>
      </c>
      <c r="N67" s="166" t="str">
        <f>IFERROR(VLOOKUP(基本資料填寫!$E$1&amp;"-"&amp;ROW(DH64),基本資料填寫!$E:$EU,COLUMN(基本資料填寫!DM64),0),"")</f>
        <v/>
      </c>
      <c r="O67" s="166" t="str">
        <f>IFERROR(VLOOKUP(基本資料填寫!$E$1&amp;"-"&amp;ROW(DJ64),基本資料填寫!$E:$EU,COLUMN(基本資料填寫!DO64),0),"")</f>
        <v/>
      </c>
      <c r="P67" s="252"/>
      <c r="Q67" s="252"/>
      <c r="R67" s="252"/>
      <c r="S67" s="252"/>
      <c r="T67" s="166" t="str">
        <f>IFERROR(VLOOKUP(基本資料填寫!$E$1&amp;"-"&amp;ROW(DG64),基本資料填寫!$E:$EU,COLUMN(基本資料填寫!DL64),0),"")</f>
        <v/>
      </c>
      <c r="U67" s="168"/>
      <c r="V67" s="169"/>
      <c r="X67" s="168"/>
      <c r="AA67" s="168"/>
      <c r="AB67" s="168"/>
    </row>
    <row r="68" spans="1:28" ht="18.75" customHeight="1" x14ac:dyDescent="0.3">
      <c r="A68" s="169"/>
      <c r="B68" s="168"/>
      <c r="C68" s="168"/>
      <c r="D68" s="168"/>
      <c r="E68" s="166" t="str">
        <f>IFERROR(VLOOKUP(基本資料填寫!$E$1&amp;"-"&amp;ROW(CS65),基本資料填寫!$E:$EU,COLUMN(基本資料填寫!CW65),0),"")</f>
        <v/>
      </c>
      <c r="F68" s="166" t="str">
        <f>IFERROR(VLOOKUP(基本資料填寫!$E$1&amp;"-"&amp;ROW(CT65),基本資料填寫!$E:$EU,COLUMN(基本資料填寫!CX65),0),"")</f>
        <v/>
      </c>
      <c r="G68" s="166" t="str">
        <f>IFERROR(VLOOKUP(基本資料填寫!$E$1&amp;"-"&amp;ROW(CQ65),基本資料填寫!$E:$EU,COLUMN(基本資料填寫!CU65),0),"")</f>
        <v/>
      </c>
      <c r="H68" s="169"/>
      <c r="I68" s="168"/>
      <c r="J68" s="168"/>
      <c r="K68" s="166" t="str">
        <f>IFERROR(VLOOKUP(基本資料填寫!$E$1&amp;"-"&amp;ROW(DC65),基本資料填寫!$E:$EU,COLUMN(基本資料填寫!DH65),0),"")</f>
        <v/>
      </c>
      <c r="M68" s="166" t="str">
        <f>IFERROR(VLOOKUP(基本資料填寫!$E$1&amp;"-"&amp;ROW(DI65),基本資料填寫!$E:$EU,COLUMN(基本資料填寫!DN65),0),"")</f>
        <v/>
      </c>
      <c r="N68" s="166" t="str">
        <f>IFERROR(VLOOKUP(基本資料填寫!$E$1&amp;"-"&amp;ROW(DH65),基本資料填寫!$E:$EU,COLUMN(基本資料填寫!DM65),0),"")</f>
        <v/>
      </c>
      <c r="O68" s="166" t="str">
        <f>IFERROR(VLOOKUP(基本資料填寫!$E$1&amp;"-"&amp;ROW(DJ65),基本資料填寫!$E:$EU,COLUMN(基本資料填寫!DO65),0),"")</f>
        <v/>
      </c>
      <c r="P68" s="252"/>
      <c r="Q68" s="252"/>
      <c r="R68" s="252"/>
      <c r="S68" s="252"/>
      <c r="T68" s="166" t="str">
        <f>IFERROR(VLOOKUP(基本資料填寫!$E$1&amp;"-"&amp;ROW(DG65),基本資料填寫!$E:$EU,COLUMN(基本資料填寫!DL65),0),"")</f>
        <v/>
      </c>
      <c r="U68" s="168"/>
      <c r="V68" s="169"/>
      <c r="X68" s="168"/>
      <c r="AA68" s="168"/>
      <c r="AB68" s="168"/>
    </row>
    <row r="69" spans="1:28" ht="18.75" customHeight="1" x14ac:dyDescent="0.3">
      <c r="A69" s="169"/>
      <c r="B69" s="168"/>
      <c r="C69" s="168"/>
      <c r="D69" s="168"/>
      <c r="E69" s="166" t="str">
        <f>IFERROR(VLOOKUP(基本資料填寫!$E$1&amp;"-"&amp;ROW(CS66),基本資料填寫!$E:$EU,COLUMN(基本資料填寫!CW66),0),"")</f>
        <v/>
      </c>
      <c r="F69" s="166" t="str">
        <f>IFERROR(VLOOKUP(基本資料填寫!$E$1&amp;"-"&amp;ROW(CT66),基本資料填寫!$E:$EU,COLUMN(基本資料填寫!CX66),0),"")</f>
        <v/>
      </c>
      <c r="G69" s="166" t="str">
        <f>IFERROR(VLOOKUP(基本資料填寫!$E$1&amp;"-"&amp;ROW(CQ66),基本資料填寫!$E:$EU,COLUMN(基本資料填寫!CU66),0),"")</f>
        <v/>
      </c>
      <c r="H69" s="169"/>
      <c r="I69" s="168"/>
      <c r="J69" s="168"/>
      <c r="K69" s="166" t="str">
        <f>IFERROR(VLOOKUP(基本資料填寫!$E$1&amp;"-"&amp;ROW(DC66),基本資料填寫!$E:$EU,COLUMN(基本資料填寫!DH66),0),"")</f>
        <v/>
      </c>
      <c r="M69" s="166" t="str">
        <f>IFERROR(VLOOKUP(基本資料填寫!$E$1&amp;"-"&amp;ROW(DI66),基本資料填寫!$E:$EU,COLUMN(基本資料填寫!DN66),0),"")</f>
        <v/>
      </c>
      <c r="N69" s="166" t="str">
        <f>IFERROR(VLOOKUP(基本資料填寫!$E$1&amp;"-"&amp;ROW(DH66),基本資料填寫!$E:$EU,COLUMN(基本資料填寫!DM66),0),"")</f>
        <v/>
      </c>
      <c r="O69" s="166" t="str">
        <f>IFERROR(VLOOKUP(基本資料填寫!$E$1&amp;"-"&amp;ROW(DJ66),基本資料填寫!$E:$EU,COLUMN(基本資料填寫!DO66),0),"")</f>
        <v/>
      </c>
      <c r="P69" s="252"/>
      <c r="Q69" s="252"/>
      <c r="R69" s="252"/>
      <c r="S69" s="252"/>
      <c r="T69" s="166" t="str">
        <f>IFERROR(VLOOKUP(基本資料填寫!$E$1&amp;"-"&amp;ROW(DG66),基本資料填寫!$E:$EU,COLUMN(基本資料填寫!DL66),0),"")</f>
        <v/>
      </c>
      <c r="U69" s="168"/>
      <c r="V69" s="169"/>
      <c r="X69" s="168"/>
      <c r="AA69" s="168"/>
      <c r="AB69" s="168"/>
    </row>
    <row r="70" spans="1:28" ht="18.75" customHeight="1" x14ac:dyDescent="0.3">
      <c r="A70" s="169"/>
      <c r="B70" s="168"/>
      <c r="C70" s="168"/>
      <c r="D70" s="168"/>
      <c r="E70" s="166" t="str">
        <f>IFERROR(VLOOKUP(基本資料填寫!$E$1&amp;"-"&amp;ROW(CS67),基本資料填寫!$E:$EU,COLUMN(基本資料填寫!CW67),0),"")</f>
        <v/>
      </c>
      <c r="F70" s="166" t="str">
        <f>IFERROR(VLOOKUP(基本資料填寫!$E$1&amp;"-"&amp;ROW(CT67),基本資料填寫!$E:$EU,COLUMN(基本資料填寫!CX67),0),"")</f>
        <v/>
      </c>
      <c r="G70" s="166" t="str">
        <f>IFERROR(VLOOKUP(基本資料填寫!$E$1&amp;"-"&amp;ROW(CQ67),基本資料填寫!$E:$EU,COLUMN(基本資料填寫!CU67),0),"")</f>
        <v/>
      </c>
      <c r="H70" s="169"/>
      <c r="I70" s="168"/>
      <c r="J70" s="168"/>
      <c r="K70" s="166" t="str">
        <f>IFERROR(VLOOKUP(基本資料填寫!$E$1&amp;"-"&amp;ROW(DC67),基本資料填寫!$E:$EU,COLUMN(基本資料填寫!DH67),0),"")</f>
        <v/>
      </c>
      <c r="M70" s="166" t="str">
        <f>IFERROR(VLOOKUP(基本資料填寫!$E$1&amp;"-"&amp;ROW(DI67),基本資料填寫!$E:$EU,COLUMN(基本資料填寫!DN67),0),"")</f>
        <v/>
      </c>
      <c r="N70" s="166" t="str">
        <f>IFERROR(VLOOKUP(基本資料填寫!$E$1&amp;"-"&amp;ROW(DH67),基本資料填寫!$E:$EU,COLUMN(基本資料填寫!DM67),0),"")</f>
        <v/>
      </c>
      <c r="O70" s="166" t="str">
        <f>IFERROR(VLOOKUP(基本資料填寫!$E$1&amp;"-"&amp;ROW(DJ67),基本資料填寫!$E:$EU,COLUMN(基本資料填寫!DO67),0),"")</f>
        <v/>
      </c>
      <c r="P70" s="252"/>
      <c r="Q70" s="252"/>
      <c r="R70" s="252"/>
      <c r="S70" s="252"/>
      <c r="T70" s="166" t="str">
        <f>IFERROR(VLOOKUP(基本資料填寫!$E$1&amp;"-"&amp;ROW(DG67),基本資料填寫!$E:$EU,COLUMN(基本資料填寫!DL67),0),"")</f>
        <v/>
      </c>
      <c r="U70" s="168"/>
      <c r="V70" s="169"/>
      <c r="X70" s="168"/>
      <c r="AA70" s="168"/>
      <c r="AB70" s="168"/>
    </row>
    <row r="71" spans="1:28" ht="18.75" customHeight="1" x14ac:dyDescent="0.3">
      <c r="A71" s="169"/>
      <c r="B71" s="168"/>
      <c r="C71" s="168"/>
      <c r="D71" s="168"/>
      <c r="E71" s="166" t="str">
        <f>IFERROR(VLOOKUP(基本資料填寫!$E$1&amp;"-"&amp;ROW(CS68),基本資料填寫!$E:$EU,COLUMN(基本資料填寫!CW68),0),"")</f>
        <v/>
      </c>
      <c r="F71" s="166" t="str">
        <f>IFERROR(VLOOKUP(基本資料填寫!$E$1&amp;"-"&amp;ROW(CT68),基本資料填寫!$E:$EU,COLUMN(基本資料填寫!CX68),0),"")</f>
        <v/>
      </c>
      <c r="G71" s="166" t="str">
        <f>IFERROR(VLOOKUP(基本資料填寫!$E$1&amp;"-"&amp;ROW(CQ68),基本資料填寫!$E:$EU,COLUMN(基本資料填寫!CU68),0),"")</f>
        <v/>
      </c>
      <c r="H71" s="169"/>
      <c r="I71" s="168"/>
      <c r="J71" s="168"/>
      <c r="K71" s="166" t="str">
        <f>IFERROR(VLOOKUP(基本資料填寫!$E$1&amp;"-"&amp;ROW(DC68),基本資料填寫!$E:$EU,COLUMN(基本資料填寫!DH68),0),"")</f>
        <v/>
      </c>
      <c r="M71" s="166" t="str">
        <f>IFERROR(VLOOKUP(基本資料填寫!$E$1&amp;"-"&amp;ROW(DI68),基本資料填寫!$E:$EU,COLUMN(基本資料填寫!DN68),0),"")</f>
        <v/>
      </c>
      <c r="N71" s="166" t="str">
        <f>IFERROR(VLOOKUP(基本資料填寫!$E$1&amp;"-"&amp;ROW(DH68),基本資料填寫!$E:$EU,COLUMN(基本資料填寫!DM68),0),"")</f>
        <v/>
      </c>
      <c r="O71" s="166" t="str">
        <f>IFERROR(VLOOKUP(基本資料填寫!$E$1&amp;"-"&amp;ROW(DJ68),基本資料填寫!$E:$EU,COLUMN(基本資料填寫!DO68),0),"")</f>
        <v/>
      </c>
      <c r="P71" s="252"/>
      <c r="Q71" s="252"/>
      <c r="R71" s="252"/>
      <c r="S71" s="252"/>
      <c r="T71" s="166" t="str">
        <f>IFERROR(VLOOKUP(基本資料填寫!$E$1&amp;"-"&amp;ROW(DG68),基本資料填寫!$E:$EU,COLUMN(基本資料填寫!DL68),0),"")</f>
        <v/>
      </c>
      <c r="U71" s="168"/>
      <c r="V71" s="169"/>
      <c r="X71" s="168"/>
      <c r="AA71" s="168"/>
      <c r="AB71" s="168"/>
    </row>
    <row r="72" spans="1:28" ht="18.75" customHeight="1" x14ac:dyDescent="0.3">
      <c r="A72" s="169"/>
      <c r="B72" s="168"/>
      <c r="C72" s="168"/>
      <c r="D72" s="168"/>
      <c r="E72" s="166" t="str">
        <f>IFERROR(VLOOKUP(基本資料填寫!$E$1&amp;"-"&amp;ROW(CS69),基本資料填寫!$E:$EU,COLUMN(基本資料填寫!CW69),0),"")</f>
        <v/>
      </c>
      <c r="F72" s="166" t="str">
        <f>IFERROR(VLOOKUP(基本資料填寫!$E$1&amp;"-"&amp;ROW(CT69),基本資料填寫!$E:$EU,COLUMN(基本資料填寫!CX69),0),"")</f>
        <v/>
      </c>
      <c r="G72" s="166" t="str">
        <f>IFERROR(VLOOKUP(基本資料填寫!$E$1&amp;"-"&amp;ROW(CQ69),基本資料填寫!$E:$EU,COLUMN(基本資料填寫!CU69),0),"")</f>
        <v/>
      </c>
      <c r="H72" s="169"/>
      <c r="I72" s="168"/>
      <c r="J72" s="168"/>
      <c r="K72" s="166" t="str">
        <f>IFERROR(VLOOKUP(基本資料填寫!$E$1&amp;"-"&amp;ROW(DC69),基本資料填寫!$E:$EU,COLUMN(基本資料填寫!DH69),0),"")</f>
        <v/>
      </c>
      <c r="M72" s="166" t="str">
        <f>IFERROR(VLOOKUP(基本資料填寫!$E$1&amp;"-"&amp;ROW(DI69),基本資料填寫!$E:$EU,COLUMN(基本資料填寫!DN69),0),"")</f>
        <v/>
      </c>
      <c r="N72" s="166" t="str">
        <f>IFERROR(VLOOKUP(基本資料填寫!$E$1&amp;"-"&amp;ROW(DH69),基本資料填寫!$E:$EU,COLUMN(基本資料填寫!DM69),0),"")</f>
        <v/>
      </c>
      <c r="O72" s="166" t="str">
        <f>IFERROR(VLOOKUP(基本資料填寫!$E$1&amp;"-"&amp;ROW(DJ69),基本資料填寫!$E:$EU,COLUMN(基本資料填寫!DO69),0),"")</f>
        <v/>
      </c>
      <c r="P72" s="252"/>
      <c r="Q72" s="252"/>
      <c r="R72" s="252"/>
      <c r="S72" s="252"/>
      <c r="T72" s="166" t="str">
        <f>IFERROR(VLOOKUP(基本資料填寫!$E$1&amp;"-"&amp;ROW(DG69),基本資料填寫!$E:$EU,COLUMN(基本資料填寫!DL69),0),"")</f>
        <v/>
      </c>
      <c r="U72" s="168"/>
      <c r="V72" s="169"/>
      <c r="X72" s="168"/>
      <c r="AA72" s="168"/>
      <c r="AB72" s="168"/>
    </row>
    <row r="73" spans="1:28" ht="18.75" customHeight="1" x14ac:dyDescent="0.3">
      <c r="A73" s="169"/>
      <c r="B73" s="168"/>
      <c r="C73" s="168"/>
      <c r="D73" s="168"/>
      <c r="E73" s="166" t="str">
        <f>IFERROR(VLOOKUP(基本資料填寫!$E$1&amp;"-"&amp;ROW(CS70),基本資料填寫!$E:$EU,COLUMN(基本資料填寫!CW70),0),"")</f>
        <v/>
      </c>
      <c r="F73" s="166" t="str">
        <f>IFERROR(VLOOKUP(基本資料填寫!$E$1&amp;"-"&amp;ROW(CT70),基本資料填寫!$E:$EU,COLUMN(基本資料填寫!CX70),0),"")</f>
        <v/>
      </c>
      <c r="G73" s="166" t="str">
        <f>IFERROR(VLOOKUP(基本資料填寫!$E$1&amp;"-"&amp;ROW(CQ70),基本資料填寫!$E:$EU,COLUMN(基本資料填寫!CU70),0),"")</f>
        <v/>
      </c>
      <c r="H73" s="169"/>
      <c r="I73" s="168"/>
      <c r="J73" s="168"/>
      <c r="K73" s="166" t="str">
        <f>IFERROR(VLOOKUP(基本資料填寫!$E$1&amp;"-"&amp;ROW(DC70),基本資料填寫!$E:$EU,COLUMN(基本資料填寫!DH70),0),"")</f>
        <v/>
      </c>
      <c r="M73" s="166" t="str">
        <f>IFERROR(VLOOKUP(基本資料填寫!$E$1&amp;"-"&amp;ROW(DI70),基本資料填寫!$E:$EU,COLUMN(基本資料填寫!DN70),0),"")</f>
        <v/>
      </c>
      <c r="N73" s="166" t="str">
        <f>IFERROR(VLOOKUP(基本資料填寫!$E$1&amp;"-"&amp;ROW(DH70),基本資料填寫!$E:$EU,COLUMN(基本資料填寫!DM70),0),"")</f>
        <v/>
      </c>
      <c r="O73" s="166" t="str">
        <f>IFERROR(VLOOKUP(基本資料填寫!$E$1&amp;"-"&amp;ROW(DJ70),基本資料填寫!$E:$EU,COLUMN(基本資料填寫!DO70),0),"")</f>
        <v/>
      </c>
      <c r="P73" s="252"/>
      <c r="Q73" s="252"/>
      <c r="R73" s="252"/>
      <c r="S73" s="252"/>
      <c r="T73" s="166" t="str">
        <f>IFERROR(VLOOKUP(基本資料填寫!$E$1&amp;"-"&amp;ROW(DG70),基本資料填寫!$E:$EU,COLUMN(基本資料填寫!DL70),0),"")</f>
        <v/>
      </c>
      <c r="U73" s="168"/>
      <c r="V73" s="169"/>
      <c r="X73" s="168"/>
      <c r="AA73" s="168"/>
      <c r="AB73" s="168"/>
    </row>
    <row r="74" spans="1:28" ht="18.75" customHeight="1" x14ac:dyDescent="0.3">
      <c r="A74" s="169"/>
      <c r="B74" s="168"/>
      <c r="C74" s="168"/>
      <c r="D74" s="168"/>
      <c r="E74" s="166" t="str">
        <f>IFERROR(VLOOKUP(基本資料填寫!$E$1&amp;"-"&amp;ROW(CS71),基本資料填寫!$E:$EU,COLUMN(基本資料填寫!CW71),0),"")</f>
        <v/>
      </c>
      <c r="F74" s="166" t="str">
        <f>IFERROR(VLOOKUP(基本資料填寫!$E$1&amp;"-"&amp;ROW(CT71),基本資料填寫!$E:$EU,COLUMN(基本資料填寫!CX71),0),"")</f>
        <v/>
      </c>
      <c r="G74" s="166" t="str">
        <f>IFERROR(VLOOKUP(基本資料填寫!$E$1&amp;"-"&amp;ROW(CQ71),基本資料填寫!$E:$EU,COLUMN(基本資料填寫!CU71),0),"")</f>
        <v/>
      </c>
      <c r="H74" s="169"/>
      <c r="I74" s="168"/>
      <c r="J74" s="168"/>
      <c r="K74" s="166" t="str">
        <f>IFERROR(VLOOKUP(基本資料填寫!$E$1&amp;"-"&amp;ROW(DC71),基本資料填寫!$E:$EU,COLUMN(基本資料填寫!DH71),0),"")</f>
        <v/>
      </c>
      <c r="M74" s="166" t="str">
        <f>IFERROR(VLOOKUP(基本資料填寫!$E$1&amp;"-"&amp;ROW(DI71),基本資料填寫!$E:$EU,COLUMN(基本資料填寫!DN71),0),"")</f>
        <v/>
      </c>
      <c r="N74" s="166" t="str">
        <f>IFERROR(VLOOKUP(基本資料填寫!$E$1&amp;"-"&amp;ROW(DH71),基本資料填寫!$E:$EU,COLUMN(基本資料填寫!DM71),0),"")</f>
        <v/>
      </c>
      <c r="O74" s="166" t="str">
        <f>IFERROR(VLOOKUP(基本資料填寫!$E$1&amp;"-"&amp;ROW(DJ71),基本資料填寫!$E:$EU,COLUMN(基本資料填寫!DO71),0),"")</f>
        <v/>
      </c>
      <c r="P74" s="252"/>
      <c r="Q74" s="252"/>
      <c r="R74" s="252"/>
      <c r="S74" s="252"/>
      <c r="T74" s="166" t="str">
        <f>IFERROR(VLOOKUP(基本資料填寫!$E$1&amp;"-"&amp;ROW(DG71),基本資料填寫!$E:$EU,COLUMN(基本資料填寫!DL71),0),"")</f>
        <v/>
      </c>
      <c r="U74" s="168"/>
      <c r="V74" s="169"/>
      <c r="X74" s="168"/>
      <c r="AA74" s="168"/>
      <c r="AB74" s="168"/>
    </row>
    <row r="75" spans="1:28" ht="18.75" customHeight="1" x14ac:dyDescent="0.3">
      <c r="A75" s="169"/>
      <c r="B75" s="168"/>
      <c r="C75" s="168"/>
      <c r="D75" s="168"/>
      <c r="E75" s="166" t="str">
        <f>IFERROR(VLOOKUP(基本資料填寫!$E$1&amp;"-"&amp;ROW(CS72),基本資料填寫!$E:$EU,COLUMN(基本資料填寫!CW72),0),"")</f>
        <v/>
      </c>
      <c r="F75" s="166" t="str">
        <f>IFERROR(VLOOKUP(基本資料填寫!$E$1&amp;"-"&amp;ROW(CT72),基本資料填寫!$E:$EU,COLUMN(基本資料填寫!CX72),0),"")</f>
        <v/>
      </c>
      <c r="G75" s="166" t="str">
        <f>IFERROR(VLOOKUP(基本資料填寫!$E$1&amp;"-"&amp;ROW(CQ72),基本資料填寫!$E:$EU,COLUMN(基本資料填寫!CU72),0),"")</f>
        <v/>
      </c>
      <c r="H75" s="169"/>
      <c r="I75" s="168"/>
      <c r="J75" s="168"/>
      <c r="K75" s="166" t="str">
        <f>IFERROR(VLOOKUP(基本資料填寫!$E$1&amp;"-"&amp;ROW(DC72),基本資料填寫!$E:$EU,COLUMN(基本資料填寫!DH72),0),"")</f>
        <v/>
      </c>
      <c r="M75" s="166" t="str">
        <f>IFERROR(VLOOKUP(基本資料填寫!$E$1&amp;"-"&amp;ROW(DI72),基本資料填寫!$E:$EU,COLUMN(基本資料填寫!DN72),0),"")</f>
        <v/>
      </c>
      <c r="N75" s="166" t="str">
        <f>IFERROR(VLOOKUP(基本資料填寫!$E$1&amp;"-"&amp;ROW(DH72),基本資料填寫!$E:$EU,COLUMN(基本資料填寫!DM72),0),"")</f>
        <v/>
      </c>
      <c r="O75" s="166" t="str">
        <f>IFERROR(VLOOKUP(基本資料填寫!$E$1&amp;"-"&amp;ROW(DJ72),基本資料填寫!$E:$EU,COLUMN(基本資料填寫!DO72),0),"")</f>
        <v/>
      </c>
      <c r="P75" s="252"/>
      <c r="Q75" s="252"/>
      <c r="R75" s="252"/>
      <c r="S75" s="252"/>
      <c r="T75" s="166" t="str">
        <f>IFERROR(VLOOKUP(基本資料填寫!$E$1&amp;"-"&amp;ROW(DG72),基本資料填寫!$E:$EU,COLUMN(基本資料填寫!DL72),0),"")</f>
        <v/>
      </c>
      <c r="U75" s="168"/>
      <c r="V75" s="169"/>
      <c r="X75" s="168"/>
      <c r="AA75" s="168"/>
      <c r="AB75" s="168"/>
    </row>
    <row r="76" spans="1:28" ht="18.75" customHeight="1" x14ac:dyDescent="0.3">
      <c r="A76" s="169"/>
      <c r="B76" s="168"/>
      <c r="C76" s="168"/>
      <c r="D76" s="168"/>
      <c r="E76" s="166" t="str">
        <f>IFERROR(VLOOKUP(基本資料填寫!$E$1&amp;"-"&amp;ROW(CS73),基本資料填寫!$E:$EU,COLUMN(基本資料填寫!CW73),0),"")</f>
        <v/>
      </c>
      <c r="F76" s="166" t="str">
        <f>IFERROR(VLOOKUP(基本資料填寫!$E$1&amp;"-"&amp;ROW(CT73),基本資料填寫!$E:$EU,COLUMN(基本資料填寫!CX73),0),"")</f>
        <v/>
      </c>
      <c r="G76" s="166" t="str">
        <f>IFERROR(VLOOKUP(基本資料填寫!$E$1&amp;"-"&amp;ROW(CQ73),基本資料填寫!$E:$EU,COLUMN(基本資料填寫!CU73),0),"")</f>
        <v/>
      </c>
      <c r="H76" s="169"/>
      <c r="I76" s="168"/>
      <c r="J76" s="168"/>
      <c r="K76" s="166" t="str">
        <f>IFERROR(VLOOKUP(基本資料填寫!$E$1&amp;"-"&amp;ROW(DC73),基本資料填寫!$E:$EU,COLUMN(基本資料填寫!DH73),0),"")</f>
        <v/>
      </c>
      <c r="M76" s="166" t="str">
        <f>IFERROR(VLOOKUP(基本資料填寫!$E$1&amp;"-"&amp;ROW(DI73),基本資料填寫!$E:$EU,COLUMN(基本資料填寫!DN73),0),"")</f>
        <v/>
      </c>
      <c r="N76" s="166" t="str">
        <f>IFERROR(VLOOKUP(基本資料填寫!$E$1&amp;"-"&amp;ROW(DH73),基本資料填寫!$E:$EU,COLUMN(基本資料填寫!DM73),0),"")</f>
        <v/>
      </c>
      <c r="O76" s="166" t="str">
        <f>IFERROR(VLOOKUP(基本資料填寫!$E$1&amp;"-"&amp;ROW(DJ73),基本資料填寫!$E:$EU,COLUMN(基本資料填寫!DO73),0),"")</f>
        <v/>
      </c>
      <c r="P76" s="252"/>
      <c r="Q76" s="252"/>
      <c r="R76" s="252"/>
      <c r="S76" s="252"/>
      <c r="T76" s="166" t="str">
        <f>IFERROR(VLOOKUP(基本資料填寫!$E$1&amp;"-"&amp;ROW(DG73),基本資料填寫!$E:$EU,COLUMN(基本資料填寫!DL73),0),"")</f>
        <v/>
      </c>
      <c r="U76" s="168"/>
      <c r="V76" s="169"/>
      <c r="X76" s="168"/>
      <c r="AA76" s="168"/>
      <c r="AB76" s="168"/>
    </row>
    <row r="77" spans="1:28" ht="18.75" customHeight="1" x14ac:dyDescent="0.3">
      <c r="A77" s="169"/>
      <c r="B77" s="168"/>
      <c r="C77" s="168"/>
      <c r="D77" s="168"/>
      <c r="E77" s="166" t="str">
        <f>IFERROR(VLOOKUP(基本資料填寫!$E$1&amp;"-"&amp;ROW(CS74),基本資料填寫!$E:$EU,COLUMN(基本資料填寫!CW74),0),"")</f>
        <v/>
      </c>
      <c r="F77" s="166" t="str">
        <f>IFERROR(VLOOKUP(基本資料填寫!$E$1&amp;"-"&amp;ROW(CT74),基本資料填寫!$E:$EU,COLUMN(基本資料填寫!CX74),0),"")</f>
        <v/>
      </c>
      <c r="G77" s="166" t="str">
        <f>IFERROR(VLOOKUP(基本資料填寫!$E$1&amp;"-"&amp;ROW(CQ74),基本資料填寫!$E:$EU,COLUMN(基本資料填寫!CU74),0),"")</f>
        <v/>
      </c>
      <c r="H77" s="169"/>
      <c r="I77" s="168"/>
      <c r="J77" s="168"/>
      <c r="K77" s="166" t="str">
        <f>IFERROR(VLOOKUP(基本資料填寫!$E$1&amp;"-"&amp;ROW(DC74),基本資料填寫!$E:$EU,COLUMN(基本資料填寫!DH74),0),"")</f>
        <v/>
      </c>
      <c r="M77" s="166" t="str">
        <f>IFERROR(VLOOKUP(基本資料填寫!$E$1&amp;"-"&amp;ROW(DI74),基本資料填寫!$E:$EU,COLUMN(基本資料填寫!DN74),0),"")</f>
        <v/>
      </c>
      <c r="N77" s="166" t="str">
        <f>IFERROR(VLOOKUP(基本資料填寫!$E$1&amp;"-"&amp;ROW(DH74),基本資料填寫!$E:$EU,COLUMN(基本資料填寫!DM74),0),"")</f>
        <v/>
      </c>
      <c r="O77" s="166" t="str">
        <f>IFERROR(VLOOKUP(基本資料填寫!$E$1&amp;"-"&amp;ROW(DJ74),基本資料填寫!$E:$EU,COLUMN(基本資料填寫!DO74),0),"")</f>
        <v/>
      </c>
      <c r="P77" s="252"/>
      <c r="Q77" s="252"/>
      <c r="R77" s="252"/>
      <c r="S77" s="252"/>
      <c r="T77" s="166" t="str">
        <f>IFERROR(VLOOKUP(基本資料填寫!$E$1&amp;"-"&amp;ROW(DG74),基本資料填寫!$E:$EU,COLUMN(基本資料填寫!DL74),0),"")</f>
        <v/>
      </c>
      <c r="U77" s="168"/>
      <c r="V77" s="169"/>
      <c r="X77" s="168"/>
      <c r="AA77" s="168"/>
      <c r="AB77" s="168"/>
    </row>
    <row r="78" spans="1:28" ht="18.75" customHeight="1" x14ac:dyDescent="0.3">
      <c r="A78" s="169"/>
      <c r="B78" s="168"/>
      <c r="C78" s="168"/>
      <c r="D78" s="168"/>
      <c r="E78" s="166" t="str">
        <f>IFERROR(VLOOKUP(基本資料填寫!$E$1&amp;"-"&amp;ROW(CS75),基本資料填寫!$E:$EU,COLUMN(基本資料填寫!CW75),0),"")</f>
        <v/>
      </c>
      <c r="F78" s="166" t="str">
        <f>IFERROR(VLOOKUP(基本資料填寫!$E$1&amp;"-"&amp;ROW(CT75),基本資料填寫!$E:$EU,COLUMN(基本資料填寫!CX75),0),"")</f>
        <v/>
      </c>
      <c r="G78" s="166" t="str">
        <f>IFERROR(VLOOKUP(基本資料填寫!$E$1&amp;"-"&amp;ROW(CQ75),基本資料填寫!$E:$EU,COLUMN(基本資料填寫!CU75),0),"")</f>
        <v/>
      </c>
      <c r="H78" s="169"/>
      <c r="I78" s="168"/>
      <c r="J78" s="168"/>
      <c r="K78" s="166" t="str">
        <f>IFERROR(VLOOKUP(基本資料填寫!$E$1&amp;"-"&amp;ROW(DC75),基本資料填寫!$E:$EU,COLUMN(基本資料填寫!DH75),0),"")</f>
        <v/>
      </c>
      <c r="M78" s="166" t="str">
        <f>IFERROR(VLOOKUP(基本資料填寫!$E$1&amp;"-"&amp;ROW(DI75),基本資料填寫!$E:$EU,COLUMN(基本資料填寫!DN75),0),"")</f>
        <v/>
      </c>
      <c r="N78" s="166" t="str">
        <f>IFERROR(VLOOKUP(基本資料填寫!$E$1&amp;"-"&amp;ROW(DH75),基本資料填寫!$E:$EU,COLUMN(基本資料填寫!DM75),0),"")</f>
        <v/>
      </c>
      <c r="O78" s="166" t="str">
        <f>IFERROR(VLOOKUP(基本資料填寫!$E$1&amp;"-"&amp;ROW(DJ75),基本資料填寫!$E:$EU,COLUMN(基本資料填寫!DO75),0),"")</f>
        <v/>
      </c>
      <c r="P78" s="252"/>
      <c r="Q78" s="252"/>
      <c r="R78" s="252"/>
      <c r="S78" s="252"/>
      <c r="T78" s="166" t="str">
        <f>IFERROR(VLOOKUP(基本資料填寫!$E$1&amp;"-"&amp;ROW(DG75),基本資料填寫!$E:$EU,COLUMN(基本資料填寫!DL75),0),"")</f>
        <v/>
      </c>
      <c r="U78" s="168"/>
      <c r="V78" s="169"/>
      <c r="X78" s="168"/>
      <c r="AA78" s="168"/>
      <c r="AB78" s="168"/>
    </row>
    <row r="79" spans="1:28" ht="18.75" customHeight="1" x14ac:dyDescent="0.3">
      <c r="A79" s="169"/>
      <c r="B79" s="168"/>
      <c r="C79" s="168"/>
      <c r="D79" s="168"/>
      <c r="E79" s="166" t="str">
        <f>IFERROR(VLOOKUP(基本資料填寫!$E$1&amp;"-"&amp;ROW(CS76),基本資料填寫!$E:$EU,COLUMN(基本資料填寫!CW76),0),"")</f>
        <v/>
      </c>
      <c r="F79" s="166" t="str">
        <f>IFERROR(VLOOKUP(基本資料填寫!$E$1&amp;"-"&amp;ROW(CT76),基本資料填寫!$E:$EU,COLUMN(基本資料填寫!CX76),0),"")</f>
        <v/>
      </c>
      <c r="G79" s="166" t="str">
        <f>IFERROR(VLOOKUP(基本資料填寫!$E$1&amp;"-"&amp;ROW(CQ76),基本資料填寫!$E:$EU,COLUMN(基本資料填寫!CU76),0),"")</f>
        <v/>
      </c>
      <c r="H79" s="169"/>
      <c r="I79" s="168"/>
      <c r="J79" s="168"/>
      <c r="K79" s="166" t="str">
        <f>IFERROR(VLOOKUP(基本資料填寫!$E$1&amp;"-"&amp;ROW(DC76),基本資料填寫!$E:$EU,COLUMN(基本資料填寫!DH76),0),"")</f>
        <v/>
      </c>
      <c r="M79" s="166" t="str">
        <f>IFERROR(VLOOKUP(基本資料填寫!$E$1&amp;"-"&amp;ROW(DI76),基本資料填寫!$E:$EU,COLUMN(基本資料填寫!DN76),0),"")</f>
        <v/>
      </c>
      <c r="N79" s="166" t="str">
        <f>IFERROR(VLOOKUP(基本資料填寫!$E$1&amp;"-"&amp;ROW(DH76),基本資料填寫!$E:$EU,COLUMN(基本資料填寫!DM76),0),"")</f>
        <v/>
      </c>
      <c r="O79" s="166" t="str">
        <f>IFERROR(VLOOKUP(基本資料填寫!$E$1&amp;"-"&amp;ROW(DJ76),基本資料填寫!$E:$EU,COLUMN(基本資料填寫!DO76),0),"")</f>
        <v/>
      </c>
      <c r="P79" s="252"/>
      <c r="Q79" s="252"/>
      <c r="R79" s="252"/>
      <c r="S79" s="252"/>
      <c r="T79" s="166" t="str">
        <f>IFERROR(VLOOKUP(基本資料填寫!$E$1&amp;"-"&amp;ROW(DG76),基本資料填寫!$E:$EU,COLUMN(基本資料填寫!DL76),0),"")</f>
        <v/>
      </c>
      <c r="U79" s="168"/>
      <c r="V79" s="169"/>
      <c r="X79" s="168"/>
      <c r="AA79" s="168"/>
      <c r="AB79" s="168"/>
    </row>
    <row r="80" spans="1:28" ht="18.75" customHeight="1" x14ac:dyDescent="0.3">
      <c r="A80" s="169"/>
      <c r="B80" s="168"/>
      <c r="C80" s="168"/>
      <c r="D80" s="168"/>
      <c r="E80" s="166" t="str">
        <f>IFERROR(VLOOKUP(基本資料填寫!$E$1&amp;"-"&amp;ROW(CS77),基本資料填寫!$E:$EU,COLUMN(基本資料填寫!CW77),0),"")</f>
        <v/>
      </c>
      <c r="F80" s="166" t="str">
        <f>IFERROR(VLOOKUP(基本資料填寫!$E$1&amp;"-"&amp;ROW(CT77),基本資料填寫!$E:$EU,COLUMN(基本資料填寫!CX77),0),"")</f>
        <v/>
      </c>
      <c r="G80" s="166" t="str">
        <f>IFERROR(VLOOKUP(基本資料填寫!$E$1&amp;"-"&amp;ROW(CQ77),基本資料填寫!$E:$EU,COLUMN(基本資料填寫!CU77),0),"")</f>
        <v/>
      </c>
      <c r="H80" s="169"/>
      <c r="I80" s="168"/>
      <c r="J80" s="168"/>
      <c r="K80" s="166" t="str">
        <f>IFERROR(VLOOKUP(基本資料填寫!$E$1&amp;"-"&amp;ROW(DC77),基本資料填寫!$E:$EU,COLUMN(基本資料填寫!DH77),0),"")</f>
        <v/>
      </c>
      <c r="M80" s="166" t="str">
        <f>IFERROR(VLOOKUP(基本資料填寫!$E$1&amp;"-"&amp;ROW(DI77),基本資料填寫!$E:$EU,COLUMN(基本資料填寫!DN77),0),"")</f>
        <v/>
      </c>
      <c r="N80" s="166" t="str">
        <f>IFERROR(VLOOKUP(基本資料填寫!$E$1&amp;"-"&amp;ROW(DH77),基本資料填寫!$E:$EU,COLUMN(基本資料填寫!DM77),0),"")</f>
        <v/>
      </c>
      <c r="O80" s="166" t="str">
        <f>IFERROR(VLOOKUP(基本資料填寫!$E$1&amp;"-"&amp;ROW(DJ77),基本資料填寫!$E:$EU,COLUMN(基本資料填寫!DO77),0),"")</f>
        <v/>
      </c>
      <c r="P80" s="252"/>
      <c r="Q80" s="252"/>
      <c r="R80" s="252"/>
      <c r="S80" s="252"/>
      <c r="T80" s="166" t="str">
        <f>IFERROR(VLOOKUP(基本資料填寫!$E$1&amp;"-"&amp;ROW(DG77),基本資料填寫!$E:$EU,COLUMN(基本資料填寫!DL77),0),"")</f>
        <v/>
      </c>
      <c r="U80" s="168"/>
      <c r="V80" s="169"/>
      <c r="X80" s="168"/>
      <c r="AA80" s="168"/>
      <c r="AB80" s="168"/>
    </row>
    <row r="81" spans="1:28" ht="18.75" customHeight="1" x14ac:dyDescent="0.3">
      <c r="A81" s="169"/>
      <c r="B81" s="168"/>
      <c r="C81" s="168"/>
      <c r="D81" s="168"/>
      <c r="E81" s="166" t="str">
        <f>IFERROR(VLOOKUP(基本資料填寫!$E$1&amp;"-"&amp;ROW(CS78),基本資料填寫!$E:$EU,COLUMN(基本資料填寫!CW78),0),"")</f>
        <v/>
      </c>
      <c r="F81" s="166" t="str">
        <f>IFERROR(VLOOKUP(基本資料填寫!$E$1&amp;"-"&amp;ROW(CT78),基本資料填寫!$E:$EU,COLUMN(基本資料填寫!CX78),0),"")</f>
        <v/>
      </c>
      <c r="G81" s="166" t="str">
        <f>IFERROR(VLOOKUP(基本資料填寫!$E$1&amp;"-"&amp;ROW(CQ78),基本資料填寫!$E:$EU,COLUMN(基本資料填寫!CU78),0),"")</f>
        <v/>
      </c>
      <c r="H81" s="169"/>
      <c r="I81" s="168"/>
      <c r="J81" s="168"/>
      <c r="K81" s="166" t="str">
        <f>IFERROR(VLOOKUP(基本資料填寫!$E$1&amp;"-"&amp;ROW(DC78),基本資料填寫!$E:$EU,COLUMN(基本資料填寫!DH78),0),"")</f>
        <v/>
      </c>
      <c r="M81" s="166" t="str">
        <f>IFERROR(VLOOKUP(基本資料填寫!$E$1&amp;"-"&amp;ROW(DI78),基本資料填寫!$E:$EU,COLUMN(基本資料填寫!DN78),0),"")</f>
        <v/>
      </c>
      <c r="N81" s="166" t="str">
        <f>IFERROR(VLOOKUP(基本資料填寫!$E$1&amp;"-"&amp;ROW(DH78),基本資料填寫!$E:$EU,COLUMN(基本資料填寫!DM78),0),"")</f>
        <v/>
      </c>
      <c r="O81" s="166" t="str">
        <f>IFERROR(VLOOKUP(基本資料填寫!$E$1&amp;"-"&amp;ROW(DJ78),基本資料填寫!$E:$EU,COLUMN(基本資料填寫!DO78),0),"")</f>
        <v/>
      </c>
      <c r="P81" s="252"/>
      <c r="Q81" s="252"/>
      <c r="R81" s="252"/>
      <c r="S81" s="252"/>
      <c r="T81" s="166" t="str">
        <f>IFERROR(VLOOKUP(基本資料填寫!$E$1&amp;"-"&amp;ROW(DG78),基本資料填寫!$E:$EU,COLUMN(基本資料填寫!DL78),0),"")</f>
        <v/>
      </c>
      <c r="U81" s="168"/>
      <c r="V81" s="169"/>
      <c r="X81" s="168"/>
      <c r="AA81" s="168"/>
      <c r="AB81" s="168"/>
    </row>
    <row r="82" spans="1:28" ht="18.75" customHeight="1" x14ac:dyDescent="0.3">
      <c r="A82" s="169"/>
      <c r="B82" s="168"/>
      <c r="C82" s="168"/>
      <c r="D82" s="168"/>
      <c r="E82" s="166" t="str">
        <f>IFERROR(VLOOKUP(基本資料填寫!$E$1&amp;"-"&amp;ROW(CS79),基本資料填寫!$E:$EU,COLUMN(基本資料填寫!CW79),0),"")</f>
        <v/>
      </c>
      <c r="F82" s="166" t="str">
        <f>IFERROR(VLOOKUP(基本資料填寫!$E$1&amp;"-"&amp;ROW(CT79),基本資料填寫!$E:$EU,COLUMN(基本資料填寫!CX79),0),"")</f>
        <v/>
      </c>
      <c r="G82" s="166" t="str">
        <f>IFERROR(VLOOKUP(基本資料填寫!$E$1&amp;"-"&amp;ROW(CQ79),基本資料填寫!$E:$EU,COLUMN(基本資料填寫!CU79),0),"")</f>
        <v/>
      </c>
      <c r="H82" s="169"/>
      <c r="I82" s="168"/>
      <c r="J82" s="168"/>
      <c r="K82" s="166" t="str">
        <f>IFERROR(VLOOKUP(基本資料填寫!$E$1&amp;"-"&amp;ROW(DC79),基本資料填寫!$E:$EU,COLUMN(基本資料填寫!DH79),0),"")</f>
        <v/>
      </c>
      <c r="M82" s="166" t="str">
        <f>IFERROR(VLOOKUP(基本資料填寫!$E$1&amp;"-"&amp;ROW(DI79),基本資料填寫!$E:$EU,COLUMN(基本資料填寫!DN79),0),"")</f>
        <v/>
      </c>
      <c r="N82" s="166" t="str">
        <f>IFERROR(VLOOKUP(基本資料填寫!$E$1&amp;"-"&amp;ROW(DH79),基本資料填寫!$E:$EU,COLUMN(基本資料填寫!DM79),0),"")</f>
        <v/>
      </c>
      <c r="O82" s="166" t="str">
        <f>IFERROR(VLOOKUP(基本資料填寫!$E$1&amp;"-"&amp;ROW(DJ79),基本資料填寫!$E:$EU,COLUMN(基本資料填寫!DO79),0),"")</f>
        <v/>
      </c>
      <c r="P82" s="252"/>
      <c r="Q82" s="252"/>
      <c r="R82" s="252"/>
      <c r="S82" s="252"/>
      <c r="T82" s="166" t="str">
        <f>IFERROR(VLOOKUP(基本資料填寫!$E$1&amp;"-"&amp;ROW(DG79),基本資料填寫!$E:$EU,COLUMN(基本資料填寫!DL79),0),"")</f>
        <v/>
      </c>
      <c r="U82" s="168"/>
      <c r="V82" s="169"/>
      <c r="X82" s="168"/>
      <c r="AA82" s="168"/>
      <c r="AB82" s="168"/>
    </row>
    <row r="83" spans="1:28" ht="18.75" customHeight="1" x14ac:dyDescent="0.3">
      <c r="A83" s="169"/>
      <c r="B83" s="168"/>
      <c r="C83" s="168"/>
      <c r="D83" s="168"/>
      <c r="E83" s="166" t="str">
        <f>IFERROR(VLOOKUP(基本資料填寫!$E$1&amp;"-"&amp;ROW(CS80),基本資料填寫!$E:$EU,COLUMN(基本資料填寫!CW80),0),"")</f>
        <v/>
      </c>
      <c r="F83" s="166" t="str">
        <f>IFERROR(VLOOKUP(基本資料填寫!$E$1&amp;"-"&amp;ROW(CT80),基本資料填寫!$E:$EU,COLUMN(基本資料填寫!CX80),0),"")</f>
        <v/>
      </c>
      <c r="G83" s="166" t="str">
        <f>IFERROR(VLOOKUP(基本資料填寫!$E$1&amp;"-"&amp;ROW(CQ80),基本資料填寫!$E:$EU,COLUMN(基本資料填寫!CU80),0),"")</f>
        <v/>
      </c>
      <c r="H83" s="169"/>
      <c r="I83" s="168"/>
      <c r="J83" s="168"/>
      <c r="K83" s="166" t="str">
        <f>IFERROR(VLOOKUP(基本資料填寫!$E$1&amp;"-"&amp;ROW(DC80),基本資料填寫!$E:$EU,COLUMN(基本資料填寫!DH80),0),"")</f>
        <v/>
      </c>
      <c r="M83" s="166" t="str">
        <f>IFERROR(VLOOKUP(基本資料填寫!$E$1&amp;"-"&amp;ROW(DI80),基本資料填寫!$E:$EU,COLUMN(基本資料填寫!DN80),0),"")</f>
        <v/>
      </c>
      <c r="N83" s="166" t="str">
        <f>IFERROR(VLOOKUP(基本資料填寫!$E$1&amp;"-"&amp;ROW(DH80),基本資料填寫!$E:$EU,COLUMN(基本資料填寫!DM80),0),"")</f>
        <v/>
      </c>
      <c r="O83" s="166" t="str">
        <f>IFERROR(VLOOKUP(基本資料填寫!$E$1&amp;"-"&amp;ROW(DJ80),基本資料填寫!$E:$EU,COLUMN(基本資料填寫!DO80),0),"")</f>
        <v/>
      </c>
      <c r="P83" s="252"/>
      <c r="Q83" s="252"/>
      <c r="R83" s="252"/>
      <c r="S83" s="252"/>
      <c r="T83" s="166" t="str">
        <f>IFERROR(VLOOKUP(基本資料填寫!$E$1&amp;"-"&amp;ROW(DG80),基本資料填寫!$E:$EU,COLUMN(基本資料填寫!DL80),0),"")</f>
        <v/>
      </c>
      <c r="U83" s="168"/>
      <c r="V83" s="169"/>
      <c r="X83" s="168"/>
      <c r="AA83" s="168"/>
      <c r="AB83" s="168"/>
    </row>
    <row r="84" spans="1:28" ht="18.75" customHeight="1" x14ac:dyDescent="0.3">
      <c r="A84" s="169"/>
      <c r="B84" s="168"/>
      <c r="C84" s="168"/>
      <c r="D84" s="168"/>
      <c r="E84" s="166" t="str">
        <f>IFERROR(VLOOKUP(基本資料填寫!$E$1&amp;"-"&amp;ROW(CS81),基本資料填寫!$E:$EU,COLUMN(基本資料填寫!CW81),0),"")</f>
        <v/>
      </c>
      <c r="F84" s="166" t="str">
        <f>IFERROR(VLOOKUP(基本資料填寫!$E$1&amp;"-"&amp;ROW(CT81),基本資料填寫!$E:$EU,COLUMN(基本資料填寫!CX81),0),"")</f>
        <v/>
      </c>
      <c r="G84" s="166" t="str">
        <f>IFERROR(VLOOKUP(基本資料填寫!$E$1&amp;"-"&amp;ROW(CQ81),基本資料填寫!$E:$EU,COLUMN(基本資料填寫!CU81),0),"")</f>
        <v/>
      </c>
      <c r="H84" s="169"/>
      <c r="I84" s="168"/>
      <c r="J84" s="168"/>
      <c r="K84" s="166" t="str">
        <f>IFERROR(VLOOKUP(基本資料填寫!$E$1&amp;"-"&amp;ROW(DC81),基本資料填寫!$E:$EU,COLUMN(基本資料填寫!DH81),0),"")</f>
        <v/>
      </c>
      <c r="M84" s="166" t="str">
        <f>IFERROR(VLOOKUP(基本資料填寫!$E$1&amp;"-"&amp;ROW(DI81),基本資料填寫!$E:$EU,COLUMN(基本資料填寫!DN81),0),"")</f>
        <v/>
      </c>
      <c r="N84" s="166" t="str">
        <f>IFERROR(VLOOKUP(基本資料填寫!$E$1&amp;"-"&amp;ROW(DH81),基本資料填寫!$E:$EU,COLUMN(基本資料填寫!DM81),0),"")</f>
        <v/>
      </c>
      <c r="O84" s="166" t="str">
        <f>IFERROR(VLOOKUP(基本資料填寫!$E$1&amp;"-"&amp;ROW(DJ81),基本資料填寫!$E:$EU,COLUMN(基本資料填寫!DO81),0),"")</f>
        <v/>
      </c>
      <c r="P84" s="252"/>
      <c r="Q84" s="252"/>
      <c r="R84" s="252"/>
      <c r="S84" s="252"/>
      <c r="T84" s="166" t="str">
        <f>IFERROR(VLOOKUP(基本資料填寫!$E$1&amp;"-"&amp;ROW(DG81),基本資料填寫!$E:$EU,COLUMN(基本資料填寫!DL81),0),"")</f>
        <v/>
      </c>
      <c r="U84" s="168"/>
      <c r="V84" s="169"/>
      <c r="X84" s="168"/>
      <c r="AA84" s="168"/>
      <c r="AB84" s="168"/>
    </row>
    <row r="85" spans="1:28" ht="18.75" customHeight="1" x14ac:dyDescent="0.3">
      <c r="A85" s="169"/>
      <c r="B85" s="168"/>
      <c r="C85" s="168"/>
      <c r="D85" s="168"/>
      <c r="E85" s="166" t="str">
        <f>IFERROR(VLOOKUP(基本資料填寫!$E$1&amp;"-"&amp;ROW(CS82),基本資料填寫!$E:$EU,COLUMN(基本資料填寫!CW82),0),"")</f>
        <v/>
      </c>
      <c r="F85" s="166" t="str">
        <f>IFERROR(VLOOKUP(基本資料填寫!$E$1&amp;"-"&amp;ROW(CT82),基本資料填寫!$E:$EU,COLUMN(基本資料填寫!CX82),0),"")</f>
        <v/>
      </c>
      <c r="G85" s="166" t="str">
        <f>IFERROR(VLOOKUP(基本資料填寫!$E$1&amp;"-"&amp;ROW(CQ82),基本資料填寫!$E:$EU,COLUMN(基本資料填寫!CU82),0),"")</f>
        <v/>
      </c>
      <c r="H85" s="169"/>
      <c r="I85" s="168"/>
      <c r="J85" s="168"/>
      <c r="K85" s="166" t="str">
        <f>IFERROR(VLOOKUP(基本資料填寫!$E$1&amp;"-"&amp;ROW(DC82),基本資料填寫!$E:$EU,COLUMN(基本資料填寫!DH82),0),"")</f>
        <v/>
      </c>
      <c r="M85" s="166" t="str">
        <f>IFERROR(VLOOKUP(基本資料填寫!$E$1&amp;"-"&amp;ROW(DI82),基本資料填寫!$E:$EU,COLUMN(基本資料填寫!DN82),0),"")</f>
        <v/>
      </c>
      <c r="N85" s="166" t="str">
        <f>IFERROR(VLOOKUP(基本資料填寫!$E$1&amp;"-"&amp;ROW(DH82),基本資料填寫!$E:$EU,COLUMN(基本資料填寫!DM82),0),"")</f>
        <v/>
      </c>
      <c r="O85" s="166" t="str">
        <f>IFERROR(VLOOKUP(基本資料填寫!$E$1&amp;"-"&amp;ROW(DJ82),基本資料填寫!$E:$EU,COLUMN(基本資料填寫!DO82),0),"")</f>
        <v/>
      </c>
      <c r="P85" s="252"/>
      <c r="Q85" s="252"/>
      <c r="R85" s="252"/>
      <c r="S85" s="252"/>
      <c r="T85" s="166" t="str">
        <f>IFERROR(VLOOKUP(基本資料填寫!$E$1&amp;"-"&amp;ROW(DG82),基本資料填寫!$E:$EU,COLUMN(基本資料填寫!DL82),0),"")</f>
        <v/>
      </c>
      <c r="U85" s="168"/>
      <c r="V85" s="169"/>
      <c r="X85" s="168"/>
      <c r="AA85" s="168"/>
      <c r="AB85" s="168"/>
    </row>
    <row r="86" spans="1:28" ht="18.75" customHeight="1" x14ac:dyDescent="0.3">
      <c r="A86" s="169"/>
      <c r="B86" s="168"/>
      <c r="C86" s="168"/>
      <c r="D86" s="168"/>
      <c r="E86" s="166" t="str">
        <f>IFERROR(VLOOKUP(基本資料填寫!$E$1&amp;"-"&amp;ROW(CS83),基本資料填寫!$E:$EU,COLUMN(基本資料填寫!CW83),0),"")</f>
        <v/>
      </c>
      <c r="F86" s="166" t="str">
        <f>IFERROR(VLOOKUP(基本資料填寫!$E$1&amp;"-"&amp;ROW(CT83),基本資料填寫!$E:$EU,COLUMN(基本資料填寫!CX83),0),"")</f>
        <v/>
      </c>
      <c r="G86" s="166" t="str">
        <f>IFERROR(VLOOKUP(基本資料填寫!$E$1&amp;"-"&amp;ROW(CQ83),基本資料填寫!$E:$EU,COLUMN(基本資料填寫!CU83),0),"")</f>
        <v/>
      </c>
      <c r="H86" s="169"/>
      <c r="I86" s="168"/>
      <c r="J86" s="168"/>
      <c r="K86" s="166" t="str">
        <f>IFERROR(VLOOKUP(基本資料填寫!$E$1&amp;"-"&amp;ROW(DC83),基本資料填寫!$E:$EU,COLUMN(基本資料填寫!DH83),0),"")</f>
        <v/>
      </c>
      <c r="M86" s="166" t="str">
        <f>IFERROR(VLOOKUP(基本資料填寫!$E$1&amp;"-"&amp;ROW(DI83),基本資料填寫!$E:$EU,COLUMN(基本資料填寫!DN83),0),"")</f>
        <v/>
      </c>
      <c r="N86" s="166" t="str">
        <f>IFERROR(VLOOKUP(基本資料填寫!$E$1&amp;"-"&amp;ROW(DH83),基本資料填寫!$E:$EU,COLUMN(基本資料填寫!DM83),0),"")</f>
        <v/>
      </c>
      <c r="O86" s="166" t="str">
        <f>IFERROR(VLOOKUP(基本資料填寫!$E$1&amp;"-"&amp;ROW(DJ83),基本資料填寫!$E:$EU,COLUMN(基本資料填寫!DO83),0),"")</f>
        <v/>
      </c>
      <c r="P86" s="252"/>
      <c r="Q86" s="252"/>
      <c r="R86" s="252"/>
      <c r="S86" s="252"/>
      <c r="T86" s="166" t="str">
        <f>IFERROR(VLOOKUP(基本資料填寫!$E$1&amp;"-"&amp;ROW(DG83),基本資料填寫!$E:$EU,COLUMN(基本資料填寫!DL83),0),"")</f>
        <v/>
      </c>
      <c r="U86" s="168"/>
      <c r="V86" s="169"/>
      <c r="X86" s="168"/>
      <c r="AA86" s="168"/>
      <c r="AB86" s="168"/>
    </row>
    <row r="87" spans="1:28" ht="18.75" customHeight="1" x14ac:dyDescent="0.3">
      <c r="A87" s="169"/>
      <c r="B87" s="168"/>
      <c r="C87" s="168"/>
      <c r="D87" s="168"/>
      <c r="E87" s="166" t="str">
        <f>IFERROR(VLOOKUP(基本資料填寫!$E$1&amp;"-"&amp;ROW(CS84),基本資料填寫!$E:$EU,COLUMN(基本資料填寫!CW84),0),"")</f>
        <v/>
      </c>
      <c r="F87" s="166" t="str">
        <f>IFERROR(VLOOKUP(基本資料填寫!$E$1&amp;"-"&amp;ROW(CT84),基本資料填寫!$E:$EU,COLUMN(基本資料填寫!CX84),0),"")</f>
        <v/>
      </c>
      <c r="G87" s="166" t="str">
        <f>IFERROR(VLOOKUP(基本資料填寫!$E$1&amp;"-"&amp;ROW(CQ84),基本資料填寫!$E:$EU,COLUMN(基本資料填寫!CU84),0),"")</f>
        <v/>
      </c>
      <c r="H87" s="169"/>
      <c r="I87" s="168"/>
      <c r="J87" s="168"/>
      <c r="K87" s="166" t="str">
        <f>IFERROR(VLOOKUP(基本資料填寫!$E$1&amp;"-"&amp;ROW(DC84),基本資料填寫!$E:$EU,COLUMN(基本資料填寫!DH84),0),"")</f>
        <v/>
      </c>
      <c r="M87" s="166" t="str">
        <f>IFERROR(VLOOKUP(基本資料填寫!$E$1&amp;"-"&amp;ROW(DI84),基本資料填寫!$E:$EU,COLUMN(基本資料填寫!DN84),0),"")</f>
        <v/>
      </c>
      <c r="N87" s="166" t="str">
        <f>IFERROR(VLOOKUP(基本資料填寫!$E$1&amp;"-"&amp;ROW(DH84),基本資料填寫!$E:$EU,COLUMN(基本資料填寫!DM84),0),"")</f>
        <v/>
      </c>
      <c r="O87" s="166" t="str">
        <f>IFERROR(VLOOKUP(基本資料填寫!$E$1&amp;"-"&amp;ROW(DJ84),基本資料填寫!$E:$EU,COLUMN(基本資料填寫!DO84),0),"")</f>
        <v/>
      </c>
      <c r="P87" s="252"/>
      <c r="Q87" s="252"/>
      <c r="R87" s="252"/>
      <c r="S87" s="252"/>
      <c r="T87" s="166" t="str">
        <f>IFERROR(VLOOKUP(基本資料填寫!$E$1&amp;"-"&amp;ROW(DG84),基本資料填寫!$E:$EU,COLUMN(基本資料填寫!DL84),0),"")</f>
        <v/>
      </c>
      <c r="U87" s="168"/>
      <c r="V87" s="169"/>
      <c r="X87" s="168"/>
      <c r="AA87" s="168"/>
      <c r="AB87" s="168"/>
    </row>
    <row r="88" spans="1:28" ht="18.75" customHeight="1" x14ac:dyDescent="0.3">
      <c r="A88" s="169"/>
      <c r="B88" s="168"/>
      <c r="C88" s="168"/>
      <c r="D88" s="168"/>
      <c r="E88" s="166" t="str">
        <f>IFERROR(VLOOKUP(基本資料填寫!$E$1&amp;"-"&amp;ROW(CS85),基本資料填寫!$E:$EU,COLUMN(基本資料填寫!CW85),0),"")</f>
        <v/>
      </c>
      <c r="F88" s="166" t="str">
        <f>IFERROR(VLOOKUP(基本資料填寫!$E$1&amp;"-"&amp;ROW(CT85),基本資料填寫!$E:$EU,COLUMN(基本資料填寫!CX85),0),"")</f>
        <v/>
      </c>
      <c r="G88" s="166" t="str">
        <f>IFERROR(VLOOKUP(基本資料填寫!$E$1&amp;"-"&amp;ROW(CQ85),基本資料填寫!$E:$EU,COLUMN(基本資料填寫!CU85),0),"")</f>
        <v/>
      </c>
      <c r="H88" s="169"/>
      <c r="I88" s="168"/>
      <c r="J88" s="168"/>
      <c r="K88" s="166" t="str">
        <f>IFERROR(VLOOKUP(基本資料填寫!$E$1&amp;"-"&amp;ROW(DC85),基本資料填寫!$E:$EU,COLUMN(基本資料填寫!DH85),0),"")</f>
        <v/>
      </c>
      <c r="M88" s="166" t="str">
        <f>IFERROR(VLOOKUP(基本資料填寫!$E$1&amp;"-"&amp;ROW(DI85),基本資料填寫!$E:$EU,COLUMN(基本資料填寫!DN85),0),"")</f>
        <v/>
      </c>
      <c r="N88" s="166" t="str">
        <f>IFERROR(VLOOKUP(基本資料填寫!$E$1&amp;"-"&amp;ROW(DH85),基本資料填寫!$E:$EU,COLUMN(基本資料填寫!DM85),0),"")</f>
        <v/>
      </c>
      <c r="O88" s="166" t="str">
        <f>IFERROR(VLOOKUP(基本資料填寫!$E$1&amp;"-"&amp;ROW(DJ85),基本資料填寫!$E:$EU,COLUMN(基本資料填寫!DO85),0),"")</f>
        <v/>
      </c>
      <c r="P88" s="252"/>
      <c r="Q88" s="252"/>
      <c r="R88" s="252"/>
      <c r="S88" s="252"/>
      <c r="T88" s="166" t="str">
        <f>IFERROR(VLOOKUP(基本資料填寫!$E$1&amp;"-"&amp;ROW(DG85),基本資料填寫!$E:$EU,COLUMN(基本資料填寫!DL85),0),"")</f>
        <v/>
      </c>
      <c r="U88" s="168"/>
      <c r="V88" s="169"/>
      <c r="X88" s="168"/>
      <c r="AA88" s="168"/>
      <c r="AB88" s="168"/>
    </row>
    <row r="89" spans="1:28" ht="18.75" customHeight="1" x14ac:dyDescent="0.3">
      <c r="A89" s="169"/>
      <c r="B89" s="168"/>
      <c r="C89" s="168"/>
      <c r="D89" s="168"/>
      <c r="E89" s="166" t="str">
        <f>IFERROR(VLOOKUP(基本資料填寫!$E$1&amp;"-"&amp;ROW(CS86),基本資料填寫!$E:$EU,COLUMN(基本資料填寫!CW86),0),"")</f>
        <v/>
      </c>
      <c r="F89" s="166" t="str">
        <f>IFERROR(VLOOKUP(基本資料填寫!$E$1&amp;"-"&amp;ROW(CT86),基本資料填寫!$E:$EU,COLUMN(基本資料填寫!CX86),0),"")</f>
        <v/>
      </c>
      <c r="G89" s="166" t="str">
        <f>IFERROR(VLOOKUP(基本資料填寫!$E$1&amp;"-"&amp;ROW(CQ86),基本資料填寫!$E:$EU,COLUMN(基本資料填寫!CU86),0),"")</f>
        <v/>
      </c>
      <c r="H89" s="169"/>
      <c r="I89" s="168"/>
      <c r="J89" s="168"/>
      <c r="K89" s="166" t="str">
        <f>IFERROR(VLOOKUP(基本資料填寫!$E$1&amp;"-"&amp;ROW(DC86),基本資料填寫!$E:$EU,COLUMN(基本資料填寫!DH86),0),"")</f>
        <v/>
      </c>
      <c r="M89" s="166" t="str">
        <f>IFERROR(VLOOKUP(基本資料填寫!$E$1&amp;"-"&amp;ROW(DI86),基本資料填寫!$E:$EU,COLUMN(基本資料填寫!DN86),0),"")</f>
        <v/>
      </c>
      <c r="N89" s="166" t="str">
        <f>IFERROR(VLOOKUP(基本資料填寫!$E$1&amp;"-"&amp;ROW(DH86),基本資料填寫!$E:$EU,COLUMN(基本資料填寫!DM86),0),"")</f>
        <v/>
      </c>
      <c r="O89" s="166" t="str">
        <f>IFERROR(VLOOKUP(基本資料填寫!$E$1&amp;"-"&amp;ROW(DJ86),基本資料填寫!$E:$EU,COLUMN(基本資料填寫!DO86),0),"")</f>
        <v/>
      </c>
      <c r="P89" s="252"/>
      <c r="Q89" s="252"/>
      <c r="R89" s="252"/>
      <c r="S89" s="252"/>
      <c r="T89" s="166" t="str">
        <f>IFERROR(VLOOKUP(基本資料填寫!$E$1&amp;"-"&amp;ROW(DG86),基本資料填寫!$E:$EU,COLUMN(基本資料填寫!DL86),0),"")</f>
        <v/>
      </c>
      <c r="U89" s="168"/>
      <c r="V89" s="169"/>
      <c r="X89" s="168"/>
      <c r="AA89" s="168"/>
      <c r="AB89" s="168"/>
    </row>
    <row r="90" spans="1:28" ht="18.75" customHeight="1" x14ac:dyDescent="0.3">
      <c r="A90" s="169"/>
      <c r="B90" s="168"/>
      <c r="C90" s="168"/>
      <c r="D90" s="168"/>
      <c r="E90" s="166" t="str">
        <f>IFERROR(VLOOKUP(基本資料填寫!$E$1&amp;"-"&amp;ROW(CS87),基本資料填寫!$E:$EU,COLUMN(基本資料填寫!CW87),0),"")</f>
        <v/>
      </c>
      <c r="F90" s="166" t="str">
        <f>IFERROR(VLOOKUP(基本資料填寫!$E$1&amp;"-"&amp;ROW(CT87),基本資料填寫!$E:$EU,COLUMN(基本資料填寫!CX87),0),"")</f>
        <v/>
      </c>
      <c r="G90" s="166" t="str">
        <f>IFERROR(VLOOKUP(基本資料填寫!$E$1&amp;"-"&amp;ROW(CQ87),基本資料填寫!$E:$EU,COLUMN(基本資料填寫!CU87),0),"")</f>
        <v/>
      </c>
      <c r="H90" s="169"/>
      <c r="I90" s="168"/>
      <c r="J90" s="168"/>
      <c r="K90" s="166" t="str">
        <f>IFERROR(VLOOKUP(基本資料填寫!$E$1&amp;"-"&amp;ROW(DC87),基本資料填寫!$E:$EU,COLUMN(基本資料填寫!DH87),0),"")</f>
        <v/>
      </c>
      <c r="M90" s="166" t="str">
        <f>IFERROR(VLOOKUP(基本資料填寫!$E$1&amp;"-"&amp;ROW(DI87),基本資料填寫!$E:$EU,COLUMN(基本資料填寫!DN87),0),"")</f>
        <v/>
      </c>
      <c r="N90" s="166" t="str">
        <f>IFERROR(VLOOKUP(基本資料填寫!$E$1&amp;"-"&amp;ROW(DH87),基本資料填寫!$E:$EU,COLUMN(基本資料填寫!DM87),0),"")</f>
        <v/>
      </c>
      <c r="O90" s="166" t="str">
        <f>IFERROR(VLOOKUP(基本資料填寫!$E$1&amp;"-"&amp;ROW(DJ87),基本資料填寫!$E:$EU,COLUMN(基本資料填寫!DO87),0),"")</f>
        <v/>
      </c>
      <c r="P90" s="252"/>
      <c r="Q90" s="252"/>
      <c r="R90" s="252"/>
      <c r="S90" s="252"/>
      <c r="T90" s="166" t="str">
        <f>IFERROR(VLOOKUP(基本資料填寫!$E$1&amp;"-"&amp;ROW(DG87),基本資料填寫!$E:$EU,COLUMN(基本資料填寫!DL87),0),"")</f>
        <v/>
      </c>
      <c r="U90" s="168"/>
      <c r="V90" s="169"/>
      <c r="X90" s="168"/>
      <c r="AA90" s="168"/>
      <c r="AB90" s="168"/>
    </row>
    <row r="91" spans="1:28" ht="18.75" customHeight="1" x14ac:dyDescent="0.3">
      <c r="A91" s="169"/>
      <c r="B91" s="168"/>
      <c r="C91" s="168"/>
      <c r="D91" s="168"/>
      <c r="E91" s="166" t="str">
        <f>IFERROR(VLOOKUP(基本資料填寫!$E$1&amp;"-"&amp;ROW(CS88),基本資料填寫!$E:$EU,COLUMN(基本資料填寫!CW88),0),"")</f>
        <v/>
      </c>
      <c r="F91" s="166" t="str">
        <f>IFERROR(VLOOKUP(基本資料填寫!$E$1&amp;"-"&amp;ROW(CT88),基本資料填寫!$E:$EU,COLUMN(基本資料填寫!CX88),0),"")</f>
        <v/>
      </c>
      <c r="G91" s="166" t="str">
        <f>IFERROR(VLOOKUP(基本資料填寫!$E$1&amp;"-"&amp;ROW(CQ88),基本資料填寫!$E:$EU,COLUMN(基本資料填寫!CU88),0),"")</f>
        <v/>
      </c>
      <c r="H91" s="169"/>
      <c r="I91" s="168"/>
      <c r="J91" s="168"/>
      <c r="K91" s="166" t="str">
        <f>IFERROR(VLOOKUP(基本資料填寫!$E$1&amp;"-"&amp;ROW(DC88),基本資料填寫!$E:$EU,COLUMN(基本資料填寫!DH88),0),"")</f>
        <v/>
      </c>
      <c r="M91" s="166" t="str">
        <f>IFERROR(VLOOKUP(基本資料填寫!$E$1&amp;"-"&amp;ROW(DI88),基本資料填寫!$E:$EU,COLUMN(基本資料填寫!DN88),0),"")</f>
        <v/>
      </c>
      <c r="N91" s="166" t="str">
        <f>IFERROR(VLOOKUP(基本資料填寫!$E$1&amp;"-"&amp;ROW(DH88),基本資料填寫!$E:$EU,COLUMN(基本資料填寫!DM88),0),"")</f>
        <v/>
      </c>
      <c r="O91" s="166" t="str">
        <f>IFERROR(VLOOKUP(基本資料填寫!$E$1&amp;"-"&amp;ROW(DJ88),基本資料填寫!$E:$EU,COLUMN(基本資料填寫!DO88),0),"")</f>
        <v/>
      </c>
      <c r="P91" s="252"/>
      <c r="Q91" s="252"/>
      <c r="R91" s="252"/>
      <c r="S91" s="252"/>
      <c r="T91" s="166" t="str">
        <f>IFERROR(VLOOKUP(基本資料填寫!$E$1&amp;"-"&amp;ROW(DG88),基本資料填寫!$E:$EU,COLUMN(基本資料填寫!DL88),0),"")</f>
        <v/>
      </c>
      <c r="U91" s="168"/>
      <c r="V91" s="169"/>
      <c r="X91" s="168"/>
      <c r="AA91" s="168"/>
      <c r="AB91" s="168"/>
    </row>
    <row r="92" spans="1:28" ht="18.75" customHeight="1" x14ac:dyDescent="0.3">
      <c r="A92" s="169"/>
      <c r="B92" s="168"/>
      <c r="C92" s="168"/>
      <c r="D92" s="168"/>
      <c r="E92" s="166" t="str">
        <f>IFERROR(VLOOKUP(基本資料填寫!$E$1&amp;"-"&amp;ROW(CS89),基本資料填寫!$E:$EU,COLUMN(基本資料填寫!CW89),0),"")</f>
        <v/>
      </c>
      <c r="F92" s="166" t="str">
        <f>IFERROR(VLOOKUP(基本資料填寫!$E$1&amp;"-"&amp;ROW(CT89),基本資料填寫!$E:$EU,COLUMN(基本資料填寫!CX89),0),"")</f>
        <v/>
      </c>
      <c r="G92" s="166" t="str">
        <f>IFERROR(VLOOKUP(基本資料填寫!$E$1&amp;"-"&amp;ROW(CQ89),基本資料填寫!$E:$EU,COLUMN(基本資料填寫!CU89),0),"")</f>
        <v/>
      </c>
      <c r="H92" s="169"/>
      <c r="I92" s="168"/>
      <c r="J92" s="168"/>
      <c r="K92" s="166" t="str">
        <f>IFERROR(VLOOKUP(基本資料填寫!$E$1&amp;"-"&amp;ROW(DC89),基本資料填寫!$E:$EU,COLUMN(基本資料填寫!DH89),0),"")</f>
        <v/>
      </c>
      <c r="M92" s="166" t="str">
        <f>IFERROR(VLOOKUP(基本資料填寫!$E$1&amp;"-"&amp;ROW(DI89),基本資料填寫!$E:$EU,COLUMN(基本資料填寫!DN89),0),"")</f>
        <v/>
      </c>
      <c r="N92" s="166" t="str">
        <f>IFERROR(VLOOKUP(基本資料填寫!$E$1&amp;"-"&amp;ROW(DH89),基本資料填寫!$E:$EU,COLUMN(基本資料填寫!DM89),0),"")</f>
        <v/>
      </c>
      <c r="O92" s="166" t="str">
        <f>IFERROR(VLOOKUP(基本資料填寫!$E$1&amp;"-"&amp;ROW(DJ89),基本資料填寫!$E:$EU,COLUMN(基本資料填寫!DO89),0),"")</f>
        <v/>
      </c>
      <c r="P92" s="252"/>
      <c r="Q92" s="252"/>
      <c r="R92" s="252"/>
      <c r="S92" s="252"/>
      <c r="T92" s="166" t="str">
        <f>IFERROR(VLOOKUP(基本資料填寫!$E$1&amp;"-"&amp;ROW(DG89),基本資料填寫!$E:$EU,COLUMN(基本資料填寫!DL89),0),"")</f>
        <v/>
      </c>
      <c r="U92" s="168"/>
      <c r="V92" s="169"/>
      <c r="X92" s="168"/>
      <c r="AA92" s="168"/>
      <c r="AB92" s="168"/>
    </row>
    <row r="93" spans="1:28" ht="18.75" customHeight="1" x14ac:dyDescent="0.3">
      <c r="A93" s="169"/>
      <c r="B93" s="168"/>
      <c r="C93" s="168"/>
      <c r="D93" s="168"/>
      <c r="E93" s="166" t="str">
        <f>IFERROR(VLOOKUP(基本資料填寫!$E$1&amp;"-"&amp;ROW(CS90),基本資料填寫!$E:$EU,COLUMN(基本資料填寫!CW90),0),"")</f>
        <v/>
      </c>
      <c r="F93" s="166" t="str">
        <f>IFERROR(VLOOKUP(基本資料填寫!$E$1&amp;"-"&amp;ROW(CT90),基本資料填寫!$E:$EU,COLUMN(基本資料填寫!CX90),0),"")</f>
        <v/>
      </c>
      <c r="G93" s="166" t="str">
        <f>IFERROR(VLOOKUP(基本資料填寫!$E$1&amp;"-"&amp;ROW(CQ90),基本資料填寫!$E:$EU,COLUMN(基本資料填寫!CU90),0),"")</f>
        <v/>
      </c>
      <c r="H93" s="169"/>
      <c r="I93" s="168"/>
      <c r="J93" s="168"/>
      <c r="K93" s="166" t="str">
        <f>IFERROR(VLOOKUP(基本資料填寫!$E$1&amp;"-"&amp;ROW(DC90),基本資料填寫!$E:$EU,COLUMN(基本資料填寫!DH90),0),"")</f>
        <v/>
      </c>
      <c r="M93" s="166" t="str">
        <f>IFERROR(VLOOKUP(基本資料填寫!$E$1&amp;"-"&amp;ROW(DI90),基本資料填寫!$E:$EU,COLUMN(基本資料填寫!DN90),0),"")</f>
        <v/>
      </c>
      <c r="N93" s="166" t="str">
        <f>IFERROR(VLOOKUP(基本資料填寫!$E$1&amp;"-"&amp;ROW(DH90),基本資料填寫!$E:$EU,COLUMN(基本資料填寫!DM90),0),"")</f>
        <v/>
      </c>
      <c r="O93" s="166" t="str">
        <f>IFERROR(VLOOKUP(基本資料填寫!$E$1&amp;"-"&amp;ROW(DJ90),基本資料填寫!$E:$EU,COLUMN(基本資料填寫!DO90),0),"")</f>
        <v/>
      </c>
      <c r="P93" s="252"/>
      <c r="Q93" s="252"/>
      <c r="R93" s="252"/>
      <c r="S93" s="252"/>
      <c r="T93" s="166" t="str">
        <f>IFERROR(VLOOKUP(基本資料填寫!$E$1&amp;"-"&amp;ROW(DG90),基本資料填寫!$E:$EU,COLUMN(基本資料填寫!DL90),0),"")</f>
        <v/>
      </c>
      <c r="U93" s="168"/>
      <c r="V93" s="169"/>
      <c r="X93" s="168"/>
      <c r="AA93" s="168"/>
      <c r="AB93" s="168"/>
    </row>
    <row r="94" spans="1:28" ht="18.75" customHeight="1" x14ac:dyDescent="0.3">
      <c r="A94" s="169"/>
      <c r="B94" s="168"/>
      <c r="C94" s="168"/>
      <c r="D94" s="168"/>
      <c r="E94" s="166" t="str">
        <f>IFERROR(VLOOKUP(基本資料填寫!$E$1&amp;"-"&amp;ROW(CS91),基本資料填寫!$E:$EU,COLUMN(基本資料填寫!CW91),0),"")</f>
        <v/>
      </c>
      <c r="F94" s="166" t="str">
        <f>IFERROR(VLOOKUP(基本資料填寫!$E$1&amp;"-"&amp;ROW(CT91),基本資料填寫!$E:$EU,COLUMN(基本資料填寫!CX91),0),"")</f>
        <v/>
      </c>
      <c r="G94" s="166" t="str">
        <f>IFERROR(VLOOKUP(基本資料填寫!$E$1&amp;"-"&amp;ROW(CQ91),基本資料填寫!$E:$EU,COLUMN(基本資料填寫!CU91),0),"")</f>
        <v/>
      </c>
      <c r="H94" s="169"/>
      <c r="I94" s="168"/>
      <c r="J94" s="168"/>
      <c r="K94" s="166" t="str">
        <f>IFERROR(VLOOKUP(基本資料填寫!$E$1&amp;"-"&amp;ROW(DC91),基本資料填寫!$E:$EU,COLUMN(基本資料填寫!DH91),0),"")</f>
        <v/>
      </c>
      <c r="M94" s="166" t="str">
        <f>IFERROR(VLOOKUP(基本資料填寫!$E$1&amp;"-"&amp;ROW(DI91),基本資料填寫!$E:$EU,COLUMN(基本資料填寫!DN91),0),"")</f>
        <v/>
      </c>
      <c r="N94" s="166" t="str">
        <f>IFERROR(VLOOKUP(基本資料填寫!$E$1&amp;"-"&amp;ROW(DH91),基本資料填寫!$E:$EU,COLUMN(基本資料填寫!DM91),0),"")</f>
        <v/>
      </c>
      <c r="O94" s="166" t="str">
        <f>IFERROR(VLOOKUP(基本資料填寫!$E$1&amp;"-"&amp;ROW(DJ91),基本資料填寫!$E:$EU,COLUMN(基本資料填寫!DO91),0),"")</f>
        <v/>
      </c>
      <c r="P94" s="252"/>
      <c r="Q94" s="252"/>
      <c r="R94" s="252"/>
      <c r="S94" s="252"/>
      <c r="T94" s="166" t="str">
        <f>IFERROR(VLOOKUP(基本資料填寫!$E$1&amp;"-"&amp;ROW(DG91),基本資料填寫!$E:$EU,COLUMN(基本資料填寫!DL91),0),"")</f>
        <v/>
      </c>
      <c r="U94" s="168"/>
      <c r="V94" s="169"/>
      <c r="X94" s="168"/>
      <c r="AA94" s="168"/>
      <c r="AB94" s="168"/>
    </row>
    <row r="95" spans="1:28" ht="18.75" customHeight="1" x14ac:dyDescent="0.3">
      <c r="A95" s="169"/>
      <c r="B95" s="168"/>
      <c r="C95" s="168"/>
      <c r="D95" s="168"/>
      <c r="E95" s="166" t="str">
        <f>IFERROR(VLOOKUP(基本資料填寫!$E$1&amp;"-"&amp;ROW(CS92),基本資料填寫!$E:$EU,COLUMN(基本資料填寫!CW92),0),"")</f>
        <v/>
      </c>
      <c r="F95" s="166" t="str">
        <f>IFERROR(VLOOKUP(基本資料填寫!$E$1&amp;"-"&amp;ROW(CT92),基本資料填寫!$E:$EU,COLUMN(基本資料填寫!CX92),0),"")</f>
        <v/>
      </c>
      <c r="G95" s="166" t="str">
        <f>IFERROR(VLOOKUP(基本資料填寫!$E$1&amp;"-"&amp;ROW(CQ92),基本資料填寫!$E:$EU,COLUMN(基本資料填寫!CU92),0),"")</f>
        <v/>
      </c>
      <c r="H95" s="169"/>
      <c r="I95" s="168"/>
      <c r="J95" s="168"/>
      <c r="K95" s="166" t="str">
        <f>IFERROR(VLOOKUP(基本資料填寫!$E$1&amp;"-"&amp;ROW(DC92),基本資料填寫!$E:$EU,COLUMN(基本資料填寫!DH92),0),"")</f>
        <v/>
      </c>
      <c r="M95" s="166" t="str">
        <f>IFERROR(VLOOKUP(基本資料填寫!$E$1&amp;"-"&amp;ROW(DI92),基本資料填寫!$E:$EU,COLUMN(基本資料填寫!DN92),0),"")</f>
        <v/>
      </c>
      <c r="N95" s="166" t="str">
        <f>IFERROR(VLOOKUP(基本資料填寫!$E$1&amp;"-"&amp;ROW(DH92),基本資料填寫!$E:$EU,COLUMN(基本資料填寫!DM92),0),"")</f>
        <v/>
      </c>
      <c r="O95" s="166" t="str">
        <f>IFERROR(VLOOKUP(基本資料填寫!$E$1&amp;"-"&amp;ROW(DJ92),基本資料填寫!$E:$EU,COLUMN(基本資料填寫!DO92),0),"")</f>
        <v/>
      </c>
      <c r="P95" s="252"/>
      <c r="Q95" s="252"/>
      <c r="R95" s="252"/>
      <c r="S95" s="252"/>
      <c r="T95" s="166" t="str">
        <f>IFERROR(VLOOKUP(基本資料填寫!$E$1&amp;"-"&amp;ROW(DG92),基本資料填寫!$E:$EU,COLUMN(基本資料填寫!DL92),0),"")</f>
        <v/>
      </c>
      <c r="U95" s="168"/>
      <c r="V95" s="169"/>
      <c r="X95" s="168"/>
      <c r="AA95" s="168"/>
      <c r="AB95" s="168"/>
    </row>
    <row r="96" spans="1:28" ht="18.75" customHeight="1" x14ac:dyDescent="0.3">
      <c r="A96" s="169"/>
      <c r="B96" s="168"/>
      <c r="C96" s="168"/>
      <c r="D96" s="168"/>
      <c r="E96" s="166" t="str">
        <f>IFERROR(VLOOKUP(基本資料填寫!$E$1&amp;"-"&amp;ROW(CS93),基本資料填寫!$E:$EU,COLUMN(基本資料填寫!CW93),0),"")</f>
        <v/>
      </c>
      <c r="F96" s="166" t="str">
        <f>IFERROR(VLOOKUP(基本資料填寫!$E$1&amp;"-"&amp;ROW(CT93),基本資料填寫!$E:$EU,COLUMN(基本資料填寫!CX93),0),"")</f>
        <v/>
      </c>
      <c r="G96" s="166" t="str">
        <f>IFERROR(VLOOKUP(基本資料填寫!$E$1&amp;"-"&amp;ROW(CQ93),基本資料填寫!$E:$EU,COLUMN(基本資料填寫!CU93),0),"")</f>
        <v/>
      </c>
      <c r="H96" s="169"/>
      <c r="I96" s="168"/>
      <c r="J96" s="168"/>
      <c r="K96" s="166" t="str">
        <f>IFERROR(VLOOKUP(基本資料填寫!$E$1&amp;"-"&amp;ROW(DC93),基本資料填寫!$E:$EU,COLUMN(基本資料填寫!DH93),0),"")</f>
        <v/>
      </c>
      <c r="M96" s="166" t="str">
        <f>IFERROR(VLOOKUP(基本資料填寫!$E$1&amp;"-"&amp;ROW(DI93),基本資料填寫!$E:$EU,COLUMN(基本資料填寫!DN93),0),"")</f>
        <v/>
      </c>
      <c r="N96" s="166" t="str">
        <f>IFERROR(VLOOKUP(基本資料填寫!$E$1&amp;"-"&amp;ROW(DH93),基本資料填寫!$E:$EU,COLUMN(基本資料填寫!DM93),0),"")</f>
        <v/>
      </c>
      <c r="O96" s="166" t="str">
        <f>IFERROR(VLOOKUP(基本資料填寫!$E$1&amp;"-"&amp;ROW(DJ93),基本資料填寫!$E:$EU,COLUMN(基本資料填寫!DO93),0),"")</f>
        <v/>
      </c>
      <c r="P96" s="252"/>
      <c r="Q96" s="252"/>
      <c r="R96" s="252"/>
      <c r="S96" s="252"/>
      <c r="T96" s="166" t="str">
        <f>IFERROR(VLOOKUP(基本資料填寫!$E$1&amp;"-"&amp;ROW(DG93),基本資料填寫!$E:$EU,COLUMN(基本資料填寫!DL93),0),"")</f>
        <v/>
      </c>
      <c r="U96" s="168"/>
      <c r="V96" s="169"/>
      <c r="X96" s="168"/>
      <c r="AA96" s="168"/>
      <c r="AB96" s="168"/>
    </row>
    <row r="97" spans="1:28" ht="18.75" customHeight="1" x14ac:dyDescent="0.3">
      <c r="A97" s="169"/>
      <c r="B97" s="168"/>
      <c r="C97" s="168"/>
      <c r="D97" s="168"/>
      <c r="E97" s="166" t="str">
        <f>IFERROR(VLOOKUP(基本資料填寫!$E$1&amp;"-"&amp;ROW(CS94),基本資料填寫!$E:$EU,COLUMN(基本資料填寫!CW94),0),"")</f>
        <v/>
      </c>
      <c r="F97" s="166" t="str">
        <f>IFERROR(VLOOKUP(基本資料填寫!$E$1&amp;"-"&amp;ROW(CT94),基本資料填寫!$E:$EU,COLUMN(基本資料填寫!CX94),0),"")</f>
        <v/>
      </c>
      <c r="G97" s="166" t="str">
        <f>IFERROR(VLOOKUP(基本資料填寫!$E$1&amp;"-"&amp;ROW(CQ94),基本資料填寫!$E:$EU,COLUMN(基本資料填寫!CU94),0),"")</f>
        <v/>
      </c>
      <c r="H97" s="169"/>
      <c r="I97" s="168"/>
      <c r="J97" s="168"/>
      <c r="K97" s="166" t="str">
        <f>IFERROR(VLOOKUP(基本資料填寫!$E$1&amp;"-"&amp;ROW(DC94),基本資料填寫!$E:$EU,COLUMN(基本資料填寫!DH94),0),"")</f>
        <v/>
      </c>
      <c r="M97" s="166" t="str">
        <f>IFERROR(VLOOKUP(基本資料填寫!$E$1&amp;"-"&amp;ROW(DI94),基本資料填寫!$E:$EU,COLUMN(基本資料填寫!DN94),0),"")</f>
        <v/>
      </c>
      <c r="N97" s="166" t="str">
        <f>IFERROR(VLOOKUP(基本資料填寫!$E$1&amp;"-"&amp;ROW(DH94),基本資料填寫!$E:$EU,COLUMN(基本資料填寫!DM94),0),"")</f>
        <v/>
      </c>
      <c r="O97" s="166" t="str">
        <f>IFERROR(VLOOKUP(基本資料填寫!$E$1&amp;"-"&amp;ROW(DJ94),基本資料填寫!$E:$EU,COLUMN(基本資料填寫!DO94),0),"")</f>
        <v/>
      </c>
      <c r="P97" s="252"/>
      <c r="Q97" s="252"/>
      <c r="R97" s="252"/>
      <c r="S97" s="252"/>
      <c r="T97" s="166" t="str">
        <f>IFERROR(VLOOKUP(基本資料填寫!$E$1&amp;"-"&amp;ROW(DG94),基本資料填寫!$E:$EU,COLUMN(基本資料填寫!DL94),0),"")</f>
        <v/>
      </c>
      <c r="U97" s="168"/>
      <c r="V97" s="169"/>
      <c r="X97" s="168"/>
      <c r="AA97" s="168"/>
      <c r="AB97" s="168"/>
    </row>
    <row r="98" spans="1:28" ht="18.75" customHeight="1" x14ac:dyDescent="0.3">
      <c r="A98" s="169"/>
      <c r="B98" s="168"/>
      <c r="C98" s="168"/>
      <c r="D98" s="168"/>
      <c r="E98" s="166" t="str">
        <f>IFERROR(VLOOKUP(基本資料填寫!$E$1&amp;"-"&amp;ROW(CS95),基本資料填寫!$E:$EU,COLUMN(基本資料填寫!CW95),0),"")</f>
        <v/>
      </c>
      <c r="F98" s="166" t="str">
        <f>IFERROR(VLOOKUP(基本資料填寫!$E$1&amp;"-"&amp;ROW(CT95),基本資料填寫!$E:$EU,COLUMN(基本資料填寫!CX95),0),"")</f>
        <v/>
      </c>
      <c r="G98" s="166" t="str">
        <f>IFERROR(VLOOKUP(基本資料填寫!$E$1&amp;"-"&amp;ROW(CQ95),基本資料填寫!$E:$EU,COLUMN(基本資料填寫!CU95),0),"")</f>
        <v/>
      </c>
      <c r="H98" s="169"/>
      <c r="I98" s="168"/>
      <c r="J98" s="168"/>
      <c r="K98" s="166" t="str">
        <f>IFERROR(VLOOKUP(基本資料填寫!$E$1&amp;"-"&amp;ROW(DC95),基本資料填寫!$E:$EU,COLUMN(基本資料填寫!DH95),0),"")</f>
        <v/>
      </c>
      <c r="M98" s="166" t="str">
        <f>IFERROR(VLOOKUP(基本資料填寫!$E$1&amp;"-"&amp;ROW(DI95),基本資料填寫!$E:$EU,COLUMN(基本資料填寫!DN95),0),"")</f>
        <v/>
      </c>
      <c r="N98" s="166" t="str">
        <f>IFERROR(VLOOKUP(基本資料填寫!$E$1&amp;"-"&amp;ROW(DH95),基本資料填寫!$E:$EU,COLUMN(基本資料填寫!DM95),0),"")</f>
        <v/>
      </c>
      <c r="O98" s="166" t="str">
        <f>IFERROR(VLOOKUP(基本資料填寫!$E$1&amp;"-"&amp;ROW(DJ95),基本資料填寫!$E:$EU,COLUMN(基本資料填寫!DO95),0),"")</f>
        <v/>
      </c>
      <c r="P98" s="252"/>
      <c r="Q98" s="252"/>
      <c r="R98" s="252"/>
      <c r="S98" s="252"/>
      <c r="T98" s="166" t="str">
        <f>IFERROR(VLOOKUP(基本資料填寫!$E$1&amp;"-"&amp;ROW(DG95),基本資料填寫!$E:$EU,COLUMN(基本資料填寫!DL95),0),"")</f>
        <v/>
      </c>
      <c r="U98" s="168"/>
      <c r="V98" s="169"/>
      <c r="X98" s="168"/>
      <c r="AA98" s="168"/>
      <c r="AB98" s="168"/>
    </row>
    <row r="99" spans="1:28" ht="18.75" customHeight="1" x14ac:dyDescent="0.3">
      <c r="A99" s="169"/>
      <c r="B99" s="168"/>
      <c r="C99" s="168"/>
      <c r="D99" s="168"/>
      <c r="E99" s="166" t="str">
        <f>IFERROR(VLOOKUP(基本資料填寫!$E$1&amp;"-"&amp;ROW(CS96),基本資料填寫!$E:$EU,COLUMN(基本資料填寫!CW96),0),"")</f>
        <v/>
      </c>
      <c r="F99" s="166" t="str">
        <f>IFERROR(VLOOKUP(基本資料填寫!$E$1&amp;"-"&amp;ROW(CT96),基本資料填寫!$E:$EU,COLUMN(基本資料填寫!CX96),0),"")</f>
        <v/>
      </c>
      <c r="G99" s="166" t="str">
        <f>IFERROR(VLOOKUP(基本資料填寫!$E$1&amp;"-"&amp;ROW(CQ96),基本資料填寫!$E:$EU,COLUMN(基本資料填寫!CU96),0),"")</f>
        <v/>
      </c>
      <c r="H99" s="169"/>
      <c r="I99" s="168"/>
      <c r="J99" s="168"/>
      <c r="K99" s="166" t="str">
        <f>IFERROR(VLOOKUP(基本資料填寫!$E$1&amp;"-"&amp;ROW(DC96),基本資料填寫!$E:$EU,COLUMN(基本資料填寫!DH96),0),"")</f>
        <v/>
      </c>
      <c r="M99" s="166" t="str">
        <f>IFERROR(VLOOKUP(基本資料填寫!$E$1&amp;"-"&amp;ROW(DI96),基本資料填寫!$E:$EU,COLUMN(基本資料填寫!DN96),0),"")</f>
        <v/>
      </c>
      <c r="N99" s="166" t="str">
        <f>IFERROR(VLOOKUP(基本資料填寫!$E$1&amp;"-"&amp;ROW(DH96),基本資料填寫!$E:$EU,COLUMN(基本資料填寫!DM96),0),"")</f>
        <v/>
      </c>
      <c r="O99" s="166" t="str">
        <f>IFERROR(VLOOKUP(基本資料填寫!$E$1&amp;"-"&amp;ROW(DJ96),基本資料填寫!$E:$EU,COLUMN(基本資料填寫!DO96),0),"")</f>
        <v/>
      </c>
      <c r="P99" s="252"/>
      <c r="Q99" s="252"/>
      <c r="R99" s="252"/>
      <c r="S99" s="252"/>
      <c r="T99" s="166" t="str">
        <f>IFERROR(VLOOKUP(基本資料填寫!$E$1&amp;"-"&amp;ROW(DG96),基本資料填寫!$E:$EU,COLUMN(基本資料填寫!DL96),0),"")</f>
        <v/>
      </c>
      <c r="U99" s="168"/>
      <c r="V99" s="169"/>
      <c r="X99" s="168"/>
      <c r="AA99" s="168"/>
      <c r="AB99" s="168"/>
    </row>
    <row r="100" spans="1:28" ht="18.75" customHeight="1" x14ac:dyDescent="0.3">
      <c r="A100" s="169"/>
      <c r="B100" s="168"/>
      <c r="C100" s="168"/>
      <c r="D100" s="168"/>
      <c r="E100" s="166" t="str">
        <f>IFERROR(VLOOKUP(基本資料填寫!$E$1&amp;"-"&amp;ROW(CS97),基本資料填寫!$E:$EU,COLUMN(基本資料填寫!CW97),0),"")</f>
        <v/>
      </c>
      <c r="F100" s="166" t="str">
        <f>IFERROR(VLOOKUP(基本資料填寫!$E$1&amp;"-"&amp;ROW(CT97),基本資料填寫!$E:$EU,COLUMN(基本資料填寫!CX97),0),"")</f>
        <v/>
      </c>
      <c r="G100" s="166" t="str">
        <f>IFERROR(VLOOKUP(基本資料填寫!$E$1&amp;"-"&amp;ROW(CQ97),基本資料填寫!$E:$EU,COLUMN(基本資料填寫!CU97),0),"")</f>
        <v/>
      </c>
      <c r="H100" s="169"/>
      <c r="I100" s="168"/>
      <c r="J100" s="168"/>
      <c r="K100" s="166" t="str">
        <f>IFERROR(VLOOKUP(基本資料填寫!$E$1&amp;"-"&amp;ROW(DC97),基本資料填寫!$E:$EU,COLUMN(基本資料填寫!DH97),0),"")</f>
        <v/>
      </c>
      <c r="M100" s="166" t="str">
        <f>IFERROR(VLOOKUP(基本資料填寫!$E$1&amp;"-"&amp;ROW(DI97),基本資料填寫!$E:$EU,COLUMN(基本資料填寫!DN97),0),"")</f>
        <v/>
      </c>
      <c r="N100" s="166" t="str">
        <f>IFERROR(VLOOKUP(基本資料填寫!$E$1&amp;"-"&amp;ROW(DH97),基本資料填寫!$E:$EU,COLUMN(基本資料填寫!DM97),0),"")</f>
        <v/>
      </c>
      <c r="O100" s="166" t="str">
        <f>IFERROR(VLOOKUP(基本資料填寫!$E$1&amp;"-"&amp;ROW(DJ97),基本資料填寫!$E:$EU,COLUMN(基本資料填寫!DO97),0),"")</f>
        <v/>
      </c>
      <c r="P100" s="252"/>
      <c r="Q100" s="252"/>
      <c r="R100" s="252"/>
      <c r="S100" s="252"/>
      <c r="T100" s="166" t="str">
        <f>IFERROR(VLOOKUP(基本資料填寫!$E$1&amp;"-"&amp;ROW(DG97),基本資料填寫!$E:$EU,COLUMN(基本資料填寫!DL97),0),"")</f>
        <v/>
      </c>
      <c r="U100" s="168"/>
      <c r="V100" s="169"/>
      <c r="X100" s="168"/>
      <c r="AA100" s="168"/>
      <c r="AB100" s="168"/>
    </row>
    <row r="101" spans="1:28" ht="18.75" customHeight="1" x14ac:dyDescent="0.3">
      <c r="A101" s="169"/>
      <c r="B101" s="168"/>
      <c r="C101" s="168"/>
      <c r="D101" s="168"/>
      <c r="E101" s="166" t="str">
        <f>IFERROR(VLOOKUP(基本資料填寫!$E$1&amp;"-"&amp;ROW(CS98),基本資料填寫!$E:$EU,COLUMN(基本資料填寫!CW98),0),"")</f>
        <v/>
      </c>
      <c r="F101" s="166" t="str">
        <f>IFERROR(VLOOKUP(基本資料填寫!$E$1&amp;"-"&amp;ROW(CT98),基本資料填寫!$E:$EU,COLUMN(基本資料填寫!CX98),0),"")</f>
        <v/>
      </c>
      <c r="G101" s="166" t="str">
        <f>IFERROR(VLOOKUP(基本資料填寫!$E$1&amp;"-"&amp;ROW(CQ98),基本資料填寫!$E:$EU,COLUMN(基本資料填寫!CU98),0),"")</f>
        <v/>
      </c>
      <c r="H101" s="169"/>
      <c r="I101" s="168"/>
      <c r="J101" s="168"/>
      <c r="K101" s="166" t="str">
        <f>IFERROR(VLOOKUP(基本資料填寫!$E$1&amp;"-"&amp;ROW(DC98),基本資料填寫!$E:$EU,COLUMN(基本資料填寫!DH98),0),"")</f>
        <v/>
      </c>
      <c r="M101" s="166" t="str">
        <f>IFERROR(VLOOKUP(基本資料填寫!$E$1&amp;"-"&amp;ROW(DI98),基本資料填寫!$E:$EU,COLUMN(基本資料填寫!DN98),0),"")</f>
        <v/>
      </c>
      <c r="N101" s="166" t="str">
        <f>IFERROR(VLOOKUP(基本資料填寫!$E$1&amp;"-"&amp;ROW(DH98),基本資料填寫!$E:$EU,COLUMN(基本資料填寫!DM98),0),"")</f>
        <v/>
      </c>
      <c r="O101" s="166" t="str">
        <f>IFERROR(VLOOKUP(基本資料填寫!$E$1&amp;"-"&amp;ROW(DJ98),基本資料填寫!$E:$EU,COLUMN(基本資料填寫!DO98),0),"")</f>
        <v/>
      </c>
      <c r="P101" s="252"/>
      <c r="Q101" s="252"/>
      <c r="R101" s="252"/>
      <c r="S101" s="252"/>
      <c r="T101" s="166" t="str">
        <f>IFERROR(VLOOKUP(基本資料填寫!$E$1&amp;"-"&amp;ROW(DG98),基本資料填寫!$E:$EU,COLUMN(基本資料填寫!DL98),0),"")</f>
        <v/>
      </c>
      <c r="U101" s="168"/>
      <c r="V101" s="169"/>
      <c r="X101" s="168"/>
      <c r="AA101" s="168"/>
      <c r="AB101" s="168"/>
    </row>
    <row r="102" spans="1:28" ht="18.75" customHeight="1" x14ac:dyDescent="0.3">
      <c r="A102" s="169"/>
      <c r="B102" s="168"/>
      <c r="C102" s="168"/>
      <c r="D102" s="168"/>
      <c r="E102" s="166" t="str">
        <f>IFERROR(VLOOKUP(基本資料填寫!$E$1&amp;"-"&amp;ROW(CS99),基本資料填寫!$E:$EU,COLUMN(基本資料填寫!CW99),0),"")</f>
        <v/>
      </c>
      <c r="F102" s="166" t="str">
        <f>IFERROR(VLOOKUP(基本資料填寫!$E$1&amp;"-"&amp;ROW(CT99),基本資料填寫!$E:$EU,COLUMN(基本資料填寫!CX99),0),"")</f>
        <v/>
      </c>
      <c r="G102" s="166" t="str">
        <f>IFERROR(VLOOKUP(基本資料填寫!$E$1&amp;"-"&amp;ROW(CQ99),基本資料填寫!$E:$EU,COLUMN(基本資料填寫!CU99),0),"")</f>
        <v/>
      </c>
      <c r="H102" s="169"/>
      <c r="I102" s="168"/>
      <c r="J102" s="168"/>
      <c r="K102" s="166" t="str">
        <f>IFERROR(VLOOKUP(基本資料填寫!$E$1&amp;"-"&amp;ROW(DC99),基本資料填寫!$E:$EU,COLUMN(基本資料填寫!DH99),0),"")</f>
        <v/>
      </c>
      <c r="M102" s="166" t="str">
        <f>IFERROR(VLOOKUP(基本資料填寫!$E$1&amp;"-"&amp;ROW(DI99),基本資料填寫!$E:$EU,COLUMN(基本資料填寫!DN99),0),"")</f>
        <v/>
      </c>
      <c r="N102" s="166" t="str">
        <f>IFERROR(VLOOKUP(基本資料填寫!$E$1&amp;"-"&amp;ROW(DH99),基本資料填寫!$E:$EU,COLUMN(基本資料填寫!DM99),0),"")</f>
        <v/>
      </c>
      <c r="O102" s="166" t="str">
        <f>IFERROR(VLOOKUP(基本資料填寫!$E$1&amp;"-"&amp;ROW(DJ99),基本資料填寫!$E:$EU,COLUMN(基本資料填寫!DO99),0),"")</f>
        <v/>
      </c>
      <c r="P102" s="252"/>
      <c r="Q102" s="252"/>
      <c r="R102" s="252"/>
      <c r="S102" s="252"/>
      <c r="T102" s="166" t="str">
        <f>IFERROR(VLOOKUP(基本資料填寫!$E$1&amp;"-"&amp;ROW(DG99),基本資料填寫!$E:$EU,COLUMN(基本資料填寫!DL99),0),"")</f>
        <v/>
      </c>
      <c r="U102" s="168"/>
      <c r="V102" s="169"/>
      <c r="X102" s="168"/>
      <c r="AA102" s="168"/>
      <c r="AB102" s="168"/>
    </row>
    <row r="103" spans="1:28" s="121" customFormat="1" ht="18.75" customHeight="1" x14ac:dyDescent="0.3">
      <c r="A103" s="183"/>
      <c r="B103" s="170"/>
      <c r="C103" s="170"/>
      <c r="D103" s="170"/>
      <c r="E103" s="167"/>
      <c r="F103" s="167"/>
      <c r="G103" s="167"/>
      <c r="H103" s="170"/>
      <c r="I103" s="170"/>
      <c r="J103" s="170"/>
      <c r="K103" s="167"/>
      <c r="L103" s="170"/>
      <c r="M103" s="167"/>
      <c r="N103" s="167"/>
      <c r="O103" s="167"/>
      <c r="P103" s="170"/>
      <c r="Q103" s="170"/>
      <c r="R103" s="170"/>
      <c r="S103" s="170"/>
      <c r="T103" s="167"/>
      <c r="U103" s="170"/>
      <c r="V103" s="170"/>
      <c r="X103" s="170"/>
      <c r="AA103" s="170"/>
      <c r="AB103" s="170"/>
    </row>
    <row r="104" spans="1:28" ht="18.75" customHeight="1" x14ac:dyDescent="0.3">
      <c r="A104" s="169"/>
      <c r="B104" s="168"/>
      <c r="K104" s="166"/>
      <c r="L104" s="168"/>
      <c r="M104" s="166"/>
      <c r="N104" s="166"/>
      <c r="O104" s="166"/>
      <c r="P104" s="168"/>
      <c r="Q104" s="168"/>
      <c r="R104" s="168"/>
      <c r="S104" s="168"/>
      <c r="T104" s="166"/>
      <c r="U104" s="168"/>
      <c r="V104" s="168"/>
      <c r="X104" s="168"/>
      <c r="AA104" s="168"/>
      <c r="AB104" s="168"/>
    </row>
    <row r="105" spans="1:28" ht="18.75" customHeight="1" x14ac:dyDescent="0.3">
      <c r="A105" s="169"/>
      <c r="B105" s="168"/>
      <c r="J105" s="168"/>
      <c r="K105" s="166"/>
      <c r="L105" s="168"/>
      <c r="M105" s="166"/>
      <c r="N105" s="166"/>
      <c r="O105" s="166"/>
      <c r="P105" s="168"/>
      <c r="Q105" s="168"/>
      <c r="R105" s="168"/>
      <c r="S105" s="168"/>
      <c r="T105" s="166"/>
      <c r="U105" s="168"/>
      <c r="V105" s="168"/>
      <c r="X105" s="168"/>
      <c r="AA105" s="168"/>
      <c r="AB105" s="168"/>
    </row>
    <row r="106" spans="1:28" ht="18.75" customHeight="1" x14ac:dyDescent="0.3">
      <c r="A106" s="169"/>
      <c r="B106" s="168"/>
      <c r="J106" s="168"/>
      <c r="K106" s="166"/>
      <c r="L106" s="168"/>
      <c r="M106" s="166"/>
      <c r="N106" s="166"/>
      <c r="O106" s="166"/>
      <c r="P106" s="168"/>
      <c r="Q106" s="168"/>
      <c r="R106" s="168"/>
      <c r="S106" s="168"/>
      <c r="T106" s="166"/>
      <c r="U106" s="168"/>
      <c r="V106" s="168"/>
      <c r="X106" s="168"/>
      <c r="AA106" s="168"/>
      <c r="AB106" s="168"/>
    </row>
    <row r="107" spans="1:28" ht="18.75" customHeight="1" x14ac:dyDescent="0.3">
      <c r="A107" s="169"/>
      <c r="B107" s="168"/>
      <c r="J107" s="168"/>
      <c r="K107" s="166"/>
      <c r="L107" s="168"/>
      <c r="M107" s="166"/>
      <c r="N107" s="166"/>
      <c r="O107" s="166"/>
      <c r="P107" s="168"/>
      <c r="Q107" s="168"/>
      <c r="R107" s="168"/>
      <c r="S107" s="168"/>
      <c r="T107" s="166"/>
      <c r="U107" s="168"/>
      <c r="V107" s="168"/>
      <c r="X107" s="168"/>
      <c r="AA107" s="168"/>
      <c r="AB107" s="168"/>
    </row>
    <row r="108" spans="1:28" ht="18.75" customHeight="1" x14ac:dyDescent="0.3">
      <c r="A108" s="169"/>
      <c r="B108" s="168"/>
      <c r="K108" s="166"/>
      <c r="L108" s="168"/>
      <c r="M108" s="166"/>
      <c r="N108" s="166"/>
      <c r="O108" s="166"/>
      <c r="P108" s="168"/>
      <c r="Q108" s="168"/>
      <c r="R108" s="168"/>
      <c r="S108" s="168"/>
      <c r="T108" s="166"/>
      <c r="U108" s="168"/>
      <c r="V108" s="168"/>
      <c r="X108" s="168"/>
      <c r="AA108" s="168"/>
      <c r="AB108" s="168"/>
    </row>
    <row r="109" spans="1:28" ht="18.75" customHeight="1" x14ac:dyDescent="0.3">
      <c r="A109" s="169"/>
      <c r="B109" s="168"/>
      <c r="J109" s="168"/>
      <c r="K109" s="166"/>
      <c r="L109" s="168"/>
      <c r="M109" s="166"/>
      <c r="N109" s="166"/>
      <c r="O109" s="166"/>
      <c r="P109" s="168"/>
      <c r="Q109" s="168"/>
      <c r="R109" s="168"/>
      <c r="S109" s="168"/>
      <c r="T109" s="166"/>
      <c r="U109" s="168"/>
      <c r="V109" s="168"/>
      <c r="X109" s="168"/>
      <c r="AA109" s="168"/>
      <c r="AB109" s="168"/>
    </row>
    <row r="110" spans="1:28" ht="18.75" customHeight="1" x14ac:dyDescent="0.3">
      <c r="A110" s="169"/>
      <c r="B110" s="168"/>
      <c r="K110" s="166"/>
      <c r="L110" s="168"/>
      <c r="M110" s="166"/>
      <c r="N110" s="166"/>
      <c r="O110" s="166"/>
      <c r="P110" s="168"/>
      <c r="Q110" s="168"/>
      <c r="R110" s="168"/>
      <c r="S110" s="168"/>
      <c r="T110" s="166"/>
      <c r="U110" s="168"/>
      <c r="V110" s="168"/>
      <c r="X110" s="168"/>
      <c r="AA110" s="168"/>
      <c r="AB110" s="168"/>
    </row>
    <row r="111" spans="1:28" ht="18.75" customHeight="1" x14ac:dyDescent="0.3">
      <c r="A111" s="169"/>
      <c r="B111" s="168"/>
      <c r="J111" s="168"/>
      <c r="K111" s="166"/>
      <c r="L111" s="168"/>
      <c r="M111" s="166"/>
      <c r="N111" s="166"/>
      <c r="O111" s="166"/>
      <c r="P111" s="168"/>
      <c r="Q111" s="168"/>
      <c r="R111" s="168"/>
      <c r="S111" s="168"/>
      <c r="T111" s="166"/>
      <c r="U111" s="168"/>
      <c r="V111" s="168"/>
      <c r="X111" s="168"/>
      <c r="AA111" s="168"/>
      <c r="AB111" s="168"/>
    </row>
    <row r="112" spans="1:28" ht="18.75" customHeight="1" x14ac:dyDescent="0.3">
      <c r="A112" s="169"/>
      <c r="B112" s="168"/>
      <c r="K112" s="166"/>
      <c r="L112" s="168"/>
      <c r="M112" s="166"/>
      <c r="N112" s="166"/>
      <c r="O112" s="166"/>
      <c r="P112" s="168"/>
      <c r="Q112" s="168"/>
      <c r="R112" s="168"/>
      <c r="S112" s="168"/>
      <c r="T112" s="166"/>
      <c r="U112" s="168"/>
      <c r="V112" s="168"/>
      <c r="X112" s="168"/>
      <c r="AA112" s="168"/>
      <c r="AB112" s="168"/>
    </row>
    <row r="113" spans="1:28" ht="18.75" customHeight="1" x14ac:dyDescent="0.3">
      <c r="A113" s="169"/>
      <c r="B113" s="168"/>
      <c r="J113" s="168"/>
      <c r="K113" s="166"/>
      <c r="L113" s="168"/>
      <c r="M113" s="166"/>
      <c r="N113" s="166"/>
      <c r="O113" s="166"/>
      <c r="P113" s="168"/>
      <c r="Q113" s="168"/>
      <c r="R113" s="168"/>
      <c r="S113" s="168"/>
      <c r="T113" s="166"/>
      <c r="U113" s="168"/>
      <c r="V113" s="168"/>
      <c r="X113" s="168"/>
      <c r="AA113" s="168"/>
      <c r="AB113" s="168"/>
    </row>
    <row r="114" spans="1:28" ht="18.75" customHeight="1" x14ac:dyDescent="0.3">
      <c r="A114" s="169"/>
      <c r="B114" s="168"/>
      <c r="K114" s="166"/>
      <c r="L114" s="168"/>
      <c r="M114" s="166"/>
      <c r="N114" s="166"/>
      <c r="O114" s="166"/>
      <c r="P114" s="168"/>
      <c r="Q114" s="168"/>
      <c r="R114" s="168"/>
      <c r="S114" s="168"/>
      <c r="T114" s="166"/>
      <c r="U114" s="168"/>
      <c r="V114" s="168"/>
      <c r="X114" s="168"/>
      <c r="AA114" s="168"/>
      <c r="AB114" s="168"/>
    </row>
    <row r="115" spans="1:28" ht="18.75" customHeight="1" x14ac:dyDescent="0.3">
      <c r="A115" s="169"/>
      <c r="B115" s="168"/>
      <c r="J115" s="168"/>
      <c r="K115" s="166"/>
      <c r="L115" s="168"/>
      <c r="M115" s="166"/>
      <c r="N115" s="166"/>
      <c r="O115" s="166"/>
      <c r="P115" s="168"/>
      <c r="Q115" s="168"/>
      <c r="R115" s="168"/>
      <c r="S115" s="168"/>
      <c r="T115" s="166"/>
      <c r="U115" s="168"/>
      <c r="V115" s="168"/>
      <c r="X115" s="168"/>
      <c r="AA115" s="168"/>
      <c r="AB115" s="168"/>
    </row>
    <row r="116" spans="1:28" ht="18.75" customHeight="1" x14ac:dyDescent="0.3">
      <c r="A116" s="169"/>
      <c r="B116" s="168"/>
      <c r="K116" s="166"/>
      <c r="L116" s="168"/>
      <c r="M116" s="166"/>
      <c r="N116" s="166"/>
      <c r="O116" s="166"/>
      <c r="P116" s="168"/>
      <c r="Q116" s="168"/>
      <c r="R116" s="168"/>
      <c r="S116" s="168"/>
      <c r="T116" s="166"/>
      <c r="U116" s="168"/>
      <c r="V116" s="168"/>
      <c r="X116" s="168"/>
      <c r="AA116" s="168"/>
      <c r="AB116" s="168"/>
    </row>
    <row r="117" spans="1:28" ht="18.75" customHeight="1" x14ac:dyDescent="0.3">
      <c r="A117" s="169"/>
      <c r="B117" s="168"/>
      <c r="J117" s="168"/>
      <c r="K117" s="166"/>
      <c r="L117" s="168"/>
      <c r="M117" s="166"/>
      <c r="N117" s="166"/>
      <c r="O117" s="166"/>
      <c r="P117" s="168"/>
      <c r="Q117" s="168"/>
      <c r="R117" s="168"/>
      <c r="S117" s="168"/>
      <c r="T117" s="166"/>
      <c r="U117" s="168"/>
      <c r="V117" s="168"/>
      <c r="X117" s="168"/>
      <c r="AA117" s="168"/>
      <c r="AB117" s="168"/>
    </row>
    <row r="118" spans="1:28" ht="18.75" customHeight="1" x14ac:dyDescent="0.3">
      <c r="A118" s="169"/>
      <c r="B118" s="168"/>
      <c r="K118" s="166"/>
      <c r="L118" s="168"/>
      <c r="M118" s="166"/>
      <c r="N118" s="166"/>
      <c r="O118" s="166"/>
      <c r="P118" s="168"/>
      <c r="Q118" s="168"/>
      <c r="R118" s="168"/>
      <c r="S118" s="168"/>
      <c r="T118" s="166"/>
      <c r="U118" s="168"/>
      <c r="V118" s="168"/>
      <c r="X118" s="168"/>
      <c r="AA118" s="168"/>
      <c r="AB118" s="168"/>
    </row>
    <row r="119" spans="1:28" ht="18.75" customHeight="1" x14ac:dyDescent="0.3">
      <c r="A119" s="169"/>
      <c r="B119" s="168"/>
      <c r="J119" s="168"/>
      <c r="K119" s="166"/>
      <c r="L119" s="168"/>
      <c r="M119" s="166"/>
      <c r="N119" s="166"/>
      <c r="O119" s="166"/>
      <c r="P119" s="168"/>
      <c r="Q119" s="168"/>
      <c r="R119" s="168"/>
      <c r="S119" s="168"/>
      <c r="T119" s="166"/>
      <c r="U119" s="168"/>
      <c r="V119" s="168"/>
      <c r="X119" s="168"/>
      <c r="AA119" s="168"/>
      <c r="AB119" s="168"/>
    </row>
    <row r="120" spans="1:28" ht="18.75" customHeight="1" x14ac:dyDescent="0.3">
      <c r="A120" s="169"/>
      <c r="B120" s="168"/>
      <c r="K120" s="166"/>
      <c r="L120" s="168"/>
      <c r="M120" s="166"/>
      <c r="N120" s="166"/>
      <c r="O120" s="166"/>
      <c r="P120" s="168"/>
      <c r="Q120" s="168"/>
      <c r="R120" s="168"/>
      <c r="S120" s="168"/>
      <c r="T120" s="166"/>
      <c r="U120" s="168"/>
      <c r="V120" s="168"/>
      <c r="X120" s="168"/>
      <c r="AA120" s="168"/>
      <c r="AB120" s="168"/>
    </row>
    <row r="121" spans="1:28" ht="18.75" customHeight="1" x14ac:dyDescent="0.3">
      <c r="A121" s="169"/>
      <c r="B121" s="168"/>
      <c r="J121" s="168"/>
      <c r="K121" s="166"/>
      <c r="L121" s="168"/>
      <c r="M121" s="166"/>
      <c r="N121" s="166"/>
      <c r="O121" s="166"/>
      <c r="P121" s="168"/>
      <c r="Q121" s="168"/>
      <c r="R121" s="168"/>
      <c r="S121" s="168"/>
      <c r="T121" s="166"/>
      <c r="U121" s="168"/>
      <c r="V121" s="168"/>
      <c r="X121" s="168"/>
      <c r="AA121" s="168"/>
      <c r="AB121" s="168"/>
    </row>
    <row r="122" spans="1:28" ht="18.75" customHeight="1" x14ac:dyDescent="0.3">
      <c r="A122" s="169"/>
      <c r="B122" s="168"/>
      <c r="K122" s="166"/>
      <c r="L122" s="168"/>
      <c r="M122" s="166"/>
      <c r="N122" s="166"/>
      <c r="O122" s="166"/>
      <c r="P122" s="168"/>
      <c r="Q122" s="168"/>
      <c r="R122" s="168"/>
      <c r="S122" s="168"/>
      <c r="T122" s="166"/>
      <c r="U122" s="168"/>
      <c r="V122" s="168"/>
      <c r="X122" s="168"/>
      <c r="AA122" s="168"/>
      <c r="AB122" s="168"/>
    </row>
    <row r="123" spans="1:28" ht="18.75" customHeight="1" x14ac:dyDescent="0.3">
      <c r="A123" s="169"/>
      <c r="B123" s="168"/>
      <c r="J123" s="168"/>
      <c r="K123" s="166"/>
      <c r="L123" s="168"/>
      <c r="M123" s="166"/>
      <c r="N123" s="166"/>
      <c r="O123" s="166"/>
      <c r="P123" s="168"/>
      <c r="Q123" s="168"/>
      <c r="R123" s="168"/>
      <c r="S123" s="168"/>
      <c r="T123" s="166"/>
      <c r="U123" s="168"/>
      <c r="V123" s="168"/>
      <c r="X123" s="168"/>
      <c r="AA123" s="168"/>
      <c r="AB123" s="168"/>
    </row>
    <row r="124" spans="1:28" ht="18.75" customHeight="1" x14ac:dyDescent="0.3">
      <c r="A124" s="169"/>
      <c r="B124" s="168"/>
      <c r="K124" s="166"/>
      <c r="L124" s="168"/>
      <c r="M124" s="166"/>
      <c r="N124" s="166"/>
      <c r="O124" s="166"/>
      <c r="P124" s="168"/>
      <c r="Q124" s="168"/>
      <c r="R124" s="168"/>
      <c r="S124" s="168"/>
      <c r="T124" s="166"/>
      <c r="U124" s="168"/>
      <c r="V124" s="168"/>
      <c r="X124" s="168"/>
      <c r="AA124" s="168"/>
      <c r="AB124" s="168"/>
    </row>
    <row r="125" spans="1:28" ht="18.75" customHeight="1" x14ac:dyDescent="0.3">
      <c r="A125" s="169"/>
      <c r="B125" s="168"/>
      <c r="J125" s="168"/>
      <c r="K125" s="166"/>
      <c r="L125" s="168"/>
      <c r="M125" s="166"/>
      <c r="N125" s="166"/>
      <c r="O125" s="166"/>
      <c r="P125" s="168"/>
      <c r="Q125" s="168"/>
      <c r="R125" s="168"/>
      <c r="S125" s="168"/>
      <c r="T125" s="166"/>
      <c r="U125" s="168"/>
      <c r="V125" s="168"/>
      <c r="X125" s="168"/>
      <c r="AA125" s="168"/>
      <c r="AB125" s="168"/>
    </row>
    <row r="126" spans="1:28" ht="18.75" customHeight="1" x14ac:dyDescent="0.3">
      <c r="A126" s="169"/>
      <c r="B126" s="168"/>
      <c r="K126" s="166"/>
      <c r="L126" s="168"/>
      <c r="M126" s="166"/>
      <c r="N126" s="166"/>
      <c r="O126" s="166"/>
      <c r="P126" s="168"/>
      <c r="Q126" s="168"/>
      <c r="R126" s="168"/>
      <c r="S126" s="168"/>
      <c r="T126" s="166"/>
      <c r="U126" s="168"/>
      <c r="V126" s="168"/>
      <c r="X126" s="168"/>
      <c r="AA126" s="168"/>
      <c r="AB126" s="168"/>
    </row>
    <row r="127" spans="1:28" ht="18.75" customHeight="1" x14ac:dyDescent="0.3">
      <c r="A127" s="169"/>
      <c r="B127" s="168"/>
      <c r="J127" s="168"/>
      <c r="K127" s="166"/>
      <c r="L127" s="168"/>
      <c r="M127" s="166"/>
      <c r="N127" s="166"/>
      <c r="O127" s="166"/>
      <c r="P127" s="168"/>
      <c r="Q127" s="168"/>
      <c r="R127" s="168"/>
      <c r="S127" s="168"/>
      <c r="T127" s="166"/>
      <c r="U127" s="168"/>
      <c r="V127" s="168"/>
      <c r="X127" s="168"/>
      <c r="AA127" s="168"/>
      <c r="AB127" s="168"/>
    </row>
    <row r="128" spans="1:28" ht="18.75" customHeight="1" x14ac:dyDescent="0.3">
      <c r="A128" s="169"/>
      <c r="B128" s="168"/>
      <c r="K128" s="166"/>
      <c r="L128" s="168"/>
      <c r="M128" s="166"/>
      <c r="N128" s="166"/>
      <c r="O128" s="166"/>
      <c r="P128" s="168"/>
      <c r="Q128" s="168"/>
      <c r="R128" s="168"/>
      <c r="S128" s="168"/>
      <c r="T128" s="166"/>
      <c r="U128" s="168"/>
      <c r="V128" s="168"/>
      <c r="X128" s="168"/>
      <c r="AA128" s="168"/>
      <c r="AB128" s="168"/>
    </row>
    <row r="129" spans="1:28" ht="18.75" customHeight="1" x14ac:dyDescent="0.3">
      <c r="A129" s="169"/>
      <c r="B129" s="168"/>
      <c r="J129" s="168"/>
      <c r="K129" s="166"/>
      <c r="L129" s="168"/>
      <c r="M129" s="166"/>
      <c r="N129" s="166"/>
      <c r="O129" s="166"/>
      <c r="P129" s="168"/>
      <c r="Q129" s="168"/>
      <c r="R129" s="168"/>
      <c r="S129" s="168"/>
      <c r="T129" s="166"/>
      <c r="U129" s="168"/>
      <c r="V129" s="168"/>
      <c r="X129" s="168"/>
      <c r="AA129" s="168"/>
      <c r="AB129" s="168"/>
    </row>
    <row r="130" spans="1:28" ht="18.75" customHeight="1" x14ac:dyDescent="0.3">
      <c r="A130" s="169"/>
      <c r="B130" s="168"/>
      <c r="K130" s="166"/>
      <c r="L130" s="168"/>
      <c r="M130" s="166"/>
      <c r="N130" s="166"/>
      <c r="O130" s="166"/>
      <c r="P130" s="168"/>
      <c r="Q130" s="168"/>
      <c r="R130" s="168"/>
      <c r="S130" s="168"/>
      <c r="T130" s="166"/>
      <c r="U130" s="168"/>
      <c r="V130" s="168"/>
      <c r="X130" s="168"/>
      <c r="AA130" s="168"/>
      <c r="AB130" s="168"/>
    </row>
    <row r="131" spans="1:28" ht="18.75" customHeight="1" x14ac:dyDescent="0.3">
      <c r="A131" s="169"/>
      <c r="B131" s="168"/>
      <c r="J131" s="168"/>
      <c r="K131" s="166"/>
      <c r="L131" s="168"/>
      <c r="M131" s="166"/>
      <c r="N131" s="166"/>
      <c r="O131" s="166"/>
      <c r="P131" s="168"/>
      <c r="Q131" s="168"/>
      <c r="R131" s="168"/>
      <c r="S131" s="168"/>
      <c r="T131" s="166"/>
      <c r="U131" s="168"/>
      <c r="V131" s="168"/>
      <c r="X131" s="168"/>
      <c r="AA131" s="168"/>
      <c r="AB131" s="168"/>
    </row>
    <row r="132" spans="1:28" ht="18.75" customHeight="1" x14ac:dyDescent="0.3">
      <c r="A132" s="169"/>
      <c r="B132" s="168"/>
      <c r="K132" s="166"/>
      <c r="L132" s="168"/>
      <c r="M132" s="166"/>
      <c r="N132" s="166"/>
      <c r="O132" s="166"/>
      <c r="P132" s="168"/>
      <c r="Q132" s="168"/>
      <c r="R132" s="168"/>
      <c r="S132" s="168"/>
      <c r="T132" s="166"/>
      <c r="U132" s="168"/>
      <c r="V132" s="168"/>
      <c r="X132" s="168"/>
      <c r="AA132" s="168"/>
      <c r="AB132" s="168"/>
    </row>
    <row r="133" spans="1:28" ht="18.75" customHeight="1" x14ac:dyDescent="0.3">
      <c r="A133" s="169"/>
      <c r="B133" s="168"/>
      <c r="J133" s="168"/>
      <c r="K133" s="166"/>
      <c r="L133" s="168"/>
      <c r="M133" s="166"/>
      <c r="N133" s="166"/>
      <c r="O133" s="166"/>
      <c r="P133" s="168"/>
      <c r="Q133" s="168"/>
      <c r="R133" s="168"/>
      <c r="S133" s="168"/>
      <c r="T133" s="166"/>
      <c r="U133" s="168"/>
      <c r="V133" s="168"/>
      <c r="X133" s="168"/>
      <c r="AA133" s="168"/>
      <c r="AB133" s="168"/>
    </row>
    <row r="134" spans="1:28" ht="18.75" customHeight="1" x14ac:dyDescent="0.3">
      <c r="A134" s="169"/>
      <c r="B134" s="168"/>
      <c r="K134" s="166"/>
      <c r="L134" s="168"/>
      <c r="M134" s="166"/>
      <c r="N134" s="166"/>
      <c r="O134" s="166"/>
      <c r="P134" s="168"/>
      <c r="Q134" s="168"/>
      <c r="R134" s="168"/>
      <c r="S134" s="168"/>
      <c r="T134" s="166"/>
      <c r="U134" s="168"/>
      <c r="V134" s="168"/>
      <c r="X134" s="168"/>
      <c r="AA134" s="168"/>
      <c r="AB134" s="168"/>
    </row>
    <row r="135" spans="1:28" ht="18.75" customHeight="1" x14ac:dyDescent="0.3">
      <c r="A135" s="169"/>
      <c r="B135" s="168"/>
      <c r="J135" s="168"/>
      <c r="K135" s="166"/>
      <c r="L135" s="168"/>
      <c r="M135" s="166"/>
      <c r="N135" s="166"/>
      <c r="O135" s="166"/>
      <c r="P135" s="168"/>
      <c r="Q135" s="168"/>
      <c r="R135" s="168"/>
      <c r="S135" s="168"/>
      <c r="T135" s="166"/>
      <c r="U135" s="168"/>
      <c r="V135" s="168"/>
      <c r="X135" s="168"/>
      <c r="AA135" s="168"/>
      <c r="AB135" s="168"/>
    </row>
    <row r="136" spans="1:28" ht="18.75" customHeight="1" x14ac:dyDescent="0.3">
      <c r="A136" s="169"/>
      <c r="B136" s="168"/>
      <c r="J136" s="168"/>
      <c r="K136" s="166"/>
      <c r="L136" s="168"/>
      <c r="M136" s="166"/>
      <c r="N136" s="166"/>
      <c r="O136" s="166"/>
      <c r="P136" s="168"/>
      <c r="Q136" s="168"/>
      <c r="R136" s="168"/>
      <c r="S136" s="168"/>
      <c r="T136" s="166"/>
      <c r="U136" s="168"/>
      <c r="V136" s="168"/>
      <c r="X136" s="168"/>
      <c r="AA136" s="168"/>
      <c r="AB136" s="168"/>
    </row>
    <row r="137" spans="1:28" ht="18.75" customHeight="1" x14ac:dyDescent="0.3">
      <c r="A137" s="169"/>
      <c r="B137" s="168"/>
      <c r="C137" s="168"/>
      <c r="D137" s="168"/>
      <c r="E137" s="166"/>
      <c r="F137" s="166"/>
      <c r="G137" s="166"/>
      <c r="H137" s="168"/>
      <c r="I137" s="168"/>
      <c r="J137" s="168"/>
      <c r="K137" s="166"/>
      <c r="L137" s="168"/>
      <c r="M137" s="166"/>
      <c r="N137" s="166"/>
      <c r="O137" s="166"/>
      <c r="P137" s="168"/>
      <c r="Q137" s="168"/>
      <c r="R137" s="168"/>
      <c r="S137" s="168"/>
      <c r="T137" s="166"/>
      <c r="U137" s="168"/>
      <c r="V137" s="168"/>
      <c r="X137" s="168"/>
      <c r="AA137" s="168"/>
      <c r="AB137" s="168"/>
    </row>
    <row r="138" spans="1:28" ht="18.75" customHeight="1" x14ac:dyDescent="0.3">
      <c r="A138" s="169"/>
      <c r="B138" s="168"/>
      <c r="C138" s="168"/>
      <c r="D138" s="168"/>
      <c r="E138" s="166"/>
      <c r="F138" s="166"/>
      <c r="G138" s="166"/>
      <c r="H138" s="168"/>
      <c r="I138" s="168"/>
      <c r="J138" s="168"/>
      <c r="K138" s="166"/>
      <c r="L138" s="168"/>
      <c r="M138" s="166"/>
      <c r="N138" s="166"/>
      <c r="O138" s="166"/>
      <c r="P138" s="168"/>
      <c r="Q138" s="168"/>
      <c r="R138" s="168"/>
      <c r="S138" s="168"/>
      <c r="T138" s="166"/>
      <c r="U138" s="168"/>
      <c r="V138" s="168"/>
      <c r="X138" s="168"/>
      <c r="AA138" s="168"/>
      <c r="AB138" s="168"/>
    </row>
    <row r="139" spans="1:28" ht="18.75" customHeight="1" x14ac:dyDescent="0.3">
      <c r="A139" s="169"/>
      <c r="B139" s="168"/>
      <c r="C139" s="168"/>
      <c r="D139" s="168"/>
      <c r="E139" s="166"/>
      <c r="F139" s="166"/>
      <c r="G139" s="166"/>
      <c r="H139" s="168"/>
      <c r="I139" s="168"/>
      <c r="J139" s="168"/>
      <c r="K139" s="166"/>
      <c r="L139" s="168"/>
      <c r="M139" s="166"/>
      <c r="N139" s="166"/>
      <c r="O139" s="166"/>
      <c r="P139" s="168"/>
      <c r="Q139" s="168"/>
      <c r="R139" s="168"/>
      <c r="S139" s="168"/>
      <c r="T139" s="166"/>
      <c r="U139" s="168"/>
      <c r="V139" s="168"/>
      <c r="X139" s="168"/>
      <c r="AA139" s="168"/>
      <c r="AB139" s="168"/>
    </row>
    <row r="140" spans="1:28" ht="18.75" customHeight="1" x14ac:dyDescent="0.3">
      <c r="A140" s="169"/>
      <c r="B140" s="168"/>
      <c r="C140" s="168"/>
      <c r="D140" s="168"/>
      <c r="E140" s="166"/>
      <c r="F140" s="166"/>
      <c r="G140" s="166"/>
      <c r="H140" s="168"/>
      <c r="I140" s="168"/>
      <c r="J140" s="168"/>
      <c r="K140" s="166"/>
      <c r="L140" s="168"/>
      <c r="M140" s="166"/>
      <c r="N140" s="166"/>
      <c r="O140" s="166"/>
      <c r="P140" s="168"/>
      <c r="Q140" s="168"/>
      <c r="R140" s="168"/>
      <c r="S140" s="168"/>
      <c r="T140" s="166"/>
      <c r="U140" s="168"/>
      <c r="V140" s="168"/>
      <c r="X140" s="168"/>
      <c r="AA140" s="168"/>
      <c r="AB140" s="168"/>
    </row>
    <row r="141" spans="1:28" ht="18.75" customHeight="1" x14ac:dyDescent="0.3">
      <c r="A141" s="169"/>
      <c r="B141" s="168"/>
      <c r="C141" s="168"/>
      <c r="D141" s="168"/>
      <c r="E141" s="166"/>
      <c r="F141" s="166"/>
      <c r="G141" s="166"/>
      <c r="H141" s="168"/>
      <c r="I141" s="168"/>
      <c r="J141" s="168"/>
      <c r="K141" s="166"/>
      <c r="L141" s="168"/>
      <c r="M141" s="166"/>
      <c r="N141" s="166"/>
      <c r="O141" s="166"/>
      <c r="P141" s="168"/>
      <c r="Q141" s="168"/>
      <c r="R141" s="168"/>
      <c r="S141" s="168"/>
      <c r="T141" s="166"/>
      <c r="U141" s="168"/>
      <c r="V141" s="168"/>
      <c r="X141" s="168"/>
      <c r="AA141" s="168"/>
      <c r="AB141" s="168"/>
    </row>
    <row r="142" spans="1:28" ht="18.75" customHeight="1" x14ac:dyDescent="0.3">
      <c r="A142" s="169"/>
      <c r="B142" s="168"/>
      <c r="C142" s="168"/>
      <c r="D142" s="168"/>
      <c r="E142" s="166"/>
      <c r="F142" s="166"/>
      <c r="G142" s="166"/>
      <c r="H142" s="168"/>
      <c r="I142" s="168"/>
      <c r="J142" s="168"/>
      <c r="K142" s="166"/>
      <c r="L142" s="168"/>
      <c r="M142" s="166"/>
      <c r="N142" s="166"/>
      <c r="O142" s="166"/>
      <c r="P142" s="168"/>
      <c r="Q142" s="168"/>
      <c r="R142" s="168"/>
      <c r="S142" s="168"/>
      <c r="T142" s="166"/>
      <c r="U142" s="168"/>
      <c r="V142" s="168"/>
      <c r="X142" s="168"/>
      <c r="AA142" s="168"/>
      <c r="AB142" s="168"/>
    </row>
    <row r="143" spans="1:28" ht="18.75" customHeight="1" x14ac:dyDescent="0.3">
      <c r="A143" s="169"/>
      <c r="B143" s="168"/>
      <c r="C143" s="168"/>
      <c r="D143" s="168"/>
      <c r="E143" s="166"/>
      <c r="F143" s="166"/>
      <c r="G143" s="166"/>
      <c r="H143" s="168"/>
      <c r="I143" s="168"/>
      <c r="J143" s="168"/>
      <c r="K143" s="166"/>
      <c r="L143" s="168"/>
      <c r="M143" s="166"/>
      <c r="N143" s="166"/>
      <c r="O143" s="166"/>
      <c r="P143" s="168"/>
      <c r="Q143" s="168"/>
      <c r="R143" s="168"/>
      <c r="S143" s="168"/>
      <c r="T143" s="166"/>
      <c r="U143" s="168"/>
      <c r="V143" s="168"/>
      <c r="X143" s="168"/>
      <c r="AA143" s="168"/>
      <c r="AB143" s="168"/>
    </row>
    <row r="144" spans="1:28" ht="18.75" customHeight="1" x14ac:dyDescent="0.3">
      <c r="A144" s="169"/>
      <c r="B144" s="168"/>
      <c r="C144" s="168"/>
      <c r="D144" s="168"/>
      <c r="E144" s="166"/>
      <c r="F144" s="166"/>
      <c r="G144" s="166"/>
      <c r="H144" s="168"/>
      <c r="I144" s="168"/>
      <c r="J144" s="168"/>
      <c r="K144" s="166"/>
      <c r="L144" s="168"/>
      <c r="M144" s="166"/>
      <c r="N144" s="166"/>
      <c r="O144" s="166"/>
      <c r="P144" s="168"/>
      <c r="Q144" s="168"/>
      <c r="R144" s="168"/>
      <c r="S144" s="168"/>
      <c r="T144" s="166"/>
      <c r="U144" s="168"/>
      <c r="V144" s="168"/>
      <c r="X144" s="168"/>
      <c r="AA144" s="168"/>
      <c r="AB144" s="168"/>
    </row>
    <row r="145" spans="1:28" ht="18.75" customHeight="1" x14ac:dyDescent="0.3">
      <c r="A145" s="169"/>
      <c r="B145" s="168"/>
      <c r="C145" s="168"/>
      <c r="D145" s="168"/>
      <c r="E145" s="166"/>
      <c r="F145" s="166"/>
      <c r="G145" s="166"/>
      <c r="H145" s="168"/>
      <c r="I145" s="168"/>
      <c r="J145" s="168"/>
      <c r="K145" s="166"/>
      <c r="L145" s="168"/>
      <c r="M145" s="166"/>
      <c r="N145" s="166"/>
      <c r="O145" s="166"/>
      <c r="P145" s="168"/>
      <c r="Q145" s="168"/>
      <c r="R145" s="168"/>
      <c r="S145" s="168"/>
      <c r="T145" s="166"/>
      <c r="U145" s="168"/>
      <c r="V145" s="168"/>
      <c r="X145" s="168"/>
      <c r="AA145" s="168"/>
      <c r="AB145" s="168"/>
    </row>
    <row r="146" spans="1:28" ht="18.75" customHeight="1" x14ac:dyDescent="0.3">
      <c r="A146" s="169"/>
      <c r="B146" s="168"/>
      <c r="C146" s="168"/>
      <c r="D146" s="168"/>
      <c r="E146" s="166"/>
      <c r="F146" s="166"/>
      <c r="G146" s="166"/>
      <c r="H146" s="168"/>
      <c r="I146" s="168"/>
      <c r="J146" s="168"/>
      <c r="K146" s="166"/>
      <c r="L146" s="168"/>
      <c r="M146" s="166"/>
      <c r="N146" s="166"/>
      <c r="O146" s="166"/>
      <c r="P146" s="168"/>
      <c r="Q146" s="168"/>
      <c r="R146" s="168"/>
      <c r="S146" s="168"/>
      <c r="T146" s="166"/>
      <c r="U146" s="168"/>
      <c r="V146" s="168"/>
      <c r="X146" s="168"/>
      <c r="AA146" s="168"/>
      <c r="AB146" s="168"/>
    </row>
    <row r="147" spans="1:28" ht="18.75" customHeight="1" x14ac:dyDescent="0.3">
      <c r="A147" s="169"/>
      <c r="B147" s="168"/>
      <c r="C147" s="168"/>
      <c r="D147" s="168"/>
      <c r="E147" s="166"/>
      <c r="F147" s="166"/>
      <c r="G147" s="166"/>
      <c r="H147" s="168"/>
      <c r="I147" s="168"/>
      <c r="J147" s="168"/>
      <c r="K147" s="166"/>
      <c r="L147" s="168"/>
      <c r="M147" s="166"/>
      <c r="N147" s="166"/>
      <c r="O147" s="166"/>
      <c r="P147" s="168"/>
      <c r="Q147" s="168"/>
      <c r="R147" s="168"/>
      <c r="S147" s="168"/>
      <c r="T147" s="166"/>
      <c r="U147" s="168"/>
      <c r="V147" s="168"/>
      <c r="X147" s="168"/>
      <c r="AA147" s="168"/>
      <c r="AB147" s="168"/>
    </row>
    <row r="148" spans="1:28" ht="18.75" customHeight="1" x14ac:dyDescent="0.3">
      <c r="A148" s="169"/>
      <c r="B148" s="168"/>
      <c r="C148" s="168"/>
      <c r="D148" s="168"/>
      <c r="E148" s="166"/>
      <c r="F148" s="166"/>
      <c r="G148" s="166"/>
      <c r="H148" s="168"/>
      <c r="I148" s="168"/>
      <c r="J148" s="168"/>
      <c r="K148" s="166"/>
      <c r="L148" s="168"/>
      <c r="M148" s="166"/>
      <c r="N148" s="166"/>
      <c r="O148" s="166"/>
      <c r="P148" s="168"/>
      <c r="Q148" s="168"/>
      <c r="R148" s="168"/>
      <c r="S148" s="168"/>
      <c r="T148" s="166"/>
      <c r="U148" s="168"/>
      <c r="V148" s="168"/>
      <c r="X148" s="168"/>
      <c r="AA148" s="168"/>
      <c r="AB148" s="168"/>
    </row>
    <row r="149" spans="1:28" ht="18.75" customHeight="1" x14ac:dyDescent="0.3">
      <c r="A149" s="169"/>
      <c r="B149" s="168"/>
      <c r="C149" s="168"/>
      <c r="D149" s="168"/>
      <c r="E149" s="166"/>
      <c r="F149" s="166"/>
      <c r="G149" s="166"/>
      <c r="H149" s="168"/>
      <c r="I149" s="168"/>
      <c r="J149" s="168"/>
      <c r="K149" s="166"/>
      <c r="L149" s="168"/>
      <c r="M149" s="166"/>
      <c r="N149" s="166"/>
      <c r="O149" s="166"/>
      <c r="P149" s="168"/>
      <c r="Q149" s="168"/>
      <c r="R149" s="168"/>
      <c r="S149" s="168"/>
      <c r="T149" s="166"/>
      <c r="U149" s="168"/>
      <c r="V149" s="168"/>
      <c r="X149" s="168"/>
      <c r="AA149" s="168"/>
      <c r="AB149" s="168"/>
    </row>
    <row r="150" spans="1:28" ht="18.75" customHeight="1" x14ac:dyDescent="0.3">
      <c r="A150" s="169"/>
      <c r="B150" s="168"/>
      <c r="C150" s="168"/>
      <c r="D150" s="168"/>
      <c r="E150" s="166"/>
      <c r="F150" s="166"/>
      <c r="G150" s="166"/>
      <c r="H150" s="168"/>
      <c r="I150" s="168"/>
      <c r="J150" s="168"/>
      <c r="K150" s="166"/>
      <c r="L150" s="168"/>
      <c r="M150" s="166"/>
      <c r="N150" s="166"/>
      <c r="O150" s="166"/>
      <c r="P150" s="168"/>
      <c r="Q150" s="168"/>
      <c r="R150" s="168"/>
      <c r="S150" s="168"/>
      <c r="T150" s="166"/>
      <c r="U150" s="168"/>
      <c r="V150" s="168"/>
      <c r="X150" s="168"/>
      <c r="AA150" s="168"/>
      <c r="AB150" s="168"/>
    </row>
    <row r="151" spans="1:28" ht="18.75" customHeight="1" x14ac:dyDescent="0.3">
      <c r="A151" s="169"/>
      <c r="B151" s="168"/>
      <c r="C151" s="168"/>
      <c r="D151" s="168"/>
      <c r="E151" s="166"/>
      <c r="F151" s="166"/>
      <c r="G151" s="166"/>
      <c r="H151" s="168"/>
      <c r="I151" s="168"/>
      <c r="J151" s="168"/>
      <c r="K151" s="166"/>
      <c r="L151" s="168"/>
      <c r="M151" s="166"/>
      <c r="N151" s="166"/>
      <c r="O151" s="166"/>
      <c r="P151" s="168"/>
      <c r="Q151" s="168"/>
      <c r="R151" s="168"/>
      <c r="S151" s="168"/>
      <c r="T151" s="166"/>
      <c r="U151" s="168"/>
      <c r="V151" s="168"/>
      <c r="X151" s="168"/>
      <c r="AA151" s="168"/>
      <c r="AB151" s="168"/>
    </row>
    <row r="152" spans="1:28" ht="18.75" customHeight="1" x14ac:dyDescent="0.3">
      <c r="A152" s="169"/>
      <c r="B152" s="168"/>
      <c r="C152" s="168"/>
      <c r="D152" s="168"/>
      <c r="E152" s="166"/>
      <c r="F152" s="166"/>
      <c r="G152" s="166"/>
      <c r="H152" s="168"/>
      <c r="I152" s="168"/>
      <c r="J152" s="168"/>
      <c r="K152" s="166"/>
      <c r="L152" s="168"/>
      <c r="M152" s="166"/>
      <c r="N152" s="166"/>
      <c r="O152" s="166"/>
      <c r="P152" s="168"/>
      <c r="Q152" s="168"/>
      <c r="R152" s="168"/>
      <c r="S152" s="168"/>
      <c r="T152" s="166"/>
      <c r="U152" s="168"/>
      <c r="V152" s="168"/>
      <c r="X152" s="168"/>
      <c r="AA152" s="168"/>
      <c r="AB152" s="168"/>
    </row>
    <row r="153" spans="1:28" ht="18.75" customHeight="1" x14ac:dyDescent="0.3">
      <c r="A153" s="169"/>
      <c r="B153" s="168"/>
      <c r="C153" s="168"/>
      <c r="D153" s="168"/>
      <c r="E153" s="166"/>
      <c r="F153" s="166"/>
      <c r="G153" s="166"/>
      <c r="H153" s="168"/>
      <c r="I153" s="168"/>
      <c r="J153" s="168"/>
      <c r="K153" s="166"/>
      <c r="L153" s="168"/>
      <c r="M153" s="166"/>
      <c r="N153" s="166"/>
      <c r="O153" s="166"/>
      <c r="P153" s="168"/>
      <c r="Q153" s="168"/>
      <c r="R153" s="168"/>
      <c r="S153" s="168"/>
      <c r="T153" s="166"/>
      <c r="U153" s="168"/>
      <c r="V153" s="168"/>
      <c r="X153" s="168"/>
      <c r="AA153" s="168"/>
      <c r="AB153" s="168"/>
    </row>
    <row r="154" spans="1:28" ht="18.75" customHeight="1" x14ac:dyDescent="0.3">
      <c r="A154" s="169"/>
      <c r="B154" s="168"/>
      <c r="C154" s="168"/>
      <c r="D154" s="168"/>
      <c r="E154" s="166"/>
      <c r="F154" s="166"/>
      <c r="G154" s="166"/>
      <c r="H154" s="168"/>
      <c r="I154" s="168"/>
      <c r="J154" s="168"/>
      <c r="K154" s="166"/>
      <c r="L154" s="168"/>
      <c r="M154" s="166"/>
      <c r="N154" s="166"/>
      <c r="O154" s="166"/>
      <c r="P154" s="168"/>
      <c r="Q154" s="168"/>
      <c r="R154" s="168"/>
      <c r="S154" s="168"/>
      <c r="T154" s="166"/>
      <c r="U154" s="168"/>
      <c r="V154" s="168"/>
      <c r="X154" s="168"/>
      <c r="AA154" s="168"/>
      <c r="AB154" s="168"/>
    </row>
    <row r="155" spans="1:28" ht="18.75" customHeight="1" x14ac:dyDescent="0.3">
      <c r="A155" s="169"/>
      <c r="B155" s="168"/>
      <c r="C155" s="168"/>
      <c r="D155" s="168"/>
      <c r="E155" s="166"/>
      <c r="F155" s="166"/>
      <c r="G155" s="166"/>
      <c r="H155" s="168"/>
      <c r="I155" s="168"/>
      <c r="J155" s="168"/>
      <c r="K155" s="166"/>
      <c r="L155" s="168"/>
      <c r="M155" s="166"/>
      <c r="N155" s="166"/>
      <c r="O155" s="166"/>
      <c r="P155" s="168"/>
      <c r="Q155" s="168"/>
      <c r="R155" s="168"/>
      <c r="S155" s="168"/>
      <c r="T155" s="166"/>
      <c r="U155" s="168"/>
      <c r="V155" s="168"/>
      <c r="X155" s="168"/>
      <c r="AA155" s="168"/>
      <c r="AB155" s="168"/>
    </row>
    <row r="156" spans="1:28" ht="18.75" customHeight="1" x14ac:dyDescent="0.3">
      <c r="A156" s="169"/>
      <c r="B156" s="168"/>
      <c r="C156" s="168"/>
      <c r="D156" s="168"/>
      <c r="E156" s="166"/>
      <c r="F156" s="166"/>
      <c r="G156" s="166"/>
      <c r="H156" s="168"/>
      <c r="I156" s="168"/>
      <c r="J156" s="168"/>
      <c r="K156" s="166"/>
      <c r="L156" s="168"/>
      <c r="M156" s="166"/>
      <c r="N156" s="166"/>
      <c r="O156" s="166"/>
      <c r="P156" s="168"/>
      <c r="Q156" s="168"/>
      <c r="R156" s="168"/>
      <c r="S156" s="168"/>
      <c r="T156" s="166"/>
      <c r="U156" s="168"/>
      <c r="V156" s="168"/>
      <c r="X156" s="168"/>
      <c r="AA156" s="168"/>
      <c r="AB156" s="168"/>
    </row>
    <row r="157" spans="1:28" ht="18.75" customHeight="1" x14ac:dyDescent="0.3">
      <c r="A157" s="169"/>
      <c r="B157" s="168"/>
      <c r="C157" s="168"/>
      <c r="D157" s="168"/>
      <c r="E157" s="166"/>
      <c r="F157" s="166"/>
      <c r="G157" s="166"/>
      <c r="H157" s="168"/>
      <c r="I157" s="168"/>
      <c r="J157" s="168"/>
      <c r="K157" s="166"/>
      <c r="L157" s="168"/>
      <c r="M157" s="166"/>
      <c r="N157" s="166"/>
      <c r="O157" s="166"/>
      <c r="P157" s="168"/>
      <c r="Q157" s="168"/>
      <c r="R157" s="168"/>
      <c r="S157" s="168"/>
      <c r="T157" s="166"/>
      <c r="U157" s="168"/>
      <c r="V157" s="168"/>
      <c r="X157" s="168"/>
      <c r="AA157" s="168"/>
      <c r="AB157" s="168"/>
    </row>
    <row r="158" spans="1:28" ht="18.75" customHeight="1" x14ac:dyDescent="0.3">
      <c r="A158" s="169"/>
      <c r="B158" s="168"/>
      <c r="C158" s="168"/>
      <c r="D158" s="168"/>
      <c r="E158" s="166"/>
      <c r="F158" s="166"/>
      <c r="G158" s="166"/>
      <c r="H158" s="168"/>
      <c r="I158" s="168"/>
      <c r="J158" s="168"/>
      <c r="K158" s="166"/>
      <c r="L158" s="168"/>
      <c r="M158" s="166"/>
      <c r="N158" s="166"/>
      <c r="O158" s="166"/>
      <c r="P158" s="168"/>
      <c r="Q158" s="168"/>
      <c r="R158" s="168"/>
      <c r="S158" s="168"/>
      <c r="T158" s="166"/>
      <c r="U158" s="168"/>
      <c r="V158" s="168"/>
      <c r="X158" s="168"/>
      <c r="AA158" s="168"/>
      <c r="AB158" s="168"/>
    </row>
    <row r="159" spans="1:28" ht="18.75" customHeight="1" x14ac:dyDescent="0.3">
      <c r="A159" s="169"/>
      <c r="B159" s="168"/>
      <c r="C159" s="168"/>
      <c r="D159" s="168"/>
      <c r="E159" s="166"/>
      <c r="F159" s="166"/>
      <c r="G159" s="166"/>
      <c r="H159" s="168"/>
      <c r="I159" s="168"/>
      <c r="J159" s="168"/>
      <c r="K159" s="166"/>
      <c r="L159" s="168"/>
      <c r="M159" s="166"/>
      <c r="N159" s="166"/>
      <c r="O159" s="166"/>
      <c r="P159" s="168"/>
      <c r="Q159" s="168"/>
      <c r="R159" s="168"/>
      <c r="S159" s="168"/>
      <c r="T159" s="166"/>
      <c r="U159" s="168"/>
      <c r="V159" s="168"/>
      <c r="X159" s="168"/>
      <c r="AA159" s="168"/>
      <c r="AB159" s="168"/>
    </row>
    <row r="160" spans="1:28" ht="18.75" customHeight="1" x14ac:dyDescent="0.3">
      <c r="A160" s="169"/>
      <c r="B160" s="168"/>
      <c r="C160" s="168"/>
      <c r="D160" s="168"/>
      <c r="E160" s="166"/>
      <c r="F160" s="166"/>
      <c r="G160" s="166"/>
      <c r="H160" s="168"/>
      <c r="I160" s="168"/>
      <c r="J160" s="168"/>
      <c r="K160" s="166"/>
      <c r="L160" s="168"/>
      <c r="M160" s="166"/>
      <c r="N160" s="166"/>
      <c r="O160" s="166"/>
      <c r="P160" s="168"/>
      <c r="Q160" s="168"/>
      <c r="R160" s="168"/>
      <c r="S160" s="168"/>
      <c r="T160" s="166"/>
      <c r="U160" s="168"/>
      <c r="V160" s="168"/>
      <c r="X160" s="168"/>
      <c r="AA160" s="168"/>
      <c r="AB160" s="168"/>
    </row>
    <row r="161" spans="1:28" ht="18.75" customHeight="1" x14ac:dyDescent="0.3">
      <c r="A161" s="169"/>
      <c r="B161" s="168"/>
      <c r="C161" s="168"/>
      <c r="D161" s="168"/>
      <c r="E161" s="166"/>
      <c r="F161" s="166"/>
      <c r="G161" s="166"/>
      <c r="H161" s="168"/>
      <c r="I161" s="168"/>
      <c r="J161" s="168"/>
      <c r="K161" s="166"/>
      <c r="L161" s="168"/>
      <c r="M161" s="166"/>
      <c r="N161" s="166"/>
      <c r="O161" s="166"/>
      <c r="P161" s="168"/>
      <c r="Q161" s="168"/>
      <c r="R161" s="168"/>
      <c r="S161" s="168"/>
      <c r="T161" s="166"/>
      <c r="U161" s="168"/>
      <c r="V161" s="168"/>
      <c r="X161" s="168"/>
      <c r="AA161" s="168"/>
      <c r="AB161" s="168"/>
    </row>
    <row r="162" spans="1:28" ht="18.75" customHeight="1" x14ac:dyDescent="0.3">
      <c r="A162" s="169"/>
      <c r="B162" s="168"/>
      <c r="C162" s="168"/>
      <c r="D162" s="168"/>
      <c r="E162" s="166"/>
      <c r="F162" s="166"/>
      <c r="G162" s="166"/>
      <c r="H162" s="168"/>
      <c r="I162" s="168"/>
      <c r="J162" s="168"/>
      <c r="K162" s="166"/>
      <c r="L162" s="168"/>
      <c r="M162" s="166"/>
      <c r="N162" s="166"/>
      <c r="O162" s="166"/>
      <c r="P162" s="168"/>
      <c r="Q162" s="168"/>
      <c r="R162" s="168"/>
      <c r="S162" s="168"/>
      <c r="T162" s="166"/>
      <c r="U162" s="168"/>
      <c r="V162" s="168"/>
      <c r="X162" s="168"/>
      <c r="AA162" s="168"/>
      <c r="AB162" s="168"/>
    </row>
    <row r="163" spans="1:28" ht="18.75" customHeight="1" x14ac:dyDescent="0.3">
      <c r="A163" s="169"/>
      <c r="B163" s="168"/>
      <c r="C163" s="168"/>
      <c r="D163" s="168"/>
      <c r="E163" s="166"/>
      <c r="F163" s="166"/>
      <c r="G163" s="166"/>
      <c r="H163" s="168"/>
      <c r="I163" s="168"/>
      <c r="J163" s="168"/>
      <c r="K163" s="166"/>
      <c r="L163" s="168"/>
      <c r="M163" s="166"/>
      <c r="N163" s="166"/>
      <c r="O163" s="166"/>
      <c r="P163" s="168"/>
      <c r="Q163" s="168"/>
      <c r="R163" s="168"/>
      <c r="S163" s="168"/>
      <c r="T163" s="166"/>
      <c r="U163" s="168"/>
      <c r="V163" s="168"/>
      <c r="X163" s="168"/>
      <c r="AA163" s="168"/>
      <c r="AB163" s="168"/>
    </row>
    <row r="164" spans="1:28" ht="18.75" customHeight="1" x14ac:dyDescent="0.3">
      <c r="A164" s="169"/>
      <c r="B164" s="168"/>
      <c r="C164" s="168"/>
      <c r="D164" s="168"/>
      <c r="E164" s="166"/>
      <c r="F164" s="166"/>
      <c r="G164" s="166"/>
      <c r="H164" s="168"/>
      <c r="I164" s="168"/>
      <c r="J164" s="168"/>
      <c r="K164" s="166"/>
      <c r="L164" s="168"/>
      <c r="M164" s="166"/>
      <c r="N164" s="166"/>
      <c r="O164" s="166"/>
      <c r="P164" s="168"/>
      <c r="Q164" s="168"/>
      <c r="R164" s="168"/>
      <c r="S164" s="168"/>
      <c r="T164" s="166"/>
      <c r="U164" s="168"/>
      <c r="V164" s="168"/>
      <c r="X164" s="168"/>
      <c r="AA164" s="168"/>
      <c r="AB164" s="168"/>
    </row>
    <row r="165" spans="1:28" ht="18.75" customHeight="1" x14ac:dyDescent="0.3">
      <c r="A165" s="169"/>
      <c r="B165" s="168"/>
      <c r="C165" s="168"/>
      <c r="D165" s="168"/>
      <c r="E165" s="166"/>
      <c r="F165" s="166"/>
      <c r="G165" s="166"/>
      <c r="H165" s="168"/>
      <c r="I165" s="168"/>
      <c r="J165" s="168"/>
      <c r="K165" s="166"/>
      <c r="L165" s="168"/>
      <c r="M165" s="166"/>
      <c r="N165" s="166"/>
      <c r="O165" s="166"/>
      <c r="P165" s="168"/>
      <c r="Q165" s="168"/>
      <c r="R165" s="168"/>
      <c r="S165" s="168"/>
      <c r="T165" s="166"/>
      <c r="U165" s="168"/>
      <c r="V165" s="168"/>
      <c r="X165" s="168"/>
      <c r="AA165" s="168"/>
      <c r="AB165" s="168"/>
    </row>
    <row r="166" spans="1:28" ht="18.75" customHeight="1" x14ac:dyDescent="0.3">
      <c r="A166" s="169"/>
      <c r="B166" s="168"/>
      <c r="C166" s="168"/>
      <c r="D166" s="168"/>
      <c r="E166" s="166"/>
      <c r="F166" s="166"/>
      <c r="G166" s="166"/>
      <c r="H166" s="168"/>
      <c r="I166" s="168"/>
      <c r="J166" s="168"/>
      <c r="K166" s="166"/>
      <c r="L166" s="168"/>
      <c r="M166" s="166"/>
      <c r="N166" s="166"/>
      <c r="O166" s="166"/>
      <c r="P166" s="168"/>
      <c r="Q166" s="168"/>
      <c r="R166" s="168"/>
      <c r="S166" s="168"/>
      <c r="T166" s="166"/>
      <c r="U166" s="168"/>
      <c r="V166" s="168"/>
      <c r="X166" s="168"/>
      <c r="AA166" s="168"/>
      <c r="AB166" s="168"/>
    </row>
    <row r="167" spans="1:28" ht="18.75" customHeight="1" x14ac:dyDescent="0.3">
      <c r="A167" s="169"/>
      <c r="B167" s="168"/>
      <c r="C167" s="168"/>
      <c r="D167" s="168"/>
      <c r="E167" s="166"/>
      <c r="F167" s="166"/>
      <c r="G167" s="166"/>
      <c r="H167" s="168"/>
      <c r="I167" s="168"/>
      <c r="J167" s="168"/>
      <c r="K167" s="166"/>
      <c r="L167" s="168"/>
      <c r="M167" s="166"/>
      <c r="N167" s="166"/>
      <c r="O167" s="166"/>
      <c r="P167" s="168"/>
      <c r="Q167" s="168"/>
      <c r="R167" s="168"/>
      <c r="S167" s="168"/>
      <c r="T167" s="166"/>
      <c r="U167" s="168"/>
      <c r="V167" s="168"/>
      <c r="X167" s="168"/>
      <c r="AA167" s="168"/>
      <c r="AB167" s="168"/>
    </row>
    <row r="168" spans="1:28" ht="18.75" customHeight="1" x14ac:dyDescent="0.3">
      <c r="A168" s="169"/>
      <c r="B168" s="168"/>
      <c r="C168" s="168"/>
      <c r="D168" s="168"/>
      <c r="E168" s="166"/>
      <c r="F168" s="166"/>
      <c r="G168" s="166"/>
      <c r="H168" s="168"/>
      <c r="I168" s="168"/>
      <c r="J168" s="168"/>
      <c r="K168" s="166"/>
      <c r="L168" s="168"/>
      <c r="M168" s="166"/>
      <c r="N168" s="166"/>
      <c r="O168" s="166"/>
      <c r="P168" s="168"/>
      <c r="Q168" s="168"/>
      <c r="R168" s="168"/>
      <c r="S168" s="168"/>
      <c r="T168" s="166"/>
      <c r="U168" s="168"/>
      <c r="V168" s="168"/>
      <c r="X168" s="168"/>
      <c r="AA168" s="168"/>
      <c r="AB168" s="168"/>
    </row>
    <row r="169" spans="1:28" ht="18.75" customHeight="1" x14ac:dyDescent="0.3">
      <c r="A169" s="169"/>
      <c r="B169" s="168"/>
      <c r="C169" s="168"/>
      <c r="D169" s="168"/>
      <c r="E169" s="166"/>
      <c r="F169" s="166"/>
      <c r="G169" s="166"/>
      <c r="H169" s="168"/>
      <c r="I169" s="168"/>
      <c r="J169" s="168"/>
      <c r="K169" s="166"/>
      <c r="L169" s="168"/>
      <c r="M169" s="166"/>
      <c r="N169" s="166"/>
      <c r="O169" s="166"/>
      <c r="P169" s="168"/>
      <c r="Q169" s="168"/>
      <c r="R169" s="168"/>
      <c r="S169" s="168"/>
      <c r="T169" s="166"/>
      <c r="U169" s="168"/>
      <c r="V169" s="168"/>
      <c r="X169" s="168"/>
      <c r="AA169" s="168"/>
      <c r="AB169" s="168"/>
    </row>
    <row r="170" spans="1:28" ht="18.75" customHeight="1" x14ac:dyDescent="0.3">
      <c r="A170" s="169"/>
      <c r="B170" s="168"/>
      <c r="C170" s="168"/>
      <c r="D170" s="168"/>
      <c r="E170" s="166"/>
      <c r="F170" s="166"/>
      <c r="G170" s="166"/>
      <c r="H170" s="168"/>
      <c r="I170" s="168"/>
      <c r="J170" s="168"/>
      <c r="K170" s="166"/>
      <c r="L170" s="168"/>
      <c r="M170" s="166"/>
      <c r="N170" s="166"/>
      <c r="O170" s="166"/>
      <c r="P170" s="168"/>
      <c r="Q170" s="168"/>
      <c r="R170" s="168"/>
      <c r="S170" s="168"/>
      <c r="T170" s="166"/>
      <c r="U170" s="168"/>
      <c r="V170" s="168"/>
      <c r="X170" s="168"/>
      <c r="AA170" s="168"/>
      <c r="AB170" s="168"/>
    </row>
    <row r="171" spans="1:28" ht="18.75" customHeight="1" x14ac:dyDescent="0.3">
      <c r="A171" s="169"/>
      <c r="B171" s="168"/>
      <c r="C171" s="168"/>
      <c r="D171" s="168"/>
      <c r="E171" s="166"/>
      <c r="F171" s="166"/>
      <c r="G171" s="166"/>
      <c r="H171" s="168"/>
      <c r="I171" s="168"/>
      <c r="J171" s="168"/>
      <c r="K171" s="166"/>
      <c r="L171" s="168"/>
      <c r="M171" s="166"/>
      <c r="N171" s="166"/>
      <c r="O171" s="166"/>
      <c r="P171" s="168"/>
      <c r="Q171" s="168"/>
      <c r="R171" s="168"/>
      <c r="S171" s="168"/>
      <c r="T171" s="166"/>
      <c r="U171" s="168"/>
      <c r="V171" s="168"/>
      <c r="X171" s="168"/>
      <c r="AA171" s="168"/>
      <c r="AB171" s="168"/>
    </row>
    <row r="172" spans="1:28" ht="18.75" customHeight="1" x14ac:dyDescent="0.3">
      <c r="A172" s="169"/>
      <c r="B172" s="168"/>
      <c r="C172" s="168"/>
      <c r="D172" s="168"/>
      <c r="E172" s="166"/>
      <c r="F172" s="166"/>
      <c r="G172" s="166"/>
      <c r="H172" s="168"/>
      <c r="I172" s="168"/>
      <c r="J172" s="168"/>
      <c r="K172" s="166"/>
      <c r="L172" s="168"/>
      <c r="M172" s="166"/>
      <c r="N172" s="166"/>
      <c r="O172" s="166"/>
      <c r="P172" s="168"/>
      <c r="Q172" s="168"/>
      <c r="R172" s="168"/>
      <c r="S172" s="168"/>
      <c r="T172" s="166"/>
      <c r="U172" s="168"/>
      <c r="V172" s="168"/>
      <c r="X172" s="168"/>
      <c r="AA172" s="168"/>
      <c r="AB172" s="168"/>
    </row>
    <row r="173" spans="1:28" ht="18.75" customHeight="1" x14ac:dyDescent="0.3">
      <c r="A173" s="169"/>
      <c r="B173" s="168"/>
      <c r="C173" s="168"/>
      <c r="D173" s="168"/>
      <c r="E173" s="166"/>
      <c r="F173" s="166"/>
      <c r="G173" s="166"/>
      <c r="H173" s="168"/>
      <c r="I173" s="168"/>
      <c r="J173" s="168"/>
      <c r="K173" s="166"/>
      <c r="L173" s="168"/>
      <c r="M173" s="166"/>
      <c r="N173" s="166"/>
      <c r="O173" s="166"/>
      <c r="P173" s="168"/>
      <c r="Q173" s="168"/>
      <c r="R173" s="168"/>
      <c r="S173" s="168"/>
      <c r="T173" s="166"/>
      <c r="U173" s="168"/>
      <c r="V173" s="168"/>
      <c r="X173" s="168"/>
      <c r="AA173" s="168"/>
      <c r="AB173" s="168"/>
    </row>
    <row r="174" spans="1:28" ht="18.75" customHeight="1" x14ac:dyDescent="0.3">
      <c r="A174" s="169"/>
      <c r="B174" s="168"/>
      <c r="C174" s="168"/>
      <c r="D174" s="168"/>
      <c r="E174" s="166"/>
      <c r="F174" s="166"/>
      <c r="G174" s="166"/>
      <c r="H174" s="168"/>
      <c r="I174" s="168"/>
      <c r="J174" s="168"/>
      <c r="K174" s="166"/>
      <c r="L174" s="168"/>
      <c r="M174" s="166"/>
      <c r="N174" s="166"/>
      <c r="O174" s="166"/>
      <c r="P174" s="168"/>
      <c r="Q174" s="168"/>
      <c r="R174" s="168"/>
      <c r="S174" s="168"/>
      <c r="T174" s="166"/>
      <c r="U174" s="168"/>
      <c r="V174" s="168"/>
      <c r="X174" s="168"/>
      <c r="AA174" s="168"/>
      <c r="AB174" s="168"/>
    </row>
    <row r="175" spans="1:28" ht="18.75" customHeight="1" x14ac:dyDescent="0.3">
      <c r="A175" s="169"/>
      <c r="B175" s="168"/>
      <c r="C175" s="168"/>
      <c r="D175" s="168"/>
      <c r="E175" s="166"/>
      <c r="F175" s="166"/>
      <c r="G175" s="166"/>
      <c r="H175" s="168"/>
      <c r="I175" s="168"/>
      <c r="J175" s="168"/>
      <c r="K175" s="166"/>
      <c r="L175" s="168"/>
      <c r="M175" s="166"/>
      <c r="N175" s="166"/>
      <c r="O175" s="166"/>
      <c r="P175" s="168"/>
      <c r="Q175" s="168"/>
      <c r="R175" s="168"/>
      <c r="S175" s="168"/>
      <c r="T175" s="166"/>
      <c r="U175" s="168"/>
      <c r="V175" s="168"/>
      <c r="X175" s="168"/>
      <c r="AA175" s="168"/>
      <c r="AB175" s="168"/>
    </row>
    <row r="176" spans="1:28" ht="18.75" customHeight="1" x14ac:dyDescent="0.3">
      <c r="A176" s="169"/>
      <c r="B176" s="168"/>
      <c r="C176" s="168"/>
      <c r="D176" s="168"/>
      <c r="E176" s="166"/>
      <c r="F176" s="166"/>
      <c r="G176" s="166"/>
      <c r="H176" s="168"/>
      <c r="I176" s="168"/>
      <c r="J176" s="168"/>
      <c r="K176" s="166"/>
      <c r="L176" s="168"/>
      <c r="M176" s="166"/>
      <c r="N176" s="166"/>
      <c r="O176" s="166"/>
      <c r="P176" s="168"/>
      <c r="Q176" s="168"/>
      <c r="R176" s="168"/>
      <c r="S176" s="168"/>
      <c r="T176" s="166"/>
      <c r="U176" s="168"/>
      <c r="V176" s="168"/>
      <c r="X176" s="168"/>
      <c r="AA176" s="168"/>
      <c r="AB176" s="168"/>
    </row>
    <row r="177" spans="1:28" ht="18.75" customHeight="1" x14ac:dyDescent="0.3">
      <c r="A177" s="169"/>
      <c r="B177" s="168"/>
      <c r="C177" s="168"/>
      <c r="D177" s="168"/>
      <c r="E177" s="166"/>
      <c r="F177" s="166"/>
      <c r="G177" s="166"/>
      <c r="H177" s="168"/>
      <c r="I177" s="168"/>
      <c r="J177" s="168"/>
      <c r="K177" s="166"/>
      <c r="L177" s="168"/>
      <c r="M177" s="166"/>
      <c r="N177" s="166"/>
      <c r="O177" s="166"/>
      <c r="P177" s="168"/>
      <c r="Q177" s="168"/>
      <c r="R177" s="168"/>
      <c r="S177" s="168"/>
      <c r="T177" s="166"/>
      <c r="U177" s="168"/>
      <c r="V177" s="168"/>
      <c r="X177" s="168"/>
      <c r="AA177" s="168"/>
      <c r="AB177" s="168"/>
    </row>
    <row r="178" spans="1:28" ht="18.75" customHeight="1" x14ac:dyDescent="0.3">
      <c r="A178" s="169"/>
      <c r="B178" s="168"/>
      <c r="C178" s="168"/>
      <c r="D178" s="168"/>
      <c r="E178" s="166"/>
      <c r="F178" s="166"/>
      <c r="G178" s="166"/>
      <c r="H178" s="168"/>
      <c r="I178" s="168"/>
      <c r="J178" s="168"/>
      <c r="K178" s="166"/>
      <c r="L178" s="168"/>
      <c r="M178" s="166"/>
      <c r="N178" s="166"/>
      <c r="O178" s="166"/>
      <c r="P178" s="168"/>
      <c r="Q178" s="168"/>
      <c r="R178" s="168"/>
      <c r="S178" s="168"/>
      <c r="T178" s="166"/>
      <c r="U178" s="168"/>
      <c r="V178" s="168"/>
      <c r="X178" s="168"/>
      <c r="AA178" s="168"/>
      <c r="AB178" s="168"/>
    </row>
    <row r="179" spans="1:28" ht="18.75" customHeight="1" x14ac:dyDescent="0.3">
      <c r="A179" s="169"/>
      <c r="B179" s="168"/>
      <c r="C179" s="168"/>
      <c r="D179" s="168"/>
      <c r="E179" s="166"/>
      <c r="F179" s="166"/>
      <c r="G179" s="166"/>
      <c r="H179" s="168"/>
      <c r="I179" s="168"/>
      <c r="J179" s="168"/>
      <c r="K179" s="166"/>
      <c r="L179" s="168"/>
      <c r="M179" s="166"/>
      <c r="N179" s="166"/>
      <c r="O179" s="166"/>
      <c r="P179" s="168"/>
      <c r="Q179" s="168"/>
      <c r="R179" s="168"/>
      <c r="S179" s="168"/>
      <c r="T179" s="166"/>
      <c r="U179" s="168"/>
      <c r="V179" s="168"/>
      <c r="X179" s="168"/>
      <c r="AA179" s="168"/>
      <c r="AB179" s="168"/>
    </row>
    <row r="180" spans="1:28" ht="18.75" customHeight="1" x14ac:dyDescent="0.3">
      <c r="A180" s="169"/>
      <c r="B180" s="168"/>
      <c r="C180" s="168"/>
      <c r="D180" s="168"/>
      <c r="E180" s="166"/>
      <c r="F180" s="166"/>
      <c r="G180" s="166"/>
      <c r="H180" s="168"/>
      <c r="I180" s="168"/>
      <c r="J180" s="168"/>
      <c r="K180" s="166"/>
      <c r="L180" s="168"/>
      <c r="M180" s="166"/>
      <c r="N180" s="166"/>
      <c r="O180" s="166"/>
      <c r="P180" s="168"/>
      <c r="Q180" s="168"/>
      <c r="R180" s="168"/>
      <c r="S180" s="168"/>
      <c r="T180" s="166"/>
      <c r="U180" s="168"/>
      <c r="V180" s="168"/>
      <c r="X180" s="168"/>
      <c r="AA180" s="168"/>
      <c r="AB180" s="168"/>
    </row>
    <row r="181" spans="1:28" ht="18.75" customHeight="1" x14ac:dyDescent="0.3">
      <c r="A181" s="169"/>
      <c r="B181" s="168"/>
      <c r="C181" s="168"/>
      <c r="D181" s="168"/>
      <c r="E181" s="166"/>
      <c r="F181" s="166"/>
      <c r="G181" s="166"/>
      <c r="H181" s="168"/>
      <c r="I181" s="168"/>
      <c r="J181" s="168"/>
      <c r="K181" s="166"/>
      <c r="L181" s="168"/>
      <c r="M181" s="166"/>
      <c r="N181" s="166"/>
      <c r="O181" s="166"/>
      <c r="P181" s="168"/>
      <c r="Q181" s="168"/>
      <c r="R181" s="168"/>
      <c r="S181" s="168"/>
      <c r="T181" s="166"/>
      <c r="U181" s="168"/>
      <c r="V181" s="168"/>
      <c r="X181" s="168"/>
      <c r="AA181" s="168"/>
      <c r="AB181" s="168"/>
    </row>
    <row r="182" spans="1:28" ht="18.75" customHeight="1" x14ac:dyDescent="0.3">
      <c r="A182" s="169"/>
      <c r="B182" s="168"/>
      <c r="C182" s="168"/>
      <c r="D182" s="168"/>
      <c r="E182" s="166"/>
      <c r="F182" s="166"/>
      <c r="G182" s="166"/>
      <c r="H182" s="168"/>
      <c r="I182" s="168"/>
      <c r="J182" s="168"/>
      <c r="K182" s="166"/>
      <c r="L182" s="168"/>
      <c r="M182" s="166"/>
      <c r="N182" s="166"/>
      <c r="O182" s="166"/>
      <c r="P182" s="168"/>
      <c r="Q182" s="168"/>
      <c r="R182" s="168"/>
      <c r="S182" s="168"/>
      <c r="T182" s="166"/>
      <c r="U182" s="168"/>
      <c r="V182" s="168"/>
      <c r="X182" s="168"/>
      <c r="AA182" s="168"/>
      <c r="AB182" s="168"/>
    </row>
    <row r="183" spans="1:28" ht="18.75" customHeight="1" x14ac:dyDescent="0.3">
      <c r="A183" s="169"/>
      <c r="B183" s="168"/>
      <c r="C183" s="168"/>
      <c r="D183" s="168"/>
      <c r="E183" s="166"/>
      <c r="F183" s="166"/>
      <c r="G183" s="166"/>
      <c r="H183" s="168"/>
      <c r="I183" s="168"/>
      <c r="J183" s="168"/>
      <c r="K183" s="166"/>
      <c r="L183" s="168"/>
      <c r="M183" s="166"/>
      <c r="N183" s="166"/>
      <c r="O183" s="166"/>
      <c r="P183" s="168"/>
      <c r="Q183" s="168"/>
      <c r="R183" s="168"/>
      <c r="S183" s="168"/>
      <c r="T183" s="166"/>
      <c r="U183" s="168"/>
      <c r="V183" s="168"/>
      <c r="X183" s="168"/>
      <c r="AA183" s="168"/>
      <c r="AB183" s="168"/>
    </row>
    <row r="184" spans="1:28" ht="18.75" customHeight="1" x14ac:dyDescent="0.3">
      <c r="A184" s="169"/>
      <c r="B184" s="168"/>
      <c r="C184" s="168"/>
      <c r="D184" s="168"/>
      <c r="E184" s="166"/>
      <c r="F184" s="166"/>
      <c r="G184" s="166"/>
      <c r="H184" s="168"/>
      <c r="I184" s="168"/>
      <c r="J184" s="168"/>
      <c r="K184" s="166"/>
      <c r="L184" s="168"/>
      <c r="M184" s="166"/>
      <c r="N184" s="166"/>
      <c r="O184" s="166"/>
      <c r="P184" s="168"/>
      <c r="Q184" s="168"/>
      <c r="R184" s="168"/>
      <c r="S184" s="168"/>
      <c r="T184" s="166"/>
      <c r="U184" s="168"/>
      <c r="V184" s="168"/>
      <c r="X184" s="168"/>
      <c r="AA184" s="168"/>
      <c r="AB184" s="168"/>
    </row>
    <row r="185" spans="1:28" ht="18.75" customHeight="1" x14ac:dyDescent="0.3">
      <c r="A185" s="169"/>
      <c r="B185" s="168"/>
      <c r="C185" s="168"/>
      <c r="D185" s="168"/>
      <c r="E185" s="166"/>
      <c r="F185" s="166"/>
      <c r="G185" s="166"/>
      <c r="H185" s="168"/>
      <c r="I185" s="168"/>
      <c r="J185" s="168"/>
      <c r="K185" s="166"/>
      <c r="L185" s="168"/>
      <c r="M185" s="166"/>
      <c r="N185" s="166"/>
      <c r="O185" s="166"/>
      <c r="P185" s="168"/>
      <c r="Q185" s="168"/>
      <c r="R185" s="168"/>
      <c r="S185" s="168"/>
      <c r="T185" s="166"/>
      <c r="U185" s="168"/>
      <c r="V185" s="168"/>
      <c r="X185" s="168"/>
      <c r="AA185" s="168"/>
      <c r="AB185" s="168"/>
    </row>
    <row r="186" spans="1:28" ht="18.75" customHeight="1" x14ac:dyDescent="0.3">
      <c r="A186" s="169"/>
      <c r="B186" s="168"/>
      <c r="C186" s="168"/>
      <c r="D186" s="168"/>
      <c r="E186" s="166"/>
      <c r="F186" s="166"/>
      <c r="G186" s="166"/>
      <c r="H186" s="168"/>
      <c r="I186" s="168"/>
      <c r="J186" s="168"/>
      <c r="K186" s="166"/>
      <c r="L186" s="168"/>
      <c r="M186" s="166"/>
      <c r="N186" s="166"/>
      <c r="O186" s="166"/>
      <c r="P186" s="168"/>
      <c r="Q186" s="168"/>
      <c r="R186" s="168"/>
      <c r="S186" s="168"/>
      <c r="T186" s="166"/>
      <c r="U186" s="168"/>
      <c r="V186" s="168"/>
      <c r="X186" s="168"/>
      <c r="AA186" s="168"/>
      <c r="AB186" s="168"/>
    </row>
    <row r="187" spans="1:28" ht="18.75" customHeight="1" x14ac:dyDescent="0.3">
      <c r="A187" s="169"/>
      <c r="B187" s="168"/>
      <c r="C187" s="168"/>
      <c r="D187" s="168"/>
      <c r="E187" s="166"/>
      <c r="F187" s="166"/>
      <c r="G187" s="166"/>
      <c r="H187" s="168"/>
      <c r="I187" s="168"/>
      <c r="J187" s="168"/>
      <c r="K187" s="166"/>
      <c r="L187" s="168"/>
      <c r="M187" s="166"/>
      <c r="N187" s="166"/>
      <c r="O187" s="166"/>
      <c r="P187" s="168"/>
      <c r="Q187" s="168"/>
      <c r="R187" s="168"/>
      <c r="S187" s="168"/>
      <c r="T187" s="166"/>
      <c r="U187" s="168"/>
      <c r="V187" s="168"/>
      <c r="X187" s="168"/>
      <c r="AA187" s="168"/>
      <c r="AB187" s="168"/>
    </row>
    <row r="188" spans="1:28" ht="18.75" customHeight="1" x14ac:dyDescent="0.3">
      <c r="A188" s="169"/>
      <c r="B188" s="168"/>
      <c r="C188" s="168"/>
      <c r="D188" s="168"/>
      <c r="E188" s="166"/>
      <c r="F188" s="166"/>
      <c r="G188" s="166"/>
      <c r="H188" s="168"/>
      <c r="I188" s="168"/>
      <c r="J188" s="168"/>
      <c r="K188" s="166"/>
      <c r="L188" s="168"/>
      <c r="M188" s="166"/>
      <c r="N188" s="166"/>
      <c r="O188" s="166"/>
      <c r="P188" s="168"/>
      <c r="Q188" s="168"/>
      <c r="R188" s="168"/>
      <c r="S188" s="168"/>
      <c r="T188" s="166"/>
      <c r="U188" s="168"/>
      <c r="V188" s="168"/>
      <c r="X188" s="168"/>
      <c r="AA188" s="168"/>
      <c r="AB188" s="168"/>
    </row>
    <row r="189" spans="1:28" ht="18.75" customHeight="1" x14ac:dyDescent="0.3">
      <c r="A189" s="169"/>
      <c r="B189" s="168"/>
      <c r="C189" s="168"/>
      <c r="D189" s="168"/>
      <c r="E189" s="166"/>
      <c r="F189" s="166"/>
      <c r="G189" s="166"/>
      <c r="H189" s="168"/>
      <c r="I189" s="168"/>
      <c r="J189" s="168"/>
      <c r="K189" s="166"/>
      <c r="L189" s="168"/>
      <c r="M189" s="166"/>
      <c r="N189" s="166"/>
      <c r="O189" s="166"/>
      <c r="P189" s="168"/>
      <c r="Q189" s="168"/>
      <c r="R189" s="168"/>
      <c r="S189" s="168"/>
      <c r="T189" s="166"/>
      <c r="U189" s="168"/>
      <c r="V189" s="168"/>
      <c r="X189" s="168"/>
      <c r="AA189" s="168"/>
      <c r="AB189" s="168"/>
    </row>
    <row r="190" spans="1:28" ht="18.75" customHeight="1" x14ac:dyDescent="0.3">
      <c r="A190" s="169"/>
      <c r="B190" s="168"/>
      <c r="C190" s="168"/>
      <c r="D190" s="168"/>
      <c r="E190" s="166"/>
      <c r="F190" s="166"/>
      <c r="G190" s="166"/>
      <c r="H190" s="168"/>
      <c r="I190" s="168"/>
      <c r="J190" s="168"/>
      <c r="K190" s="166"/>
      <c r="L190" s="168"/>
      <c r="M190" s="166"/>
      <c r="N190" s="166"/>
      <c r="O190" s="166"/>
      <c r="P190" s="168"/>
      <c r="Q190" s="168"/>
      <c r="R190" s="168"/>
      <c r="S190" s="168"/>
      <c r="T190" s="166"/>
      <c r="U190" s="168"/>
      <c r="V190" s="168"/>
      <c r="X190" s="168"/>
      <c r="AA190" s="168"/>
      <c r="AB190" s="168"/>
    </row>
    <row r="191" spans="1:28" ht="18.75" customHeight="1" x14ac:dyDescent="0.3">
      <c r="A191" s="169"/>
      <c r="B191" s="168"/>
      <c r="C191" s="168"/>
      <c r="D191" s="168"/>
      <c r="E191" s="166"/>
      <c r="F191" s="166"/>
      <c r="G191" s="166"/>
      <c r="H191" s="168"/>
      <c r="I191" s="168"/>
      <c r="J191" s="168"/>
      <c r="K191" s="166"/>
      <c r="L191" s="168"/>
      <c r="M191" s="166"/>
      <c r="N191" s="166"/>
      <c r="O191" s="166"/>
      <c r="P191" s="168"/>
      <c r="Q191" s="168"/>
      <c r="R191" s="168"/>
      <c r="S191" s="168"/>
      <c r="T191" s="166"/>
      <c r="U191" s="168"/>
      <c r="V191" s="168"/>
      <c r="X191" s="168"/>
      <c r="AA191" s="168"/>
      <c r="AB191" s="168"/>
    </row>
    <row r="192" spans="1:28" ht="18.75" customHeight="1" x14ac:dyDescent="0.3">
      <c r="A192" s="169"/>
      <c r="B192" s="168"/>
      <c r="C192" s="168"/>
      <c r="D192" s="168"/>
      <c r="E192" s="166"/>
      <c r="F192" s="166"/>
      <c r="G192" s="166"/>
      <c r="H192" s="168"/>
      <c r="I192" s="168"/>
      <c r="J192" s="168"/>
      <c r="K192" s="166"/>
      <c r="L192" s="168"/>
      <c r="M192" s="166"/>
      <c r="N192" s="166"/>
      <c r="O192" s="166"/>
      <c r="P192" s="168"/>
      <c r="Q192" s="168"/>
      <c r="R192" s="168"/>
      <c r="S192" s="168"/>
      <c r="T192" s="166"/>
      <c r="U192" s="168"/>
      <c r="V192" s="168"/>
      <c r="X192" s="168"/>
      <c r="AA192" s="168"/>
      <c r="AB192" s="168"/>
    </row>
    <row r="193" spans="1:28" ht="18.75" customHeight="1" x14ac:dyDescent="0.3">
      <c r="A193" s="169"/>
      <c r="B193" s="168"/>
      <c r="C193" s="168"/>
      <c r="D193" s="168"/>
      <c r="E193" s="166"/>
      <c r="F193" s="166"/>
      <c r="G193" s="166"/>
      <c r="H193" s="168"/>
      <c r="I193" s="168"/>
      <c r="J193" s="168"/>
      <c r="K193" s="166"/>
      <c r="L193" s="168"/>
      <c r="M193" s="166"/>
      <c r="N193" s="166"/>
      <c r="O193" s="166"/>
      <c r="P193" s="168"/>
      <c r="Q193" s="168"/>
      <c r="R193" s="168"/>
      <c r="S193" s="168"/>
      <c r="T193" s="166"/>
      <c r="U193" s="168"/>
      <c r="V193" s="168"/>
      <c r="X193" s="168"/>
      <c r="AA193" s="168"/>
      <c r="AB193" s="168"/>
    </row>
    <row r="194" spans="1:28" ht="18.75" customHeight="1" x14ac:dyDescent="0.3">
      <c r="A194" s="169"/>
      <c r="B194" s="168"/>
      <c r="C194" s="168"/>
      <c r="D194" s="168"/>
      <c r="E194" s="166"/>
      <c r="F194" s="166"/>
      <c r="G194" s="166"/>
      <c r="H194" s="168"/>
      <c r="I194" s="168"/>
      <c r="J194" s="168"/>
      <c r="K194" s="166"/>
      <c r="L194" s="168"/>
      <c r="M194" s="166"/>
      <c r="N194" s="166"/>
      <c r="O194" s="166"/>
      <c r="P194" s="168"/>
      <c r="Q194" s="168"/>
      <c r="R194" s="168"/>
      <c r="S194" s="168"/>
      <c r="T194" s="166"/>
      <c r="U194" s="168"/>
      <c r="V194" s="168"/>
      <c r="X194" s="168"/>
      <c r="AA194" s="168"/>
      <c r="AB194" s="168"/>
    </row>
    <row r="195" spans="1:28" ht="18.75" customHeight="1" x14ac:dyDescent="0.3">
      <c r="A195" s="169"/>
      <c r="B195" s="168"/>
      <c r="C195" s="168"/>
      <c r="D195" s="168"/>
      <c r="E195" s="166"/>
      <c r="F195" s="166"/>
      <c r="G195" s="166"/>
      <c r="H195" s="168"/>
      <c r="I195" s="168"/>
      <c r="J195" s="168"/>
      <c r="K195" s="166"/>
      <c r="L195" s="168"/>
      <c r="M195" s="166"/>
      <c r="N195" s="166"/>
      <c r="O195" s="166"/>
      <c r="P195" s="168"/>
      <c r="Q195" s="168"/>
      <c r="R195" s="168"/>
      <c r="S195" s="168"/>
      <c r="T195" s="166"/>
      <c r="U195" s="168"/>
      <c r="V195" s="168"/>
      <c r="X195" s="168"/>
      <c r="AA195" s="168"/>
      <c r="AB195" s="168"/>
    </row>
    <row r="196" spans="1:28" ht="18.75" customHeight="1" x14ac:dyDescent="0.3">
      <c r="A196" s="169"/>
      <c r="B196" s="168"/>
      <c r="C196" s="168"/>
      <c r="D196" s="168"/>
      <c r="E196" s="166"/>
      <c r="F196" s="166"/>
      <c r="G196" s="166"/>
      <c r="H196" s="168"/>
      <c r="I196" s="168"/>
      <c r="J196" s="168"/>
      <c r="K196" s="166"/>
      <c r="L196" s="168"/>
      <c r="M196" s="166"/>
      <c r="N196" s="166"/>
      <c r="O196" s="166"/>
      <c r="P196" s="168"/>
      <c r="Q196" s="168"/>
      <c r="R196" s="168"/>
      <c r="S196" s="168"/>
      <c r="T196" s="166"/>
      <c r="U196" s="168"/>
      <c r="V196" s="168"/>
      <c r="X196" s="168"/>
      <c r="AA196" s="168"/>
      <c r="AB196" s="168"/>
    </row>
    <row r="197" spans="1:28" ht="18.75" customHeight="1" x14ac:dyDescent="0.3">
      <c r="A197" s="169"/>
      <c r="B197" s="168"/>
      <c r="C197" s="168"/>
      <c r="D197" s="168"/>
      <c r="E197" s="166"/>
      <c r="F197" s="166"/>
      <c r="G197" s="166"/>
      <c r="H197" s="168"/>
      <c r="I197" s="168"/>
      <c r="J197" s="168"/>
      <c r="K197" s="166"/>
      <c r="L197" s="168"/>
      <c r="M197" s="166"/>
      <c r="N197" s="166"/>
      <c r="O197" s="166"/>
      <c r="P197" s="168"/>
      <c r="Q197" s="168"/>
      <c r="R197" s="168"/>
      <c r="S197" s="168"/>
      <c r="T197" s="166"/>
      <c r="U197" s="168"/>
      <c r="V197" s="168"/>
      <c r="X197" s="168"/>
      <c r="AA197" s="168"/>
      <c r="AB197" s="168"/>
    </row>
    <row r="198" spans="1:28" ht="18.75" customHeight="1" x14ac:dyDescent="0.3">
      <c r="A198" s="169"/>
      <c r="B198" s="168"/>
      <c r="C198" s="168"/>
      <c r="D198" s="168"/>
      <c r="E198" s="166"/>
      <c r="F198" s="166"/>
      <c r="G198" s="166"/>
      <c r="H198" s="168"/>
      <c r="I198" s="168"/>
      <c r="J198" s="168"/>
      <c r="K198" s="166"/>
      <c r="L198" s="168"/>
      <c r="M198" s="166"/>
      <c r="N198" s="166"/>
      <c r="O198" s="166"/>
      <c r="P198" s="168"/>
      <c r="Q198" s="168"/>
      <c r="R198" s="168"/>
      <c r="S198" s="168"/>
      <c r="T198" s="166"/>
      <c r="U198" s="168"/>
      <c r="V198" s="168"/>
      <c r="X198" s="168"/>
      <c r="AA198" s="168"/>
      <c r="AB198" s="168"/>
    </row>
    <row r="199" spans="1:28" ht="18.75" customHeight="1" x14ac:dyDescent="0.3">
      <c r="A199" s="169"/>
      <c r="B199" s="168"/>
      <c r="C199" s="168"/>
      <c r="D199" s="168"/>
      <c r="E199" s="166"/>
      <c r="F199" s="166"/>
      <c r="G199" s="166"/>
      <c r="H199" s="168"/>
      <c r="I199" s="168"/>
      <c r="J199" s="168"/>
      <c r="K199" s="166"/>
      <c r="L199" s="168"/>
      <c r="M199" s="166"/>
      <c r="N199" s="166"/>
      <c r="O199" s="166"/>
      <c r="P199" s="168"/>
      <c r="Q199" s="168"/>
      <c r="R199" s="168"/>
      <c r="S199" s="168"/>
      <c r="T199" s="166"/>
      <c r="U199" s="168"/>
      <c r="V199" s="168"/>
      <c r="X199" s="168"/>
      <c r="AA199" s="168"/>
      <c r="AB199" s="168"/>
    </row>
    <row r="200" spans="1:28" ht="18.75" customHeight="1" x14ac:dyDescent="0.3">
      <c r="A200" s="169"/>
      <c r="B200" s="168"/>
      <c r="C200" s="168"/>
      <c r="D200" s="168"/>
      <c r="E200" s="166"/>
      <c r="F200" s="166"/>
      <c r="G200" s="166"/>
      <c r="H200" s="168"/>
      <c r="I200" s="168"/>
      <c r="J200" s="168"/>
      <c r="K200" s="166"/>
      <c r="L200" s="168"/>
      <c r="M200" s="166"/>
      <c r="N200" s="166"/>
      <c r="O200" s="166"/>
      <c r="P200" s="168"/>
      <c r="Q200" s="168"/>
      <c r="R200" s="168"/>
      <c r="S200" s="168"/>
      <c r="T200" s="166"/>
      <c r="U200" s="168"/>
      <c r="V200" s="168"/>
      <c r="X200" s="168"/>
      <c r="AA200" s="168"/>
      <c r="AB200" s="168"/>
    </row>
    <row r="201" spans="1:28" ht="18.75" customHeight="1" x14ac:dyDescent="0.3">
      <c r="A201" s="169"/>
      <c r="B201" s="168"/>
      <c r="C201" s="168"/>
      <c r="D201" s="168"/>
      <c r="E201" s="166"/>
      <c r="F201" s="166"/>
      <c r="G201" s="166"/>
      <c r="H201" s="168"/>
      <c r="I201" s="168"/>
      <c r="J201" s="168"/>
      <c r="K201" s="166"/>
      <c r="L201" s="168"/>
      <c r="M201" s="166"/>
      <c r="N201" s="166"/>
      <c r="O201" s="166"/>
      <c r="P201" s="168"/>
      <c r="Q201" s="168"/>
      <c r="R201" s="168"/>
      <c r="S201" s="168"/>
      <c r="T201" s="166"/>
      <c r="U201" s="168"/>
      <c r="V201" s="168"/>
      <c r="X201" s="168"/>
      <c r="AA201" s="168"/>
      <c r="AB201" s="168"/>
    </row>
    <row r="202" spans="1:28" ht="18.75" customHeight="1" x14ac:dyDescent="0.3">
      <c r="A202" s="169"/>
      <c r="B202" s="168"/>
      <c r="C202" s="168"/>
      <c r="D202" s="168"/>
      <c r="E202" s="166"/>
      <c r="F202" s="166"/>
      <c r="G202" s="166"/>
      <c r="H202" s="168"/>
      <c r="I202" s="168"/>
      <c r="J202" s="168"/>
      <c r="K202" s="166"/>
      <c r="L202" s="168"/>
      <c r="M202" s="166"/>
      <c r="N202" s="166"/>
      <c r="O202" s="166"/>
      <c r="P202" s="168"/>
      <c r="Q202" s="168"/>
      <c r="R202" s="168"/>
      <c r="S202" s="168"/>
      <c r="T202" s="166"/>
      <c r="U202" s="168"/>
      <c r="V202" s="168"/>
      <c r="X202" s="168"/>
      <c r="AA202" s="168"/>
      <c r="AB202" s="168"/>
    </row>
    <row r="203" spans="1:28" ht="18.75" customHeight="1" x14ac:dyDescent="0.3">
      <c r="A203" s="169"/>
      <c r="B203" s="168"/>
      <c r="C203" s="168"/>
      <c r="D203" s="168"/>
      <c r="E203" s="166"/>
      <c r="F203" s="166"/>
      <c r="G203" s="166"/>
      <c r="H203" s="168"/>
      <c r="I203" s="168"/>
      <c r="J203" s="168"/>
      <c r="K203" s="166"/>
      <c r="L203" s="168"/>
      <c r="M203" s="166"/>
      <c r="N203" s="166"/>
      <c r="O203" s="166"/>
      <c r="P203" s="168"/>
      <c r="Q203" s="168"/>
      <c r="R203" s="168"/>
      <c r="S203" s="168"/>
      <c r="T203" s="166"/>
      <c r="U203" s="168"/>
      <c r="V203" s="168"/>
      <c r="X203" s="168"/>
      <c r="AA203" s="168"/>
      <c r="AB203" s="168"/>
    </row>
    <row r="204" spans="1:28" ht="18.75" customHeight="1" x14ac:dyDescent="0.3">
      <c r="A204" s="169"/>
      <c r="B204" s="168"/>
      <c r="C204" s="168"/>
      <c r="D204" s="168"/>
      <c r="E204" s="166"/>
      <c r="F204" s="166"/>
      <c r="G204" s="166"/>
      <c r="H204" s="168"/>
      <c r="I204" s="168"/>
      <c r="J204" s="168"/>
      <c r="K204" s="166"/>
      <c r="L204" s="168"/>
      <c r="M204" s="166"/>
      <c r="N204" s="166"/>
      <c r="O204" s="166"/>
      <c r="P204" s="168"/>
      <c r="Q204" s="168"/>
      <c r="R204" s="168"/>
      <c r="S204" s="168"/>
      <c r="T204" s="166"/>
      <c r="U204" s="168"/>
      <c r="V204" s="168"/>
      <c r="X204" s="168"/>
      <c r="AA204" s="168"/>
      <c r="AB204" s="168"/>
    </row>
    <row r="205" spans="1:28" ht="18.75" customHeight="1" x14ac:dyDescent="0.3">
      <c r="A205" s="169"/>
      <c r="B205" s="168"/>
      <c r="C205" s="168"/>
      <c r="D205" s="168"/>
      <c r="E205" s="166"/>
      <c r="F205" s="166"/>
      <c r="G205" s="166"/>
      <c r="H205" s="168"/>
      <c r="I205" s="168"/>
      <c r="J205" s="168"/>
      <c r="K205" s="166"/>
      <c r="L205" s="168"/>
      <c r="M205" s="166"/>
      <c r="N205" s="166"/>
      <c r="O205" s="166"/>
      <c r="P205" s="168"/>
      <c r="Q205" s="168"/>
      <c r="R205" s="168"/>
      <c r="S205" s="168"/>
      <c r="T205" s="166"/>
      <c r="U205" s="168"/>
      <c r="V205" s="168"/>
      <c r="X205" s="168"/>
      <c r="AA205" s="168"/>
      <c r="AB205" s="168"/>
    </row>
    <row r="206" spans="1:28" ht="18.75" customHeight="1" x14ac:dyDescent="0.3">
      <c r="A206" s="169"/>
      <c r="B206" s="168"/>
      <c r="C206" s="168"/>
      <c r="D206" s="168"/>
      <c r="E206" s="166"/>
      <c r="F206" s="166"/>
      <c r="G206" s="166"/>
      <c r="H206" s="168"/>
      <c r="I206" s="168"/>
      <c r="J206" s="168"/>
      <c r="K206" s="166"/>
      <c r="L206" s="168"/>
      <c r="M206" s="166"/>
      <c r="N206" s="166"/>
      <c r="O206" s="166"/>
      <c r="P206" s="168"/>
      <c r="Q206" s="168"/>
      <c r="R206" s="168"/>
      <c r="S206" s="168"/>
      <c r="T206" s="166"/>
      <c r="U206" s="168"/>
      <c r="V206" s="168"/>
      <c r="X206" s="168"/>
      <c r="AA206" s="168"/>
      <c r="AB206" s="168"/>
    </row>
    <row r="207" spans="1:28" ht="18.75" customHeight="1" x14ac:dyDescent="0.3">
      <c r="A207" s="169"/>
      <c r="B207" s="168"/>
      <c r="C207" s="168"/>
      <c r="D207" s="168"/>
      <c r="E207" s="166"/>
      <c r="F207" s="166"/>
      <c r="G207" s="166"/>
      <c r="H207" s="168"/>
      <c r="I207" s="168"/>
      <c r="J207" s="168"/>
      <c r="K207" s="166"/>
      <c r="L207" s="168"/>
      <c r="M207" s="166"/>
      <c r="N207" s="166"/>
      <c r="O207" s="166"/>
      <c r="P207" s="168"/>
      <c r="Q207" s="168"/>
      <c r="R207" s="168"/>
      <c r="S207" s="168"/>
      <c r="T207" s="166"/>
      <c r="U207" s="168"/>
      <c r="V207" s="168"/>
      <c r="X207" s="168"/>
      <c r="AA207" s="168"/>
      <c r="AB207" s="168"/>
    </row>
    <row r="208" spans="1:28" ht="18.75" customHeight="1" x14ac:dyDescent="0.3">
      <c r="A208" s="169"/>
      <c r="B208" s="168"/>
      <c r="C208" s="168"/>
      <c r="D208" s="168"/>
      <c r="E208" s="166"/>
      <c r="F208" s="166"/>
      <c r="G208" s="166"/>
      <c r="H208" s="168"/>
      <c r="I208" s="168"/>
      <c r="J208" s="168"/>
      <c r="K208" s="166"/>
      <c r="L208" s="168"/>
      <c r="M208" s="166"/>
      <c r="N208" s="166"/>
      <c r="O208" s="166"/>
      <c r="P208" s="168"/>
      <c r="Q208" s="168"/>
      <c r="R208" s="168"/>
      <c r="S208" s="168"/>
      <c r="T208" s="166"/>
      <c r="U208" s="168"/>
      <c r="V208" s="168"/>
      <c r="X208" s="168"/>
      <c r="AA208" s="168"/>
      <c r="AB208" s="168"/>
    </row>
    <row r="209" spans="1:28" ht="18.75" customHeight="1" x14ac:dyDescent="0.3">
      <c r="A209" s="169"/>
      <c r="B209" s="168"/>
      <c r="C209" s="168"/>
      <c r="D209" s="168"/>
      <c r="E209" s="166"/>
      <c r="F209" s="166"/>
      <c r="G209" s="166"/>
      <c r="H209" s="168"/>
      <c r="I209" s="168"/>
      <c r="J209" s="168"/>
      <c r="K209" s="166"/>
      <c r="L209" s="168"/>
      <c r="M209" s="166"/>
      <c r="N209" s="166"/>
      <c r="O209" s="166"/>
      <c r="P209" s="168"/>
      <c r="Q209" s="168"/>
      <c r="R209" s="168"/>
      <c r="S209" s="168"/>
      <c r="T209" s="166"/>
      <c r="U209" s="168"/>
      <c r="V209" s="168"/>
      <c r="X209" s="168"/>
      <c r="AA209" s="168"/>
      <c r="AB209" s="168"/>
    </row>
    <row r="210" spans="1:28" ht="18.75" customHeight="1" x14ac:dyDescent="0.3">
      <c r="A210" s="169"/>
      <c r="B210" s="168"/>
      <c r="C210" s="168"/>
      <c r="D210" s="168"/>
      <c r="E210" s="166"/>
      <c r="F210" s="166"/>
      <c r="G210" s="166"/>
      <c r="H210" s="168"/>
      <c r="I210" s="168"/>
      <c r="J210" s="168"/>
      <c r="K210" s="166"/>
      <c r="L210" s="168"/>
      <c r="M210" s="166"/>
      <c r="N210" s="166"/>
      <c r="O210" s="166"/>
      <c r="P210" s="168"/>
      <c r="Q210" s="168"/>
      <c r="R210" s="168"/>
      <c r="S210" s="168"/>
      <c r="T210" s="166"/>
      <c r="U210" s="168"/>
      <c r="V210" s="168"/>
      <c r="X210" s="168"/>
      <c r="AA210" s="168"/>
      <c r="AB210" s="168"/>
    </row>
    <row r="211" spans="1:28" ht="18.75" customHeight="1" x14ac:dyDescent="0.3">
      <c r="A211" s="169"/>
      <c r="B211" s="168"/>
      <c r="C211" s="168"/>
      <c r="D211" s="168"/>
      <c r="E211" s="166"/>
      <c r="F211" s="166"/>
      <c r="G211" s="166"/>
      <c r="H211" s="168"/>
      <c r="I211" s="168"/>
      <c r="J211" s="168"/>
      <c r="K211" s="166"/>
      <c r="L211" s="168"/>
      <c r="M211" s="166"/>
      <c r="N211" s="166"/>
      <c r="O211" s="166"/>
      <c r="P211" s="168"/>
      <c r="Q211" s="168"/>
      <c r="R211" s="168"/>
      <c r="S211" s="168"/>
      <c r="T211" s="166"/>
      <c r="U211" s="168"/>
      <c r="V211" s="168"/>
      <c r="X211" s="168"/>
      <c r="AA211" s="168"/>
      <c r="AB211" s="168"/>
    </row>
    <row r="212" spans="1:28" ht="18.75" customHeight="1" x14ac:dyDescent="0.3">
      <c r="A212" s="169"/>
      <c r="B212" s="168"/>
      <c r="C212" s="168"/>
      <c r="D212" s="168"/>
      <c r="E212" s="166"/>
      <c r="F212" s="166"/>
      <c r="G212" s="166"/>
      <c r="H212" s="168"/>
      <c r="I212" s="168"/>
      <c r="J212" s="168"/>
      <c r="K212" s="166"/>
      <c r="L212" s="168"/>
      <c r="M212" s="166"/>
      <c r="N212" s="166"/>
      <c r="O212" s="166"/>
      <c r="P212" s="168"/>
      <c r="Q212" s="168"/>
      <c r="R212" s="168"/>
      <c r="S212" s="168"/>
      <c r="T212" s="166"/>
      <c r="U212" s="168"/>
      <c r="V212" s="168"/>
      <c r="X212" s="168"/>
      <c r="AA212" s="168"/>
      <c r="AB212" s="168"/>
    </row>
    <row r="213" spans="1:28" ht="18.75" customHeight="1" x14ac:dyDescent="0.3">
      <c r="A213" s="169"/>
      <c r="B213" s="168"/>
      <c r="C213" s="168"/>
      <c r="D213" s="168"/>
      <c r="E213" s="166"/>
      <c r="F213" s="166"/>
      <c r="G213" s="166"/>
      <c r="H213" s="168"/>
      <c r="I213" s="168"/>
      <c r="J213" s="168"/>
      <c r="K213" s="166"/>
      <c r="L213" s="168"/>
      <c r="M213" s="166"/>
      <c r="N213" s="166"/>
      <c r="O213" s="166"/>
      <c r="P213" s="168"/>
      <c r="Q213" s="168"/>
      <c r="R213" s="168"/>
      <c r="S213" s="168"/>
      <c r="T213" s="166"/>
      <c r="U213" s="168"/>
      <c r="V213" s="168"/>
      <c r="X213" s="168"/>
      <c r="AA213" s="168"/>
      <c r="AB213" s="168"/>
    </row>
    <row r="214" spans="1:28" ht="18.75" customHeight="1" x14ac:dyDescent="0.3">
      <c r="A214" s="169"/>
      <c r="B214" s="168"/>
      <c r="C214" s="168"/>
      <c r="D214" s="168"/>
      <c r="E214" s="166"/>
      <c r="F214" s="166"/>
      <c r="G214" s="166"/>
      <c r="H214" s="168"/>
      <c r="I214" s="168"/>
      <c r="J214" s="168"/>
      <c r="K214" s="166"/>
      <c r="L214" s="168"/>
      <c r="M214" s="166"/>
      <c r="N214" s="166"/>
      <c r="O214" s="166"/>
      <c r="P214" s="168"/>
      <c r="Q214" s="168"/>
      <c r="R214" s="168"/>
      <c r="S214" s="168"/>
      <c r="T214" s="166"/>
      <c r="U214" s="168"/>
      <c r="V214" s="168"/>
      <c r="X214" s="168"/>
      <c r="AA214" s="168"/>
      <c r="AB214" s="168"/>
    </row>
    <row r="215" spans="1:28" ht="18.75" customHeight="1" x14ac:dyDescent="0.3">
      <c r="A215" s="169"/>
      <c r="B215" s="168"/>
      <c r="C215" s="168"/>
      <c r="D215" s="168"/>
      <c r="E215" s="166"/>
      <c r="F215" s="166"/>
      <c r="G215" s="166"/>
      <c r="H215" s="168"/>
      <c r="I215" s="168"/>
      <c r="J215" s="168"/>
      <c r="K215" s="166"/>
      <c r="L215" s="168"/>
      <c r="M215" s="166"/>
      <c r="N215" s="166"/>
      <c r="O215" s="166"/>
      <c r="P215" s="168"/>
      <c r="Q215" s="168"/>
      <c r="R215" s="168"/>
      <c r="S215" s="168"/>
      <c r="T215" s="166"/>
      <c r="U215" s="168"/>
      <c r="V215" s="168"/>
      <c r="X215" s="168"/>
      <c r="AA215" s="168"/>
      <c r="AB215" s="168"/>
    </row>
    <row r="216" spans="1:28" ht="18.75" customHeight="1" x14ac:dyDescent="0.3">
      <c r="A216" s="169"/>
      <c r="B216" s="168"/>
      <c r="C216" s="168"/>
      <c r="D216" s="168"/>
      <c r="E216" s="166"/>
      <c r="F216" s="166"/>
      <c r="G216" s="166"/>
      <c r="H216" s="168"/>
      <c r="I216" s="168"/>
      <c r="J216" s="168"/>
      <c r="K216" s="166"/>
      <c r="L216" s="168"/>
      <c r="M216" s="166"/>
      <c r="N216" s="166"/>
      <c r="O216" s="166"/>
      <c r="P216" s="168"/>
      <c r="Q216" s="168"/>
      <c r="R216" s="168"/>
      <c r="S216" s="168"/>
      <c r="T216" s="166"/>
      <c r="U216" s="168"/>
      <c r="V216" s="168"/>
      <c r="X216" s="168"/>
      <c r="AA216" s="168"/>
      <c r="AB216" s="168"/>
    </row>
    <row r="217" spans="1:28" ht="18.75" customHeight="1" x14ac:dyDescent="0.3">
      <c r="A217" s="169"/>
      <c r="B217" s="168"/>
      <c r="C217" s="168"/>
      <c r="D217" s="168"/>
      <c r="E217" s="166"/>
      <c r="F217" s="166"/>
      <c r="G217" s="166"/>
      <c r="H217" s="168"/>
      <c r="I217" s="168"/>
      <c r="J217" s="168"/>
      <c r="K217" s="166"/>
      <c r="L217" s="168"/>
      <c r="M217" s="166"/>
      <c r="N217" s="166"/>
      <c r="O217" s="166"/>
      <c r="P217" s="168"/>
      <c r="Q217" s="168"/>
      <c r="R217" s="168"/>
      <c r="S217" s="168"/>
      <c r="T217" s="166"/>
      <c r="U217" s="168"/>
      <c r="V217" s="168"/>
      <c r="X217" s="168"/>
      <c r="AA217" s="168"/>
      <c r="AB217" s="168"/>
    </row>
    <row r="218" spans="1:28" ht="18.75" customHeight="1" x14ac:dyDescent="0.3">
      <c r="A218" s="169"/>
      <c r="B218" s="168"/>
      <c r="C218" s="168"/>
      <c r="D218" s="168"/>
      <c r="E218" s="166"/>
      <c r="F218" s="166"/>
      <c r="G218" s="166"/>
      <c r="H218" s="168"/>
      <c r="I218" s="168"/>
      <c r="J218" s="168"/>
      <c r="K218" s="166"/>
      <c r="L218" s="168"/>
      <c r="M218" s="166"/>
      <c r="N218" s="166"/>
      <c r="O218" s="166"/>
      <c r="P218" s="168"/>
      <c r="Q218" s="168"/>
      <c r="R218" s="168"/>
      <c r="S218" s="168"/>
      <c r="T218" s="166"/>
      <c r="U218" s="168"/>
      <c r="V218" s="168"/>
      <c r="X218" s="168"/>
      <c r="AA218" s="168"/>
      <c r="AB218" s="168"/>
    </row>
    <row r="219" spans="1:28" ht="18.75" customHeight="1" x14ac:dyDescent="0.3">
      <c r="A219" s="169"/>
      <c r="B219" s="168"/>
      <c r="C219" s="168"/>
      <c r="D219" s="168"/>
      <c r="E219" s="166"/>
      <c r="F219" s="166"/>
      <c r="G219" s="166"/>
      <c r="H219" s="168"/>
      <c r="I219" s="168"/>
      <c r="J219" s="168"/>
      <c r="K219" s="166"/>
      <c r="L219" s="168"/>
      <c r="M219" s="166"/>
      <c r="N219" s="166"/>
      <c r="O219" s="166"/>
      <c r="P219" s="168"/>
      <c r="Q219" s="168"/>
      <c r="R219" s="168"/>
      <c r="S219" s="168"/>
      <c r="T219" s="166"/>
      <c r="U219" s="168"/>
      <c r="V219" s="168"/>
      <c r="X219" s="168"/>
      <c r="AA219" s="168"/>
      <c r="AB219" s="168"/>
    </row>
    <row r="220" spans="1:28" ht="18.75" customHeight="1" x14ac:dyDescent="0.3">
      <c r="A220" s="169"/>
      <c r="B220" s="168"/>
      <c r="C220" s="168"/>
      <c r="D220" s="168"/>
      <c r="E220" s="166"/>
      <c r="F220" s="166"/>
      <c r="G220" s="166"/>
      <c r="H220" s="168"/>
      <c r="I220" s="168"/>
      <c r="J220" s="168"/>
      <c r="K220" s="166"/>
      <c r="L220" s="168"/>
      <c r="M220" s="166"/>
      <c r="N220" s="166"/>
      <c r="O220" s="166"/>
      <c r="P220" s="168"/>
      <c r="Q220" s="168"/>
      <c r="R220" s="168"/>
      <c r="S220" s="168"/>
      <c r="T220" s="166"/>
      <c r="U220" s="168"/>
      <c r="V220" s="168"/>
      <c r="X220" s="168"/>
      <c r="AA220" s="168"/>
      <c r="AB220" s="168"/>
    </row>
    <row r="221" spans="1:28" ht="18.75" customHeight="1" x14ac:dyDescent="0.3">
      <c r="A221" s="169"/>
      <c r="B221" s="168"/>
      <c r="C221" s="168"/>
      <c r="D221" s="168"/>
      <c r="E221" s="166"/>
      <c r="F221" s="166"/>
      <c r="G221" s="166"/>
      <c r="H221" s="168"/>
      <c r="I221" s="168"/>
      <c r="J221" s="168"/>
      <c r="K221" s="166"/>
      <c r="L221" s="168"/>
      <c r="M221" s="166"/>
      <c r="N221" s="166"/>
      <c r="O221" s="166"/>
      <c r="P221" s="168"/>
      <c r="Q221" s="168"/>
      <c r="R221" s="168"/>
      <c r="S221" s="168"/>
      <c r="T221" s="166"/>
      <c r="U221" s="168"/>
      <c r="V221" s="168"/>
      <c r="X221" s="168"/>
      <c r="AA221" s="168"/>
      <c r="AB221" s="168"/>
    </row>
    <row r="222" spans="1:28" ht="18.75" customHeight="1" x14ac:dyDescent="0.3">
      <c r="A222" s="169"/>
      <c r="B222" s="168"/>
      <c r="C222" s="168"/>
      <c r="D222" s="168"/>
      <c r="E222" s="166"/>
      <c r="F222" s="166"/>
      <c r="G222" s="166"/>
      <c r="H222" s="168"/>
      <c r="I222" s="168"/>
      <c r="J222" s="168"/>
      <c r="K222" s="166"/>
      <c r="L222" s="168"/>
      <c r="M222" s="166"/>
      <c r="N222" s="166"/>
      <c r="O222" s="166"/>
      <c r="P222" s="168"/>
      <c r="Q222" s="168"/>
      <c r="R222" s="168"/>
      <c r="S222" s="168"/>
      <c r="T222" s="166"/>
      <c r="U222" s="168"/>
      <c r="V222" s="168"/>
      <c r="X222" s="168"/>
      <c r="AA222" s="168"/>
      <c r="AB222" s="168"/>
    </row>
    <row r="223" spans="1:28" ht="18.75" customHeight="1" x14ac:dyDescent="0.3">
      <c r="A223" s="169"/>
      <c r="B223" s="168"/>
      <c r="C223" s="168"/>
      <c r="D223" s="168"/>
      <c r="E223" s="166"/>
      <c r="F223" s="166"/>
      <c r="G223" s="166"/>
      <c r="H223" s="168"/>
      <c r="I223" s="168"/>
      <c r="J223" s="168"/>
      <c r="K223" s="166"/>
      <c r="L223" s="168"/>
      <c r="M223" s="166"/>
      <c r="N223" s="166"/>
      <c r="O223" s="166"/>
      <c r="P223" s="168"/>
      <c r="Q223" s="168"/>
      <c r="R223" s="168"/>
      <c r="S223" s="168"/>
      <c r="T223" s="166"/>
      <c r="U223" s="168"/>
      <c r="V223" s="168"/>
      <c r="X223" s="168"/>
      <c r="AA223" s="168"/>
      <c r="AB223" s="168"/>
    </row>
    <row r="224" spans="1:28" ht="18.75" customHeight="1" x14ac:dyDescent="0.3">
      <c r="A224" s="169"/>
      <c r="B224" s="168"/>
      <c r="C224" s="168"/>
      <c r="D224" s="168"/>
      <c r="E224" s="166"/>
      <c r="F224" s="166"/>
      <c r="G224" s="166"/>
      <c r="H224" s="168"/>
      <c r="I224" s="168"/>
      <c r="J224" s="168"/>
      <c r="K224" s="166"/>
      <c r="L224" s="168"/>
      <c r="M224" s="166"/>
      <c r="N224" s="166"/>
      <c r="O224" s="166"/>
      <c r="P224" s="168"/>
      <c r="Q224" s="168"/>
      <c r="R224" s="168"/>
      <c r="S224" s="168"/>
      <c r="T224" s="166"/>
      <c r="U224" s="168"/>
      <c r="V224" s="168"/>
      <c r="X224" s="168"/>
      <c r="AA224" s="168"/>
      <c r="AB224" s="168"/>
    </row>
    <row r="225" spans="1:28" ht="18.75" customHeight="1" x14ac:dyDescent="0.3">
      <c r="A225" s="169"/>
      <c r="B225" s="168"/>
      <c r="C225" s="168"/>
      <c r="D225" s="168"/>
      <c r="E225" s="166"/>
      <c r="F225" s="166"/>
      <c r="G225" s="166"/>
      <c r="H225" s="168"/>
      <c r="I225" s="168"/>
      <c r="J225" s="168"/>
      <c r="K225" s="166"/>
      <c r="L225" s="168"/>
      <c r="M225" s="166"/>
      <c r="N225" s="166"/>
      <c r="O225" s="166"/>
      <c r="P225" s="168"/>
      <c r="Q225" s="168"/>
      <c r="R225" s="168"/>
      <c r="S225" s="168"/>
      <c r="T225" s="166"/>
      <c r="U225" s="168"/>
      <c r="V225" s="168"/>
      <c r="X225" s="168"/>
      <c r="AA225" s="168"/>
      <c r="AB225" s="168"/>
    </row>
    <row r="226" spans="1:28" ht="18.75" customHeight="1" x14ac:dyDescent="0.3">
      <c r="A226" s="169"/>
      <c r="B226" s="168"/>
      <c r="C226" s="168"/>
      <c r="D226" s="168"/>
      <c r="E226" s="166"/>
      <c r="F226" s="166"/>
      <c r="G226" s="166"/>
      <c r="H226" s="168"/>
      <c r="I226" s="168"/>
      <c r="J226" s="168"/>
      <c r="K226" s="166"/>
      <c r="L226" s="168"/>
      <c r="M226" s="166"/>
      <c r="N226" s="166"/>
      <c r="O226" s="166"/>
      <c r="P226" s="168"/>
      <c r="Q226" s="168"/>
      <c r="R226" s="168"/>
      <c r="S226" s="168"/>
      <c r="T226" s="166"/>
      <c r="U226" s="168"/>
      <c r="V226" s="168"/>
      <c r="X226" s="168"/>
      <c r="AA226" s="168"/>
      <c r="AB226" s="168"/>
    </row>
    <row r="227" spans="1:28" ht="18.75" customHeight="1" x14ac:dyDescent="0.3">
      <c r="A227" s="169"/>
      <c r="B227" s="168"/>
      <c r="C227" s="168"/>
      <c r="D227" s="168"/>
      <c r="E227" s="166"/>
      <c r="F227" s="166"/>
      <c r="G227" s="166"/>
      <c r="H227" s="168"/>
      <c r="I227" s="168"/>
      <c r="J227" s="168"/>
      <c r="K227" s="166"/>
      <c r="L227" s="168"/>
      <c r="M227" s="166"/>
      <c r="N227" s="166"/>
      <c r="O227" s="166"/>
      <c r="P227" s="168"/>
      <c r="Q227" s="168"/>
      <c r="R227" s="168"/>
      <c r="S227" s="168"/>
      <c r="T227" s="166"/>
      <c r="U227" s="168"/>
      <c r="V227" s="168"/>
      <c r="X227" s="168"/>
      <c r="AA227" s="168"/>
      <c r="AB227" s="168"/>
    </row>
    <row r="228" spans="1:28" ht="18.75" customHeight="1" x14ac:dyDescent="0.3">
      <c r="A228" s="169"/>
      <c r="B228" s="168"/>
      <c r="C228" s="168"/>
      <c r="D228" s="168"/>
      <c r="E228" s="166"/>
      <c r="F228" s="166"/>
      <c r="G228" s="166"/>
      <c r="H228" s="168"/>
      <c r="I228" s="168"/>
      <c r="J228" s="168"/>
      <c r="K228" s="166"/>
      <c r="L228" s="168"/>
      <c r="M228" s="166"/>
      <c r="N228" s="166"/>
      <c r="O228" s="166"/>
      <c r="P228" s="168"/>
      <c r="Q228" s="168"/>
      <c r="R228" s="168"/>
      <c r="S228" s="168"/>
      <c r="T228" s="166"/>
      <c r="U228" s="168"/>
      <c r="V228" s="168"/>
      <c r="X228" s="168"/>
      <c r="AA228" s="168"/>
      <c r="AB228" s="168"/>
    </row>
    <row r="229" spans="1:28" ht="18.75" customHeight="1" x14ac:dyDescent="0.3">
      <c r="A229" s="169"/>
      <c r="B229" s="168"/>
      <c r="C229" s="168"/>
      <c r="D229" s="168"/>
      <c r="E229" s="166"/>
      <c r="F229" s="166"/>
      <c r="G229" s="166"/>
      <c r="H229" s="168"/>
      <c r="I229" s="168"/>
      <c r="J229" s="168"/>
      <c r="K229" s="166"/>
      <c r="L229" s="168"/>
      <c r="M229" s="166"/>
      <c r="N229" s="166"/>
      <c r="O229" s="166"/>
      <c r="P229" s="168"/>
      <c r="Q229" s="168"/>
      <c r="R229" s="168"/>
      <c r="S229" s="168"/>
      <c r="T229" s="166"/>
      <c r="U229" s="168"/>
      <c r="V229" s="168"/>
      <c r="X229" s="168"/>
      <c r="AA229" s="168"/>
      <c r="AB229" s="168"/>
    </row>
    <row r="230" spans="1:28" ht="18.75" customHeight="1" x14ac:dyDescent="0.3">
      <c r="A230" s="169"/>
      <c r="B230" s="168"/>
      <c r="C230" s="168"/>
      <c r="D230" s="168"/>
      <c r="E230" s="166"/>
      <c r="F230" s="166"/>
      <c r="G230" s="166"/>
      <c r="H230" s="168"/>
      <c r="I230" s="168"/>
      <c r="J230" s="168"/>
      <c r="K230" s="166"/>
      <c r="L230" s="168"/>
      <c r="M230" s="166"/>
      <c r="N230" s="166"/>
      <c r="O230" s="166"/>
      <c r="P230" s="168"/>
      <c r="Q230" s="168"/>
      <c r="R230" s="168"/>
      <c r="S230" s="168"/>
      <c r="T230" s="166"/>
      <c r="U230" s="168"/>
      <c r="V230" s="168"/>
      <c r="X230" s="168"/>
      <c r="AA230" s="168"/>
      <c r="AB230" s="168"/>
    </row>
    <row r="231" spans="1:28" ht="18.75" customHeight="1" x14ac:dyDescent="0.3">
      <c r="A231" s="169"/>
      <c r="B231" s="168"/>
      <c r="C231" s="168"/>
      <c r="D231" s="168"/>
      <c r="E231" s="166"/>
      <c r="F231" s="166"/>
      <c r="G231" s="166"/>
      <c r="H231" s="168"/>
      <c r="I231" s="168"/>
      <c r="J231" s="168"/>
      <c r="K231" s="166"/>
      <c r="L231" s="168"/>
      <c r="M231" s="166"/>
      <c r="N231" s="166"/>
      <c r="O231" s="166"/>
      <c r="P231" s="168"/>
      <c r="Q231" s="168"/>
      <c r="R231" s="168"/>
      <c r="S231" s="168"/>
      <c r="T231" s="166"/>
      <c r="U231" s="168"/>
      <c r="V231" s="168"/>
      <c r="X231" s="168"/>
      <c r="AA231" s="168"/>
      <c r="AB231" s="168"/>
    </row>
    <row r="232" spans="1:28" ht="18.75" customHeight="1" x14ac:dyDescent="0.3">
      <c r="A232" s="169"/>
      <c r="B232" s="168"/>
      <c r="C232" s="168"/>
      <c r="D232" s="168"/>
      <c r="E232" s="166"/>
      <c r="F232" s="166"/>
      <c r="G232" s="166"/>
      <c r="H232" s="168"/>
      <c r="I232" s="168"/>
      <c r="J232" s="168"/>
      <c r="K232" s="166"/>
      <c r="L232" s="168"/>
      <c r="M232" s="166"/>
      <c r="N232" s="166"/>
      <c r="O232" s="166"/>
      <c r="P232" s="168"/>
      <c r="Q232" s="168"/>
      <c r="R232" s="168"/>
      <c r="S232" s="168"/>
      <c r="T232" s="166"/>
      <c r="U232" s="168"/>
      <c r="V232" s="168"/>
      <c r="X232" s="168"/>
      <c r="AA232" s="168"/>
      <c r="AB232" s="168"/>
    </row>
    <row r="233" spans="1:28" ht="18.75" customHeight="1" x14ac:dyDescent="0.3">
      <c r="A233" s="169"/>
      <c r="B233" s="168"/>
      <c r="C233" s="168"/>
      <c r="D233" s="168"/>
      <c r="E233" s="166"/>
      <c r="F233" s="166"/>
      <c r="G233" s="166"/>
      <c r="H233" s="168"/>
      <c r="I233" s="168"/>
      <c r="J233" s="168"/>
      <c r="K233" s="166"/>
      <c r="L233" s="168"/>
      <c r="M233" s="166"/>
      <c r="N233" s="166"/>
      <c r="O233" s="166"/>
      <c r="P233" s="168"/>
      <c r="Q233" s="168"/>
      <c r="R233" s="168"/>
      <c r="S233" s="168"/>
      <c r="T233" s="166"/>
      <c r="U233" s="168"/>
      <c r="V233" s="168"/>
      <c r="X233" s="168"/>
      <c r="AA233" s="168"/>
      <c r="AB233" s="168"/>
    </row>
    <row r="234" spans="1:28" ht="18.75" customHeight="1" x14ac:dyDescent="0.3">
      <c r="A234" s="169"/>
      <c r="B234" s="168"/>
      <c r="C234" s="168"/>
      <c r="D234" s="168"/>
      <c r="E234" s="166"/>
      <c r="F234" s="166"/>
      <c r="G234" s="166"/>
      <c r="H234" s="168"/>
      <c r="I234" s="168"/>
      <c r="J234" s="168"/>
      <c r="K234" s="166"/>
      <c r="L234" s="168"/>
      <c r="M234" s="166"/>
      <c r="N234" s="166"/>
      <c r="O234" s="166"/>
      <c r="P234" s="168"/>
      <c r="Q234" s="168"/>
      <c r="R234" s="168"/>
      <c r="S234" s="168"/>
      <c r="T234" s="166"/>
      <c r="U234" s="168"/>
      <c r="V234" s="168"/>
      <c r="X234" s="168"/>
      <c r="AA234" s="168"/>
      <c r="AB234" s="168"/>
    </row>
    <row r="235" spans="1:28" ht="18.75" customHeight="1" x14ac:dyDescent="0.3">
      <c r="A235" s="169"/>
      <c r="B235" s="168"/>
      <c r="C235" s="168"/>
      <c r="D235" s="168"/>
      <c r="E235" s="166"/>
      <c r="F235" s="166"/>
      <c r="G235" s="166"/>
      <c r="H235" s="168"/>
      <c r="I235" s="168"/>
      <c r="J235" s="168"/>
      <c r="K235" s="166"/>
      <c r="L235" s="168"/>
      <c r="M235" s="166"/>
      <c r="N235" s="166"/>
      <c r="O235" s="166"/>
      <c r="P235" s="168"/>
      <c r="Q235" s="168"/>
      <c r="R235" s="168"/>
      <c r="S235" s="168"/>
      <c r="T235" s="166"/>
      <c r="U235" s="168"/>
      <c r="V235" s="168"/>
      <c r="X235" s="168"/>
      <c r="AA235" s="168"/>
      <c r="AB235" s="168"/>
    </row>
    <row r="236" spans="1:28" ht="18.75" customHeight="1" x14ac:dyDescent="0.3">
      <c r="A236" s="169"/>
      <c r="B236" s="168"/>
      <c r="C236" s="168"/>
      <c r="D236" s="168"/>
      <c r="E236" s="166"/>
      <c r="F236" s="166"/>
      <c r="G236" s="166"/>
      <c r="H236" s="168"/>
      <c r="I236" s="168"/>
      <c r="J236" s="168"/>
      <c r="K236" s="166"/>
      <c r="L236" s="168"/>
      <c r="M236" s="166"/>
      <c r="N236" s="166"/>
      <c r="O236" s="166"/>
      <c r="P236" s="168"/>
      <c r="Q236" s="168"/>
      <c r="R236" s="168"/>
      <c r="S236" s="168"/>
      <c r="T236" s="166"/>
      <c r="U236" s="168"/>
      <c r="V236" s="168"/>
      <c r="X236" s="168"/>
      <c r="AA236" s="168"/>
      <c r="AB236" s="168"/>
    </row>
    <row r="237" spans="1:28" ht="18.75" customHeight="1" x14ac:dyDescent="0.3">
      <c r="A237" s="169"/>
      <c r="B237" s="168"/>
      <c r="C237" s="168"/>
      <c r="D237" s="168"/>
      <c r="E237" s="166"/>
      <c r="F237" s="166"/>
      <c r="G237" s="166"/>
      <c r="H237" s="168"/>
      <c r="I237" s="168"/>
      <c r="J237" s="168"/>
      <c r="K237" s="166"/>
      <c r="L237" s="168"/>
      <c r="M237" s="166"/>
      <c r="N237" s="166"/>
      <c r="O237" s="166"/>
      <c r="P237" s="168"/>
      <c r="Q237" s="168"/>
      <c r="R237" s="168"/>
      <c r="S237" s="168"/>
      <c r="T237" s="166"/>
      <c r="U237" s="168"/>
      <c r="V237" s="168"/>
      <c r="X237" s="168"/>
      <c r="AA237" s="168"/>
      <c r="AB237" s="168"/>
    </row>
    <row r="238" spans="1:28" ht="18.75" customHeight="1" x14ac:dyDescent="0.3">
      <c r="A238" s="169"/>
      <c r="B238" s="168"/>
      <c r="C238" s="168"/>
      <c r="D238" s="168"/>
      <c r="E238" s="166"/>
      <c r="F238" s="166"/>
      <c r="G238" s="166"/>
      <c r="H238" s="168"/>
      <c r="I238" s="168"/>
      <c r="J238" s="168"/>
      <c r="K238" s="166"/>
      <c r="L238" s="168"/>
      <c r="M238" s="166"/>
      <c r="N238" s="166"/>
      <c r="O238" s="166"/>
      <c r="P238" s="168"/>
      <c r="Q238" s="168"/>
      <c r="R238" s="168"/>
      <c r="S238" s="168"/>
      <c r="T238" s="166"/>
      <c r="U238" s="168"/>
      <c r="V238" s="168"/>
      <c r="X238" s="168"/>
      <c r="AA238" s="168"/>
      <c r="AB238" s="168"/>
    </row>
    <row r="239" spans="1:28" ht="18.75" customHeight="1" x14ac:dyDescent="0.3">
      <c r="A239" s="169"/>
      <c r="B239" s="168"/>
      <c r="C239" s="168"/>
      <c r="D239" s="168"/>
      <c r="E239" s="166"/>
      <c r="F239" s="166"/>
      <c r="G239" s="166"/>
      <c r="H239" s="168"/>
      <c r="I239" s="168"/>
      <c r="J239" s="168"/>
      <c r="K239" s="166"/>
      <c r="L239" s="168"/>
      <c r="M239" s="166"/>
      <c r="N239" s="166"/>
      <c r="O239" s="166"/>
      <c r="P239" s="168"/>
      <c r="Q239" s="168"/>
      <c r="R239" s="168"/>
      <c r="S239" s="168"/>
      <c r="T239" s="166"/>
      <c r="U239" s="168"/>
      <c r="V239" s="168"/>
      <c r="X239" s="168"/>
      <c r="AA239" s="168"/>
      <c r="AB239" s="168"/>
    </row>
    <row r="240" spans="1:28" ht="18.75" customHeight="1" x14ac:dyDescent="0.3">
      <c r="A240" s="169"/>
      <c r="B240" s="168"/>
      <c r="C240" s="168"/>
      <c r="D240" s="168"/>
      <c r="E240" s="166"/>
      <c r="F240" s="166"/>
      <c r="G240" s="166"/>
      <c r="H240" s="168"/>
      <c r="I240" s="168"/>
      <c r="J240" s="168"/>
      <c r="K240" s="166"/>
      <c r="L240" s="168"/>
      <c r="M240" s="166"/>
      <c r="N240" s="166"/>
      <c r="O240" s="166"/>
      <c r="P240" s="168"/>
      <c r="Q240" s="168"/>
      <c r="R240" s="168"/>
      <c r="S240" s="168"/>
      <c r="T240" s="166"/>
      <c r="U240" s="168"/>
      <c r="V240" s="168"/>
      <c r="X240" s="168"/>
      <c r="AA240" s="168"/>
      <c r="AB240" s="168"/>
    </row>
    <row r="241" spans="1:28" ht="18.75" customHeight="1" x14ac:dyDescent="0.3">
      <c r="A241" s="169"/>
      <c r="B241" s="168"/>
      <c r="C241" s="168"/>
      <c r="D241" s="168"/>
      <c r="E241" s="166"/>
      <c r="F241" s="166"/>
      <c r="G241" s="166"/>
      <c r="H241" s="168"/>
      <c r="I241" s="168"/>
      <c r="J241" s="168"/>
      <c r="K241" s="166"/>
      <c r="L241" s="168"/>
      <c r="M241" s="166"/>
      <c r="N241" s="166"/>
      <c r="O241" s="166"/>
      <c r="P241" s="168"/>
      <c r="Q241" s="168"/>
      <c r="R241" s="168"/>
      <c r="S241" s="168"/>
      <c r="T241" s="166"/>
      <c r="U241" s="168"/>
      <c r="V241" s="168"/>
      <c r="X241" s="168"/>
      <c r="AA241" s="168"/>
      <c r="AB241" s="168"/>
    </row>
    <row r="242" spans="1:28" ht="18.75" customHeight="1" x14ac:dyDescent="0.3">
      <c r="A242" s="169"/>
      <c r="B242" s="168"/>
      <c r="C242" s="168"/>
      <c r="D242" s="168"/>
      <c r="E242" s="166"/>
      <c r="F242" s="166"/>
      <c r="G242" s="166"/>
      <c r="H242" s="168"/>
      <c r="I242" s="168"/>
      <c r="J242" s="168"/>
      <c r="K242" s="166"/>
      <c r="L242" s="168"/>
      <c r="M242" s="166"/>
      <c r="N242" s="166"/>
      <c r="O242" s="166"/>
      <c r="P242" s="168"/>
      <c r="Q242" s="168"/>
      <c r="R242" s="168"/>
      <c r="S242" s="168"/>
      <c r="T242" s="166"/>
      <c r="U242" s="168"/>
      <c r="V242" s="168"/>
      <c r="X242" s="168"/>
      <c r="AA242" s="168"/>
      <c r="AB242" s="168"/>
    </row>
    <row r="243" spans="1:28" ht="18.75" customHeight="1" x14ac:dyDescent="0.3">
      <c r="A243" s="169"/>
      <c r="B243" s="168"/>
      <c r="C243" s="168"/>
      <c r="D243" s="168"/>
      <c r="E243" s="166"/>
      <c r="F243" s="166"/>
      <c r="G243" s="166"/>
      <c r="H243" s="168"/>
      <c r="I243" s="168"/>
      <c r="J243" s="168"/>
      <c r="K243" s="166"/>
      <c r="L243" s="168"/>
      <c r="M243" s="166"/>
      <c r="N243" s="166"/>
      <c r="O243" s="166"/>
      <c r="P243" s="168"/>
      <c r="Q243" s="168"/>
      <c r="R243" s="168"/>
      <c r="S243" s="168"/>
      <c r="T243" s="166"/>
      <c r="U243" s="168"/>
      <c r="V243" s="168"/>
      <c r="X243" s="168"/>
      <c r="AA243" s="168"/>
      <c r="AB243" s="168"/>
    </row>
    <row r="244" spans="1:28" ht="18.75" customHeight="1" x14ac:dyDescent="0.3">
      <c r="A244" s="169"/>
      <c r="B244" s="168"/>
      <c r="C244" s="168"/>
      <c r="D244" s="168"/>
      <c r="E244" s="166"/>
      <c r="F244" s="166"/>
      <c r="G244" s="166"/>
      <c r="H244" s="168"/>
      <c r="I244" s="168"/>
      <c r="J244" s="168"/>
      <c r="K244" s="166"/>
      <c r="L244" s="168"/>
      <c r="M244" s="166"/>
      <c r="N244" s="166"/>
      <c r="O244" s="166"/>
      <c r="P244" s="168"/>
      <c r="Q244" s="168"/>
      <c r="R244" s="168"/>
      <c r="S244" s="168"/>
      <c r="T244" s="166"/>
      <c r="U244" s="168"/>
      <c r="V244" s="168"/>
      <c r="X244" s="168"/>
      <c r="AA244" s="168"/>
      <c r="AB244" s="168"/>
    </row>
    <row r="245" spans="1:28" ht="18.75" customHeight="1" x14ac:dyDescent="0.3">
      <c r="A245" s="169"/>
      <c r="B245" s="168"/>
      <c r="C245" s="168"/>
      <c r="D245" s="168"/>
      <c r="E245" s="166"/>
      <c r="F245" s="166"/>
      <c r="G245" s="166"/>
      <c r="H245" s="168"/>
      <c r="I245" s="168"/>
      <c r="J245" s="168"/>
      <c r="K245" s="166"/>
      <c r="L245" s="168"/>
      <c r="M245" s="166"/>
      <c r="N245" s="166"/>
      <c r="O245" s="166"/>
      <c r="P245" s="168"/>
      <c r="Q245" s="168"/>
      <c r="R245" s="168"/>
      <c r="S245" s="168"/>
      <c r="T245" s="166"/>
      <c r="U245" s="168"/>
      <c r="V245" s="168"/>
      <c r="X245" s="168"/>
      <c r="AA245" s="168"/>
      <c r="AB245" s="168"/>
    </row>
    <row r="246" spans="1:28" ht="18.75" customHeight="1" x14ac:dyDescent="0.3">
      <c r="A246" s="169"/>
      <c r="B246" s="168"/>
      <c r="C246" s="168"/>
      <c r="D246" s="168"/>
      <c r="E246" s="166"/>
      <c r="F246" s="166"/>
      <c r="G246" s="166"/>
      <c r="H246" s="168"/>
      <c r="I246" s="168"/>
      <c r="J246" s="168"/>
      <c r="K246" s="166"/>
      <c r="L246" s="168"/>
      <c r="M246" s="166"/>
      <c r="N246" s="166"/>
      <c r="O246" s="166"/>
      <c r="P246" s="168"/>
      <c r="Q246" s="168"/>
      <c r="R246" s="168"/>
      <c r="S246" s="168"/>
      <c r="T246" s="166"/>
      <c r="U246" s="168"/>
      <c r="V246" s="168"/>
      <c r="X246" s="168"/>
      <c r="AA246" s="168"/>
      <c r="AB246" s="168"/>
    </row>
    <row r="247" spans="1:28" ht="18.75" customHeight="1" x14ac:dyDescent="0.3">
      <c r="A247" s="169"/>
      <c r="B247" s="168"/>
      <c r="C247" s="168"/>
      <c r="D247" s="168"/>
      <c r="E247" s="166"/>
      <c r="F247" s="166"/>
      <c r="G247" s="166"/>
      <c r="H247" s="168"/>
      <c r="I247" s="168"/>
      <c r="J247" s="168"/>
      <c r="K247" s="166"/>
      <c r="L247" s="168"/>
      <c r="M247" s="166"/>
      <c r="N247" s="166"/>
      <c r="O247" s="166"/>
      <c r="P247" s="168"/>
      <c r="Q247" s="168"/>
      <c r="R247" s="168"/>
      <c r="S247" s="168"/>
      <c r="T247" s="166"/>
      <c r="U247" s="168"/>
      <c r="V247" s="168"/>
      <c r="X247" s="168"/>
      <c r="AA247" s="168"/>
      <c r="AB247" s="168"/>
    </row>
    <row r="248" spans="1:28" ht="18.75" customHeight="1" x14ac:dyDescent="0.3">
      <c r="A248" s="169"/>
      <c r="B248" s="168"/>
      <c r="C248" s="168"/>
      <c r="D248" s="168"/>
      <c r="E248" s="166"/>
      <c r="F248" s="166"/>
      <c r="G248" s="166"/>
      <c r="H248" s="168"/>
      <c r="I248" s="168"/>
      <c r="J248" s="168"/>
      <c r="K248" s="166"/>
      <c r="L248" s="168"/>
      <c r="M248" s="166"/>
      <c r="N248" s="166"/>
      <c r="O248" s="166"/>
      <c r="P248" s="168"/>
      <c r="Q248" s="168"/>
      <c r="R248" s="168"/>
      <c r="S248" s="168"/>
      <c r="T248" s="166"/>
      <c r="U248" s="168"/>
      <c r="V248" s="168"/>
      <c r="X248" s="168"/>
      <c r="AA248" s="168"/>
      <c r="AB248" s="168"/>
    </row>
    <row r="249" spans="1:28" ht="18.75" customHeight="1" x14ac:dyDescent="0.3">
      <c r="A249" s="169"/>
      <c r="B249" s="168"/>
      <c r="C249" s="168"/>
      <c r="D249" s="168"/>
      <c r="E249" s="166"/>
      <c r="F249" s="166"/>
      <c r="G249" s="166"/>
      <c r="H249" s="168"/>
      <c r="I249" s="168"/>
      <c r="J249" s="168"/>
      <c r="K249" s="166"/>
      <c r="L249" s="168"/>
      <c r="M249" s="166"/>
      <c r="N249" s="166"/>
      <c r="O249" s="166"/>
      <c r="P249" s="168"/>
      <c r="Q249" s="168"/>
      <c r="R249" s="168"/>
      <c r="S249" s="168"/>
      <c r="T249" s="166"/>
      <c r="U249" s="168"/>
      <c r="V249" s="168"/>
      <c r="X249" s="168"/>
      <c r="AA249" s="168"/>
      <c r="AB249" s="168"/>
    </row>
    <row r="250" spans="1:28" ht="18.75" customHeight="1" x14ac:dyDescent="0.3">
      <c r="A250" s="169"/>
      <c r="B250" s="168"/>
      <c r="C250" s="168"/>
      <c r="D250" s="168"/>
      <c r="E250" s="166"/>
      <c r="F250" s="166"/>
      <c r="G250" s="166"/>
      <c r="H250" s="168"/>
      <c r="I250" s="168"/>
      <c r="J250" s="168"/>
      <c r="K250" s="166"/>
      <c r="L250" s="168"/>
      <c r="M250" s="166"/>
      <c r="N250" s="166"/>
      <c r="O250" s="166"/>
      <c r="P250" s="168"/>
      <c r="Q250" s="168"/>
      <c r="R250" s="168"/>
      <c r="S250" s="168"/>
      <c r="T250" s="166"/>
      <c r="U250" s="168"/>
      <c r="V250" s="168"/>
      <c r="X250" s="168"/>
      <c r="AA250" s="168"/>
      <c r="AB250" s="168"/>
    </row>
    <row r="251" spans="1:28" ht="18.75" customHeight="1" x14ac:dyDescent="0.3">
      <c r="A251" s="169"/>
      <c r="B251" s="168"/>
      <c r="C251" s="168"/>
      <c r="D251" s="168"/>
      <c r="E251" s="166"/>
      <c r="F251" s="166"/>
      <c r="G251" s="166"/>
      <c r="H251" s="168"/>
      <c r="I251" s="168"/>
      <c r="J251" s="168"/>
      <c r="K251" s="166"/>
      <c r="L251" s="168"/>
      <c r="M251" s="166"/>
      <c r="N251" s="166"/>
      <c r="O251" s="166"/>
      <c r="P251" s="168"/>
      <c r="Q251" s="168"/>
      <c r="R251" s="168"/>
      <c r="S251" s="168"/>
      <c r="T251" s="166"/>
      <c r="U251" s="168"/>
      <c r="V251" s="168"/>
      <c r="X251" s="168"/>
      <c r="AA251" s="168"/>
      <c r="AB251" s="168"/>
    </row>
    <row r="252" spans="1:28" ht="18.75" customHeight="1" x14ac:dyDescent="0.3">
      <c r="A252" s="169"/>
      <c r="B252" s="168"/>
      <c r="C252" s="168"/>
      <c r="D252" s="168"/>
      <c r="E252" s="166"/>
      <c r="F252" s="166"/>
      <c r="G252" s="166"/>
      <c r="H252" s="168"/>
      <c r="I252" s="168"/>
      <c r="J252" s="168"/>
      <c r="K252" s="166"/>
      <c r="L252" s="168"/>
      <c r="M252" s="166"/>
      <c r="N252" s="166"/>
      <c r="O252" s="166"/>
      <c r="P252" s="168"/>
      <c r="Q252" s="168"/>
      <c r="R252" s="168"/>
      <c r="S252" s="168"/>
      <c r="T252" s="166"/>
      <c r="U252" s="168"/>
      <c r="V252" s="168"/>
      <c r="X252" s="168"/>
      <c r="AA252" s="168"/>
      <c r="AB252" s="168"/>
    </row>
    <row r="253" spans="1:28" ht="18.75" customHeight="1" x14ac:dyDescent="0.3">
      <c r="A253" s="169"/>
      <c r="B253" s="168"/>
      <c r="C253" s="168"/>
      <c r="D253" s="168"/>
      <c r="E253" s="166"/>
      <c r="F253" s="166"/>
      <c r="G253" s="166"/>
      <c r="H253" s="168"/>
      <c r="I253" s="168"/>
      <c r="J253" s="168"/>
      <c r="K253" s="166"/>
      <c r="L253" s="168"/>
      <c r="M253" s="166"/>
      <c r="N253" s="166"/>
      <c r="O253" s="166"/>
      <c r="P253" s="168"/>
      <c r="Q253" s="168"/>
      <c r="R253" s="168"/>
      <c r="S253" s="168"/>
      <c r="T253" s="166"/>
      <c r="U253" s="168"/>
      <c r="V253" s="168"/>
      <c r="X253" s="168"/>
      <c r="AA253" s="168"/>
      <c r="AB253" s="168"/>
    </row>
    <row r="254" spans="1:28" ht="18.75" customHeight="1" x14ac:dyDescent="0.3">
      <c r="A254" s="169"/>
      <c r="B254" s="168"/>
      <c r="C254" s="168"/>
      <c r="D254" s="168"/>
      <c r="E254" s="166"/>
      <c r="F254" s="166"/>
      <c r="G254" s="166"/>
      <c r="H254" s="168"/>
      <c r="I254" s="168"/>
      <c r="J254" s="168"/>
      <c r="K254" s="166"/>
      <c r="L254" s="168"/>
      <c r="M254" s="166"/>
      <c r="N254" s="166"/>
      <c r="O254" s="166"/>
      <c r="P254" s="168"/>
      <c r="Q254" s="168"/>
      <c r="R254" s="168"/>
      <c r="S254" s="168"/>
      <c r="T254" s="166"/>
      <c r="U254" s="168"/>
      <c r="V254" s="168"/>
      <c r="X254" s="168"/>
      <c r="AA254" s="168"/>
      <c r="AB254" s="168"/>
    </row>
    <row r="255" spans="1:28" ht="18.75" customHeight="1" x14ac:dyDescent="0.3">
      <c r="A255" s="169"/>
      <c r="B255" s="168"/>
      <c r="C255" s="168"/>
      <c r="D255" s="168"/>
      <c r="E255" s="166"/>
      <c r="F255" s="166"/>
      <c r="G255" s="166"/>
      <c r="H255" s="168"/>
      <c r="I255" s="168"/>
      <c r="J255" s="168"/>
      <c r="K255" s="166"/>
      <c r="L255" s="168"/>
      <c r="M255" s="166"/>
      <c r="N255" s="166"/>
      <c r="O255" s="166"/>
      <c r="P255" s="168"/>
      <c r="Q255" s="168"/>
      <c r="R255" s="168"/>
      <c r="S255" s="168"/>
      <c r="T255" s="166"/>
      <c r="U255" s="168"/>
      <c r="V255" s="168"/>
      <c r="X255" s="168"/>
      <c r="AA255" s="168"/>
      <c r="AB255" s="168"/>
    </row>
    <row r="256" spans="1:28" ht="18.75" customHeight="1" x14ac:dyDescent="0.3">
      <c r="A256" s="169"/>
      <c r="B256" s="168"/>
      <c r="C256" s="168"/>
      <c r="D256" s="168"/>
      <c r="E256" s="166"/>
      <c r="F256" s="166"/>
      <c r="G256" s="166"/>
      <c r="H256" s="168"/>
      <c r="I256" s="168"/>
      <c r="J256" s="168"/>
      <c r="K256" s="166"/>
      <c r="L256" s="168"/>
      <c r="M256" s="166"/>
      <c r="N256" s="166"/>
      <c r="O256" s="166"/>
      <c r="P256" s="168"/>
      <c r="Q256" s="168"/>
      <c r="R256" s="168"/>
      <c r="S256" s="168"/>
      <c r="T256" s="166"/>
      <c r="U256" s="168"/>
      <c r="V256" s="168"/>
      <c r="X256" s="168"/>
      <c r="AA256" s="168"/>
      <c r="AB256" s="168"/>
    </row>
    <row r="257" spans="1:28" ht="18.75" customHeight="1" x14ac:dyDescent="0.3">
      <c r="A257" s="169"/>
      <c r="B257" s="168"/>
      <c r="C257" s="168"/>
      <c r="D257" s="168"/>
      <c r="E257" s="166"/>
      <c r="F257" s="166"/>
      <c r="G257" s="166"/>
      <c r="H257" s="168"/>
      <c r="I257" s="168"/>
      <c r="J257" s="168"/>
      <c r="K257" s="166"/>
      <c r="L257" s="168"/>
      <c r="M257" s="166"/>
      <c r="N257" s="166"/>
      <c r="O257" s="166"/>
      <c r="P257" s="168"/>
      <c r="Q257" s="168"/>
      <c r="R257" s="168"/>
      <c r="S257" s="168"/>
      <c r="T257" s="166"/>
      <c r="U257" s="168"/>
      <c r="V257" s="168"/>
      <c r="X257" s="168"/>
      <c r="AA257" s="168"/>
      <c r="AB257" s="168"/>
    </row>
    <row r="258" spans="1:28" ht="18.75" customHeight="1" x14ac:dyDescent="0.3">
      <c r="A258" s="169"/>
      <c r="B258" s="168"/>
      <c r="C258" s="168"/>
      <c r="D258" s="168"/>
      <c r="E258" s="166"/>
      <c r="F258" s="166"/>
      <c r="G258" s="166"/>
      <c r="H258" s="168"/>
      <c r="I258" s="168"/>
      <c r="J258" s="168"/>
      <c r="K258" s="166"/>
      <c r="L258" s="168"/>
      <c r="M258" s="166"/>
      <c r="N258" s="166"/>
      <c r="O258" s="166"/>
      <c r="P258" s="168"/>
      <c r="Q258" s="168"/>
      <c r="R258" s="168"/>
      <c r="S258" s="168"/>
      <c r="T258" s="166"/>
      <c r="U258" s="168"/>
      <c r="V258" s="168"/>
      <c r="X258" s="168"/>
      <c r="AA258" s="168"/>
      <c r="AB258" s="168"/>
    </row>
    <row r="259" spans="1:28" ht="18.75" customHeight="1" x14ac:dyDescent="0.3">
      <c r="A259" s="169"/>
      <c r="B259" s="168"/>
      <c r="C259" s="168"/>
      <c r="D259" s="168"/>
      <c r="E259" s="166"/>
      <c r="F259" s="166"/>
      <c r="G259" s="166"/>
      <c r="H259" s="168"/>
      <c r="I259" s="168"/>
      <c r="J259" s="168"/>
      <c r="K259" s="166"/>
      <c r="L259" s="168"/>
      <c r="M259" s="166"/>
      <c r="N259" s="166"/>
      <c r="O259" s="166"/>
      <c r="P259" s="168"/>
      <c r="Q259" s="168"/>
      <c r="R259" s="168"/>
      <c r="S259" s="168"/>
      <c r="T259" s="166"/>
      <c r="U259" s="168"/>
      <c r="V259" s="168"/>
      <c r="X259" s="168"/>
      <c r="AA259" s="168"/>
      <c r="AB259" s="168"/>
    </row>
    <row r="260" spans="1:28" ht="18.75" customHeight="1" x14ac:dyDescent="0.3">
      <c r="A260" s="169"/>
      <c r="B260" s="168"/>
      <c r="C260" s="168"/>
      <c r="D260" s="168"/>
      <c r="E260" s="166"/>
      <c r="F260" s="166"/>
      <c r="G260" s="166"/>
      <c r="H260" s="168"/>
      <c r="I260" s="168"/>
      <c r="J260" s="168"/>
      <c r="K260" s="166"/>
      <c r="L260" s="168"/>
      <c r="M260" s="166"/>
      <c r="N260" s="166"/>
      <c r="O260" s="166"/>
      <c r="P260" s="168"/>
      <c r="Q260" s="168"/>
      <c r="R260" s="168"/>
      <c r="S260" s="168"/>
      <c r="T260" s="166"/>
      <c r="U260" s="168"/>
      <c r="V260" s="168"/>
      <c r="X260" s="168"/>
      <c r="AA260" s="168"/>
      <c r="AB260" s="168"/>
    </row>
    <row r="261" spans="1:28" ht="18.75" customHeight="1" x14ac:dyDescent="0.3">
      <c r="A261" s="169"/>
      <c r="B261" s="168"/>
      <c r="C261" s="168"/>
      <c r="D261" s="168"/>
      <c r="E261" s="166"/>
      <c r="F261" s="166"/>
      <c r="G261" s="166"/>
      <c r="H261" s="168"/>
      <c r="I261" s="168"/>
      <c r="J261" s="168"/>
      <c r="K261" s="166"/>
      <c r="L261" s="168"/>
      <c r="M261" s="166"/>
      <c r="N261" s="166"/>
      <c r="O261" s="166"/>
      <c r="P261" s="168"/>
      <c r="Q261" s="168"/>
      <c r="R261" s="168"/>
      <c r="S261" s="168"/>
      <c r="T261" s="166"/>
      <c r="U261" s="168"/>
      <c r="V261" s="168"/>
      <c r="X261" s="168"/>
      <c r="AA261" s="168"/>
      <c r="AB261" s="168"/>
    </row>
    <row r="262" spans="1:28" ht="18.75" customHeight="1" x14ac:dyDescent="0.3">
      <c r="A262" s="169"/>
      <c r="B262" s="168"/>
      <c r="C262" s="168"/>
      <c r="D262" s="168"/>
      <c r="E262" s="166"/>
      <c r="F262" s="166"/>
      <c r="G262" s="166"/>
      <c r="H262" s="168"/>
      <c r="I262" s="168"/>
      <c r="J262" s="168"/>
      <c r="K262" s="166"/>
      <c r="L262" s="168"/>
      <c r="M262" s="166"/>
      <c r="N262" s="166"/>
      <c r="O262" s="166"/>
      <c r="P262" s="168"/>
      <c r="Q262" s="168"/>
      <c r="R262" s="168"/>
      <c r="S262" s="168"/>
      <c r="T262" s="166"/>
      <c r="U262" s="168"/>
      <c r="V262" s="168"/>
      <c r="X262" s="168"/>
      <c r="AA262" s="168"/>
      <c r="AB262" s="168"/>
    </row>
    <row r="263" spans="1:28" ht="18.75" customHeight="1" x14ac:dyDescent="0.3">
      <c r="A263" s="169"/>
      <c r="B263" s="168"/>
      <c r="C263" s="168"/>
      <c r="D263" s="168"/>
      <c r="E263" s="166"/>
      <c r="F263" s="166"/>
      <c r="G263" s="166"/>
      <c r="H263" s="168"/>
      <c r="I263" s="168"/>
      <c r="J263" s="168"/>
      <c r="K263" s="166"/>
      <c r="L263" s="168"/>
      <c r="M263" s="166"/>
      <c r="N263" s="166"/>
      <c r="O263" s="166"/>
      <c r="P263" s="168"/>
      <c r="Q263" s="168"/>
      <c r="R263" s="168"/>
      <c r="S263" s="168"/>
      <c r="T263" s="166"/>
      <c r="U263" s="168"/>
      <c r="V263" s="168"/>
      <c r="X263" s="168"/>
      <c r="AA263" s="168"/>
      <c r="AB263" s="168"/>
    </row>
    <row r="264" spans="1:28" ht="18.75" customHeight="1" x14ac:dyDescent="0.3">
      <c r="A264" s="169"/>
      <c r="B264" s="168"/>
      <c r="C264" s="168"/>
      <c r="D264" s="168"/>
      <c r="E264" s="166"/>
      <c r="F264" s="166"/>
      <c r="G264" s="166"/>
      <c r="H264" s="168"/>
      <c r="I264" s="168"/>
      <c r="J264" s="168"/>
      <c r="K264" s="166"/>
      <c r="L264" s="168"/>
      <c r="M264" s="166"/>
      <c r="N264" s="166"/>
      <c r="O264" s="166"/>
      <c r="P264" s="168"/>
      <c r="Q264" s="168"/>
      <c r="R264" s="168"/>
      <c r="S264" s="168"/>
      <c r="T264" s="166"/>
      <c r="U264" s="168"/>
      <c r="V264" s="168"/>
      <c r="X264" s="168"/>
      <c r="AA264" s="168"/>
      <c r="AB264" s="168"/>
    </row>
    <row r="265" spans="1:28" ht="18.75" customHeight="1" x14ac:dyDescent="0.3">
      <c r="A265" s="169"/>
      <c r="B265" s="168"/>
      <c r="C265" s="168"/>
      <c r="D265" s="168"/>
      <c r="E265" s="166"/>
      <c r="F265" s="166"/>
      <c r="G265" s="166"/>
      <c r="H265" s="168"/>
      <c r="I265" s="168"/>
      <c r="J265" s="168"/>
      <c r="K265" s="166"/>
      <c r="L265" s="168"/>
      <c r="M265" s="166"/>
      <c r="N265" s="166"/>
      <c r="O265" s="166"/>
      <c r="P265" s="168"/>
      <c r="Q265" s="168"/>
      <c r="R265" s="168"/>
      <c r="S265" s="168"/>
      <c r="T265" s="166"/>
      <c r="U265" s="168"/>
      <c r="V265" s="168"/>
      <c r="X265" s="168"/>
      <c r="AA265" s="168"/>
      <c r="AB265" s="168"/>
    </row>
    <row r="266" spans="1:28" ht="18.75" customHeight="1" x14ac:dyDescent="0.3">
      <c r="A266" s="169"/>
      <c r="B266" s="168"/>
      <c r="C266" s="168"/>
      <c r="D266" s="168"/>
      <c r="E266" s="166"/>
      <c r="F266" s="166"/>
      <c r="G266" s="166"/>
      <c r="H266" s="168"/>
      <c r="I266" s="168"/>
      <c r="J266" s="168"/>
      <c r="K266" s="166"/>
      <c r="L266" s="168"/>
      <c r="M266" s="166"/>
      <c r="N266" s="166"/>
      <c r="O266" s="166"/>
      <c r="P266" s="168"/>
      <c r="Q266" s="168"/>
      <c r="R266" s="168"/>
      <c r="S266" s="168"/>
      <c r="T266" s="166"/>
      <c r="U266" s="168"/>
      <c r="V266" s="168"/>
      <c r="X266" s="168"/>
      <c r="AA266" s="168"/>
      <c r="AB266" s="168"/>
    </row>
    <row r="267" spans="1:28" ht="18.75" customHeight="1" x14ac:dyDescent="0.3">
      <c r="A267" s="169"/>
      <c r="B267" s="168"/>
      <c r="C267" s="168"/>
      <c r="D267" s="168"/>
      <c r="E267" s="166"/>
      <c r="F267" s="166"/>
      <c r="G267" s="166"/>
      <c r="H267" s="168"/>
      <c r="I267" s="168"/>
      <c r="J267" s="168"/>
      <c r="K267" s="166"/>
      <c r="L267" s="168"/>
      <c r="M267" s="166"/>
      <c r="N267" s="166"/>
      <c r="O267" s="166"/>
      <c r="P267" s="168"/>
      <c r="Q267" s="168"/>
      <c r="R267" s="168"/>
      <c r="S267" s="168"/>
      <c r="T267" s="166"/>
      <c r="U267" s="168"/>
      <c r="V267" s="168"/>
      <c r="X267" s="168"/>
      <c r="AA267" s="168"/>
      <c r="AB267" s="168"/>
    </row>
    <row r="268" spans="1:28" ht="18.75" customHeight="1" x14ac:dyDescent="0.3">
      <c r="A268" s="169"/>
      <c r="B268" s="168"/>
      <c r="C268" s="168"/>
      <c r="D268" s="168"/>
      <c r="E268" s="166"/>
      <c r="F268" s="166"/>
      <c r="G268" s="166"/>
      <c r="H268" s="168"/>
      <c r="I268" s="168"/>
      <c r="J268" s="168"/>
      <c r="K268" s="166"/>
      <c r="L268" s="168"/>
      <c r="M268" s="166"/>
      <c r="N268" s="166"/>
      <c r="O268" s="166"/>
      <c r="P268" s="168"/>
      <c r="Q268" s="168"/>
      <c r="R268" s="168"/>
      <c r="S268" s="168"/>
      <c r="T268" s="166"/>
      <c r="U268" s="168"/>
      <c r="V268" s="168"/>
      <c r="X268" s="168"/>
      <c r="AA268" s="168"/>
      <c r="AB268" s="168"/>
    </row>
    <row r="269" spans="1:28" ht="18.75" customHeight="1" x14ac:dyDescent="0.3">
      <c r="A269" s="169"/>
      <c r="B269" s="168"/>
      <c r="C269" s="168"/>
      <c r="D269" s="168"/>
      <c r="E269" s="166"/>
      <c r="F269" s="166"/>
      <c r="G269" s="166"/>
      <c r="H269" s="168"/>
      <c r="I269" s="168"/>
      <c r="J269" s="168"/>
      <c r="K269" s="166"/>
      <c r="L269" s="168"/>
      <c r="M269" s="166"/>
      <c r="N269" s="166"/>
      <c r="O269" s="166"/>
      <c r="P269" s="168"/>
      <c r="Q269" s="168"/>
      <c r="R269" s="168"/>
      <c r="S269" s="168"/>
      <c r="T269" s="166"/>
      <c r="U269" s="168"/>
      <c r="V269" s="168"/>
      <c r="X269" s="168"/>
      <c r="AA269" s="168"/>
      <c r="AB269" s="168"/>
    </row>
    <row r="270" spans="1:28" ht="18.75" customHeight="1" x14ac:dyDescent="0.3">
      <c r="A270" s="169"/>
      <c r="B270" s="168"/>
      <c r="C270" s="168"/>
      <c r="D270" s="168"/>
      <c r="E270" s="166"/>
      <c r="F270" s="166"/>
      <c r="G270" s="166"/>
      <c r="H270" s="168"/>
      <c r="I270" s="168"/>
      <c r="J270" s="168"/>
      <c r="K270" s="166"/>
      <c r="L270" s="168"/>
      <c r="M270" s="166"/>
      <c r="N270" s="166"/>
      <c r="O270" s="166"/>
      <c r="P270" s="168"/>
      <c r="Q270" s="168"/>
      <c r="R270" s="168"/>
      <c r="S270" s="168"/>
      <c r="T270" s="166"/>
      <c r="U270" s="168"/>
      <c r="V270" s="168"/>
      <c r="X270" s="168"/>
      <c r="AA270" s="168"/>
      <c r="AB270" s="168"/>
    </row>
    <row r="271" spans="1:28" ht="18.75" customHeight="1" x14ac:dyDescent="0.3">
      <c r="A271" s="169"/>
      <c r="B271" s="168"/>
      <c r="C271" s="168"/>
      <c r="D271" s="168"/>
      <c r="E271" s="166"/>
      <c r="F271" s="166"/>
      <c r="G271" s="166"/>
      <c r="H271" s="168"/>
      <c r="I271" s="168"/>
      <c r="J271" s="168"/>
      <c r="K271" s="166"/>
      <c r="L271" s="168"/>
      <c r="M271" s="166"/>
      <c r="N271" s="166"/>
      <c r="O271" s="166"/>
      <c r="P271" s="168"/>
      <c r="Q271" s="168"/>
      <c r="R271" s="168"/>
      <c r="S271" s="168"/>
      <c r="T271" s="166"/>
      <c r="U271" s="168"/>
      <c r="V271" s="168"/>
      <c r="X271" s="168"/>
      <c r="AA271" s="168"/>
      <c r="AB271" s="168"/>
    </row>
    <row r="272" spans="1:28" ht="18.75" customHeight="1" x14ac:dyDescent="0.3">
      <c r="A272" s="169"/>
      <c r="B272" s="168"/>
      <c r="C272" s="168"/>
      <c r="D272" s="168"/>
      <c r="E272" s="166"/>
      <c r="F272" s="166"/>
      <c r="G272" s="166"/>
      <c r="H272" s="168"/>
      <c r="I272" s="168"/>
      <c r="J272" s="168"/>
      <c r="K272" s="166"/>
      <c r="L272" s="168"/>
      <c r="M272" s="166"/>
      <c r="N272" s="166"/>
      <c r="O272" s="166"/>
      <c r="P272" s="168"/>
      <c r="Q272" s="168"/>
      <c r="R272" s="168"/>
      <c r="S272" s="168"/>
      <c r="T272" s="166"/>
      <c r="U272" s="168"/>
      <c r="V272" s="168"/>
      <c r="X272" s="168"/>
      <c r="AA272" s="168"/>
      <c r="AB272" s="168"/>
    </row>
    <row r="273" spans="1:28" ht="18.75" customHeight="1" x14ac:dyDescent="0.3">
      <c r="A273" s="169"/>
      <c r="B273" s="168"/>
      <c r="C273" s="168"/>
      <c r="D273" s="168"/>
      <c r="E273" s="166"/>
      <c r="F273" s="166"/>
      <c r="G273" s="166"/>
      <c r="H273" s="168"/>
      <c r="I273" s="168"/>
      <c r="J273" s="168"/>
      <c r="K273" s="166"/>
      <c r="L273" s="168"/>
      <c r="M273" s="166"/>
      <c r="N273" s="166"/>
      <c r="O273" s="166"/>
      <c r="P273" s="168"/>
      <c r="Q273" s="168"/>
      <c r="R273" s="168"/>
      <c r="S273" s="168"/>
      <c r="T273" s="166"/>
      <c r="U273" s="168"/>
      <c r="V273" s="168"/>
      <c r="X273" s="168"/>
      <c r="AA273" s="168"/>
      <c r="AB273" s="168"/>
    </row>
    <row r="274" spans="1:28" ht="18.75" customHeight="1" x14ac:dyDescent="0.3">
      <c r="A274" s="169"/>
      <c r="B274" s="168"/>
      <c r="C274" s="168"/>
      <c r="D274" s="168"/>
      <c r="E274" s="166"/>
      <c r="F274" s="166"/>
      <c r="G274" s="166"/>
      <c r="H274" s="168"/>
      <c r="I274" s="168"/>
      <c r="J274" s="168"/>
      <c r="K274" s="166"/>
      <c r="L274" s="168"/>
      <c r="M274" s="166"/>
      <c r="N274" s="166"/>
      <c r="O274" s="166"/>
      <c r="P274" s="168"/>
      <c r="Q274" s="168"/>
      <c r="R274" s="168"/>
      <c r="S274" s="168"/>
      <c r="T274" s="166"/>
      <c r="U274" s="168"/>
      <c r="V274" s="168"/>
      <c r="X274" s="168"/>
      <c r="AA274" s="168"/>
      <c r="AB274" s="168"/>
    </row>
    <row r="275" spans="1:28" ht="18.75" customHeight="1" x14ac:dyDescent="0.3">
      <c r="A275" s="169"/>
      <c r="B275" s="168"/>
      <c r="C275" s="168"/>
      <c r="D275" s="168"/>
      <c r="E275" s="166"/>
      <c r="F275" s="166"/>
      <c r="G275" s="166"/>
      <c r="H275" s="168"/>
      <c r="I275" s="168"/>
      <c r="J275" s="168"/>
      <c r="K275" s="166"/>
      <c r="L275" s="168"/>
      <c r="M275" s="166"/>
      <c r="N275" s="166"/>
      <c r="O275" s="166"/>
      <c r="P275" s="168"/>
      <c r="Q275" s="168"/>
      <c r="R275" s="168"/>
      <c r="S275" s="168"/>
      <c r="T275" s="166"/>
      <c r="U275" s="168"/>
      <c r="V275" s="168"/>
      <c r="X275" s="168"/>
      <c r="AA275" s="168"/>
      <c r="AB275" s="168"/>
    </row>
    <row r="276" spans="1:28" ht="18.75" customHeight="1" x14ac:dyDescent="0.3">
      <c r="A276" s="169"/>
      <c r="B276" s="168"/>
      <c r="C276" s="168"/>
      <c r="D276" s="168"/>
      <c r="E276" s="166"/>
      <c r="F276" s="166"/>
      <c r="G276" s="166"/>
      <c r="H276" s="168"/>
      <c r="I276" s="168"/>
      <c r="J276" s="168"/>
      <c r="K276" s="166"/>
      <c r="L276" s="168"/>
      <c r="M276" s="166"/>
      <c r="N276" s="166"/>
      <c r="O276" s="166"/>
      <c r="P276" s="168"/>
      <c r="Q276" s="168"/>
      <c r="R276" s="168"/>
      <c r="S276" s="168"/>
      <c r="T276" s="166"/>
      <c r="U276" s="168"/>
      <c r="V276" s="168"/>
      <c r="X276" s="168"/>
      <c r="AA276" s="168"/>
      <c r="AB276" s="168"/>
    </row>
    <row r="277" spans="1:28" ht="18.75" customHeight="1" x14ac:dyDescent="0.3">
      <c r="A277" s="169"/>
      <c r="B277" s="168"/>
      <c r="C277" s="168"/>
      <c r="D277" s="168"/>
      <c r="E277" s="166"/>
      <c r="F277" s="166"/>
      <c r="G277" s="166"/>
      <c r="H277" s="168"/>
      <c r="I277" s="168"/>
      <c r="J277" s="168"/>
      <c r="K277" s="166"/>
      <c r="L277" s="168"/>
      <c r="M277" s="166"/>
      <c r="N277" s="166"/>
      <c r="O277" s="166"/>
      <c r="P277" s="168"/>
      <c r="Q277" s="168"/>
      <c r="R277" s="168"/>
      <c r="S277" s="168"/>
      <c r="T277" s="166"/>
      <c r="U277" s="168"/>
      <c r="V277" s="168"/>
      <c r="X277" s="168"/>
      <c r="AA277" s="168"/>
      <c r="AB277" s="168"/>
    </row>
    <row r="278" spans="1:28" ht="18.75" customHeight="1" x14ac:dyDescent="0.3">
      <c r="A278" s="169"/>
      <c r="B278" s="168"/>
      <c r="C278" s="168"/>
      <c r="D278" s="168"/>
      <c r="E278" s="166"/>
      <c r="F278" s="166"/>
      <c r="G278" s="166"/>
      <c r="H278" s="168"/>
      <c r="I278" s="168"/>
      <c r="J278" s="168"/>
      <c r="K278" s="166"/>
      <c r="L278" s="168"/>
      <c r="M278" s="166"/>
      <c r="N278" s="166"/>
      <c r="O278" s="166"/>
      <c r="P278" s="168"/>
      <c r="Q278" s="168"/>
      <c r="R278" s="168"/>
      <c r="S278" s="168"/>
      <c r="T278" s="166"/>
      <c r="U278" s="168"/>
      <c r="V278" s="168"/>
      <c r="X278" s="168"/>
      <c r="AA278" s="168"/>
      <c r="AB278" s="168"/>
    </row>
    <row r="279" spans="1:28" ht="18.75" customHeight="1" x14ac:dyDescent="0.3">
      <c r="A279" s="169"/>
      <c r="B279" s="168"/>
      <c r="C279" s="168"/>
      <c r="D279" s="168"/>
      <c r="E279" s="166"/>
      <c r="F279" s="166"/>
      <c r="G279" s="166"/>
      <c r="H279" s="168"/>
      <c r="I279" s="168"/>
      <c r="J279" s="168"/>
      <c r="K279" s="166"/>
      <c r="L279" s="168"/>
      <c r="M279" s="166"/>
      <c r="N279" s="166"/>
      <c r="O279" s="166"/>
      <c r="P279" s="168"/>
      <c r="Q279" s="168"/>
      <c r="R279" s="168"/>
      <c r="S279" s="168"/>
      <c r="T279" s="166"/>
      <c r="U279" s="168"/>
      <c r="V279" s="168"/>
      <c r="X279" s="168"/>
      <c r="AA279" s="168"/>
      <c r="AB279" s="168"/>
    </row>
    <row r="280" spans="1:28" ht="18.75" customHeight="1" x14ac:dyDescent="0.3">
      <c r="A280" s="169"/>
      <c r="B280" s="168"/>
      <c r="C280" s="168"/>
      <c r="D280" s="168"/>
      <c r="E280" s="166"/>
      <c r="F280" s="166"/>
      <c r="G280" s="166"/>
      <c r="H280" s="168"/>
      <c r="I280" s="168"/>
      <c r="J280" s="168"/>
      <c r="K280" s="166"/>
      <c r="L280" s="168"/>
      <c r="M280" s="166"/>
      <c r="N280" s="166"/>
      <c r="O280" s="166"/>
      <c r="P280" s="168"/>
      <c r="Q280" s="168"/>
      <c r="R280" s="168"/>
      <c r="S280" s="168"/>
      <c r="T280" s="166"/>
      <c r="U280" s="168"/>
      <c r="V280" s="168"/>
      <c r="X280" s="168"/>
      <c r="AA280" s="168"/>
      <c r="AB280" s="168"/>
    </row>
    <row r="281" spans="1:28" ht="18.75" customHeight="1" x14ac:dyDescent="0.3">
      <c r="A281" s="169"/>
      <c r="B281" s="168"/>
      <c r="C281" s="168"/>
      <c r="D281" s="168"/>
      <c r="E281" s="166"/>
      <c r="F281" s="166"/>
      <c r="G281" s="166"/>
      <c r="H281" s="168"/>
      <c r="I281" s="168"/>
      <c r="J281" s="168"/>
      <c r="K281" s="166"/>
      <c r="L281" s="168"/>
      <c r="M281" s="166"/>
      <c r="N281" s="166"/>
      <c r="O281" s="166"/>
      <c r="P281" s="168"/>
      <c r="Q281" s="168"/>
      <c r="R281" s="168"/>
      <c r="S281" s="168"/>
      <c r="T281" s="166"/>
      <c r="U281" s="168"/>
      <c r="V281" s="168"/>
      <c r="X281" s="168"/>
      <c r="AA281" s="168"/>
      <c r="AB281" s="168"/>
    </row>
    <row r="282" spans="1:28" ht="18.75" customHeight="1" x14ac:dyDescent="0.3">
      <c r="A282" s="169"/>
      <c r="B282" s="168"/>
      <c r="C282" s="168"/>
      <c r="D282" s="168"/>
      <c r="E282" s="166"/>
      <c r="F282" s="166"/>
      <c r="G282" s="166"/>
      <c r="H282" s="168"/>
      <c r="I282" s="168"/>
      <c r="J282" s="168"/>
      <c r="K282" s="166"/>
      <c r="L282" s="168"/>
      <c r="M282" s="166"/>
      <c r="N282" s="166"/>
      <c r="O282" s="166"/>
      <c r="P282" s="168"/>
      <c r="Q282" s="168"/>
      <c r="R282" s="168"/>
      <c r="S282" s="168"/>
      <c r="T282" s="166"/>
      <c r="U282" s="168"/>
      <c r="V282" s="168"/>
      <c r="X282" s="168"/>
      <c r="AA282" s="168"/>
      <c r="AB282" s="168"/>
    </row>
    <row r="283" spans="1:28" ht="18.75" customHeight="1" x14ac:dyDescent="0.3">
      <c r="A283" s="169"/>
      <c r="B283" s="168"/>
      <c r="C283" s="168"/>
      <c r="D283" s="168"/>
      <c r="E283" s="166"/>
      <c r="F283" s="166"/>
      <c r="G283" s="166"/>
      <c r="H283" s="168"/>
      <c r="I283" s="168"/>
      <c r="J283" s="168"/>
      <c r="K283" s="166"/>
      <c r="L283" s="168"/>
      <c r="M283" s="166"/>
      <c r="N283" s="166"/>
      <c r="O283" s="166"/>
      <c r="P283" s="168"/>
      <c r="Q283" s="168"/>
      <c r="R283" s="168"/>
      <c r="S283" s="168"/>
      <c r="T283" s="166"/>
      <c r="U283" s="168"/>
      <c r="V283" s="168"/>
      <c r="X283" s="168"/>
      <c r="AA283" s="168"/>
      <c r="AB283" s="168"/>
    </row>
    <row r="284" spans="1:28" ht="18.75" customHeight="1" x14ac:dyDescent="0.3">
      <c r="A284" s="169"/>
      <c r="B284" s="168"/>
      <c r="C284" s="168"/>
      <c r="D284" s="168"/>
      <c r="E284" s="166"/>
      <c r="F284" s="166"/>
      <c r="G284" s="166"/>
      <c r="H284" s="168"/>
      <c r="I284" s="168"/>
      <c r="J284" s="168"/>
      <c r="K284" s="166"/>
      <c r="L284" s="168"/>
      <c r="M284" s="166"/>
      <c r="N284" s="166"/>
      <c r="O284" s="166"/>
      <c r="P284" s="168"/>
      <c r="Q284" s="168"/>
      <c r="R284" s="168"/>
      <c r="S284" s="168"/>
      <c r="T284" s="166"/>
      <c r="U284" s="168"/>
      <c r="V284" s="168"/>
      <c r="X284" s="168"/>
      <c r="AA284" s="168"/>
      <c r="AB284" s="168"/>
    </row>
    <row r="285" spans="1:28" ht="18.75" customHeight="1" x14ac:dyDescent="0.3">
      <c r="A285" s="169"/>
      <c r="B285" s="168"/>
      <c r="C285" s="168"/>
      <c r="D285" s="168"/>
      <c r="E285" s="166"/>
      <c r="F285" s="166"/>
      <c r="G285" s="166"/>
      <c r="H285" s="168"/>
      <c r="I285" s="168"/>
      <c r="J285" s="168"/>
      <c r="K285" s="166"/>
      <c r="L285" s="168"/>
      <c r="M285" s="166"/>
      <c r="N285" s="166"/>
      <c r="O285" s="166"/>
      <c r="P285" s="168"/>
      <c r="Q285" s="168"/>
      <c r="R285" s="168"/>
      <c r="S285" s="168"/>
      <c r="T285" s="166"/>
      <c r="U285" s="168"/>
      <c r="V285" s="168"/>
      <c r="X285" s="168"/>
      <c r="AA285" s="168"/>
      <c r="AB285" s="168"/>
    </row>
    <row r="286" spans="1:28" ht="18.75" customHeight="1" x14ac:dyDescent="0.3">
      <c r="A286" s="169"/>
      <c r="B286" s="168"/>
      <c r="C286" s="168"/>
      <c r="D286" s="168"/>
      <c r="E286" s="166"/>
      <c r="F286" s="166"/>
      <c r="G286" s="166"/>
      <c r="H286" s="168"/>
      <c r="I286" s="168"/>
      <c r="J286" s="168"/>
      <c r="K286" s="166"/>
      <c r="L286" s="168"/>
      <c r="M286" s="166"/>
      <c r="N286" s="166"/>
      <c r="O286" s="166"/>
      <c r="P286" s="168"/>
      <c r="Q286" s="168"/>
      <c r="R286" s="168"/>
      <c r="S286" s="168"/>
      <c r="T286" s="166"/>
      <c r="U286" s="168"/>
      <c r="V286" s="168"/>
      <c r="X286" s="168"/>
      <c r="AA286" s="168"/>
      <c r="AB286" s="168"/>
    </row>
    <row r="287" spans="1:28" ht="18.75" customHeight="1" x14ac:dyDescent="0.3">
      <c r="A287" s="169"/>
      <c r="B287" s="168"/>
      <c r="C287" s="168"/>
      <c r="D287" s="168"/>
      <c r="E287" s="166"/>
      <c r="F287" s="166"/>
      <c r="G287" s="166"/>
      <c r="H287" s="168"/>
      <c r="I287" s="168"/>
      <c r="J287" s="168"/>
      <c r="K287" s="166"/>
      <c r="L287" s="168"/>
      <c r="M287" s="166"/>
      <c r="N287" s="166"/>
      <c r="O287" s="166"/>
      <c r="P287" s="168"/>
      <c r="Q287" s="168"/>
      <c r="R287" s="168"/>
      <c r="S287" s="168"/>
      <c r="T287" s="166"/>
      <c r="U287" s="168"/>
      <c r="V287" s="168"/>
      <c r="X287" s="168"/>
      <c r="AA287" s="168"/>
      <c r="AB287" s="168"/>
    </row>
    <row r="288" spans="1:28" ht="18.75" customHeight="1" x14ac:dyDescent="0.3">
      <c r="A288" s="169"/>
      <c r="B288" s="168"/>
      <c r="C288" s="168"/>
      <c r="D288" s="168"/>
      <c r="E288" s="166"/>
      <c r="F288" s="166"/>
      <c r="G288" s="166"/>
      <c r="H288" s="168"/>
      <c r="I288" s="168"/>
      <c r="J288" s="168"/>
      <c r="K288" s="166"/>
      <c r="L288" s="168"/>
      <c r="M288" s="166"/>
      <c r="N288" s="166"/>
      <c r="O288" s="166"/>
      <c r="P288" s="168"/>
      <c r="Q288" s="168"/>
      <c r="R288" s="168"/>
      <c r="S288" s="168"/>
      <c r="T288" s="166"/>
      <c r="U288" s="168"/>
      <c r="V288" s="168"/>
      <c r="X288" s="168"/>
      <c r="AA288" s="168"/>
      <c r="AB288" s="168"/>
    </row>
    <row r="289" spans="1:28" ht="18.75" customHeight="1" x14ac:dyDescent="0.3">
      <c r="A289" s="169"/>
      <c r="B289" s="168"/>
      <c r="C289" s="168"/>
      <c r="D289" s="168"/>
      <c r="E289" s="166"/>
      <c r="F289" s="166"/>
      <c r="G289" s="166"/>
      <c r="H289" s="168"/>
      <c r="I289" s="168"/>
      <c r="J289" s="168"/>
      <c r="K289" s="166"/>
      <c r="L289" s="168"/>
      <c r="M289" s="166"/>
      <c r="N289" s="166"/>
      <c r="O289" s="166"/>
      <c r="P289" s="168"/>
      <c r="Q289" s="168"/>
      <c r="R289" s="168"/>
      <c r="S289" s="168"/>
      <c r="T289" s="166"/>
      <c r="U289" s="168"/>
      <c r="V289" s="168"/>
      <c r="X289" s="168"/>
      <c r="AA289" s="168"/>
      <c r="AB289" s="168"/>
    </row>
    <row r="290" spans="1:28" ht="18.75" customHeight="1" x14ac:dyDescent="0.3">
      <c r="A290" s="169"/>
      <c r="B290" s="168"/>
      <c r="C290" s="168"/>
      <c r="D290" s="168"/>
      <c r="E290" s="166"/>
      <c r="F290" s="166"/>
      <c r="G290" s="166"/>
      <c r="H290" s="168"/>
      <c r="I290" s="168"/>
      <c r="J290" s="168"/>
      <c r="K290" s="166"/>
      <c r="L290" s="168"/>
      <c r="M290" s="166"/>
      <c r="N290" s="166"/>
      <c r="O290" s="166"/>
      <c r="P290" s="168"/>
      <c r="Q290" s="168"/>
      <c r="R290" s="168"/>
      <c r="S290" s="168"/>
      <c r="T290" s="166"/>
      <c r="U290" s="168"/>
      <c r="V290" s="168"/>
      <c r="X290" s="168"/>
      <c r="AA290" s="168"/>
      <c r="AB290" s="168"/>
    </row>
    <row r="291" spans="1:28" ht="18.75" customHeight="1" x14ac:dyDescent="0.3">
      <c r="A291" s="169"/>
      <c r="B291" s="168"/>
      <c r="C291" s="168"/>
      <c r="D291" s="168"/>
      <c r="E291" s="166"/>
      <c r="F291" s="166"/>
      <c r="G291" s="166"/>
      <c r="H291" s="168"/>
      <c r="I291" s="168"/>
      <c r="J291" s="168"/>
      <c r="K291" s="166"/>
      <c r="L291" s="168"/>
      <c r="M291" s="166"/>
      <c r="N291" s="166"/>
      <c r="O291" s="166"/>
      <c r="P291" s="168"/>
      <c r="Q291" s="168"/>
      <c r="R291" s="168"/>
      <c r="S291" s="168"/>
      <c r="T291" s="166"/>
      <c r="U291" s="168"/>
      <c r="V291" s="168"/>
      <c r="X291" s="168"/>
      <c r="AA291" s="168"/>
      <c r="AB291" s="168"/>
    </row>
    <row r="292" spans="1:28" ht="18.75" customHeight="1" x14ac:dyDescent="0.3">
      <c r="A292" s="169"/>
      <c r="B292" s="168"/>
      <c r="C292" s="168"/>
      <c r="D292" s="168"/>
      <c r="E292" s="166"/>
      <c r="F292" s="166"/>
      <c r="G292" s="166"/>
      <c r="H292" s="168"/>
      <c r="I292" s="168"/>
      <c r="J292" s="168"/>
      <c r="K292" s="166"/>
      <c r="L292" s="168"/>
      <c r="M292" s="166"/>
      <c r="N292" s="166"/>
      <c r="O292" s="166"/>
      <c r="P292" s="168"/>
      <c r="Q292" s="168"/>
      <c r="R292" s="168"/>
      <c r="S292" s="168"/>
      <c r="T292" s="166"/>
      <c r="U292" s="168"/>
      <c r="V292" s="168"/>
      <c r="X292" s="168"/>
      <c r="AA292" s="168"/>
      <c r="AB292" s="168"/>
    </row>
    <row r="293" spans="1:28" ht="18.75" customHeight="1" x14ac:dyDescent="0.3">
      <c r="A293" s="169"/>
      <c r="B293" s="168"/>
      <c r="C293" s="168"/>
      <c r="D293" s="168"/>
      <c r="E293" s="166"/>
      <c r="F293" s="166"/>
      <c r="G293" s="166"/>
      <c r="H293" s="168"/>
      <c r="I293" s="168"/>
      <c r="J293" s="168"/>
      <c r="K293" s="166"/>
      <c r="L293" s="168"/>
      <c r="M293" s="166"/>
      <c r="N293" s="166"/>
      <c r="O293" s="166"/>
      <c r="P293" s="168"/>
      <c r="Q293" s="168"/>
      <c r="R293" s="168"/>
      <c r="S293" s="168"/>
      <c r="T293" s="166"/>
      <c r="U293" s="168"/>
      <c r="V293" s="168"/>
      <c r="X293" s="168"/>
      <c r="AA293" s="168"/>
      <c r="AB293" s="168"/>
    </row>
    <row r="294" spans="1:28" ht="18.75" customHeight="1" x14ac:dyDescent="0.3">
      <c r="A294" s="169"/>
      <c r="B294" s="168"/>
      <c r="C294" s="168"/>
      <c r="D294" s="168"/>
      <c r="E294" s="166"/>
      <c r="F294" s="166"/>
      <c r="G294" s="166"/>
      <c r="H294" s="168"/>
      <c r="I294" s="168"/>
      <c r="J294" s="168"/>
      <c r="K294" s="166"/>
      <c r="L294" s="168"/>
      <c r="M294" s="166"/>
      <c r="N294" s="166"/>
      <c r="O294" s="166"/>
      <c r="P294" s="168"/>
      <c r="Q294" s="168"/>
      <c r="R294" s="168"/>
      <c r="S294" s="168"/>
      <c r="T294" s="166"/>
      <c r="U294" s="168"/>
      <c r="V294" s="168"/>
      <c r="X294" s="168"/>
      <c r="AA294" s="168"/>
      <c r="AB294" s="168"/>
    </row>
    <row r="295" spans="1:28" ht="18.75" customHeight="1" x14ac:dyDescent="0.3">
      <c r="A295" s="169"/>
      <c r="B295" s="168"/>
      <c r="C295" s="168"/>
      <c r="D295" s="168"/>
      <c r="E295" s="166"/>
      <c r="F295" s="166"/>
      <c r="G295" s="166"/>
      <c r="H295" s="168"/>
      <c r="I295" s="168"/>
      <c r="J295" s="168"/>
      <c r="K295" s="166"/>
      <c r="L295" s="168"/>
      <c r="M295" s="166"/>
      <c r="N295" s="166"/>
      <c r="O295" s="166"/>
      <c r="P295" s="168"/>
      <c r="Q295" s="168"/>
      <c r="R295" s="168"/>
      <c r="S295" s="168"/>
      <c r="T295" s="166"/>
      <c r="U295" s="168"/>
      <c r="V295" s="168"/>
      <c r="X295" s="168"/>
      <c r="AA295" s="168"/>
      <c r="AB295" s="168"/>
    </row>
    <row r="296" spans="1:28" ht="18.75" customHeight="1" x14ac:dyDescent="0.3">
      <c r="A296" s="169"/>
      <c r="B296" s="168"/>
      <c r="C296" s="168"/>
      <c r="D296" s="168"/>
      <c r="E296" s="166"/>
      <c r="F296" s="166"/>
      <c r="G296" s="166"/>
      <c r="H296" s="168"/>
      <c r="I296" s="168"/>
      <c r="J296" s="168"/>
      <c r="K296" s="166"/>
      <c r="L296" s="168"/>
      <c r="M296" s="166"/>
      <c r="N296" s="166"/>
      <c r="O296" s="166"/>
      <c r="P296" s="168"/>
      <c r="Q296" s="168"/>
      <c r="R296" s="168"/>
      <c r="S296" s="168"/>
      <c r="T296" s="166"/>
      <c r="U296" s="168"/>
      <c r="V296" s="168"/>
      <c r="X296" s="168"/>
      <c r="AA296" s="168"/>
      <c r="AB296" s="168"/>
    </row>
    <row r="297" spans="1:28" ht="18.75" customHeight="1" x14ac:dyDescent="0.3">
      <c r="A297" s="169"/>
      <c r="B297" s="168"/>
      <c r="C297" s="168"/>
      <c r="D297" s="168"/>
      <c r="E297" s="166"/>
      <c r="F297" s="166"/>
      <c r="G297" s="166"/>
      <c r="H297" s="168"/>
      <c r="I297" s="168"/>
      <c r="J297" s="168"/>
      <c r="K297" s="166"/>
      <c r="L297" s="168"/>
      <c r="M297" s="166"/>
      <c r="N297" s="166"/>
      <c r="O297" s="166"/>
      <c r="P297" s="168"/>
      <c r="Q297" s="168"/>
      <c r="R297" s="168"/>
      <c r="S297" s="168"/>
      <c r="T297" s="166"/>
      <c r="U297" s="168"/>
      <c r="V297" s="168"/>
      <c r="X297" s="168"/>
      <c r="AA297" s="168"/>
      <c r="AB297" s="168"/>
    </row>
    <row r="298" spans="1:28" ht="18.75" customHeight="1" x14ac:dyDescent="0.3">
      <c r="A298" s="169"/>
      <c r="B298" s="168"/>
      <c r="C298" s="168"/>
      <c r="D298" s="168"/>
      <c r="E298" s="166"/>
      <c r="F298" s="166"/>
      <c r="G298" s="166"/>
      <c r="H298" s="168"/>
      <c r="I298" s="168"/>
      <c r="J298" s="168"/>
      <c r="K298" s="166"/>
      <c r="L298" s="168"/>
      <c r="M298" s="166"/>
      <c r="N298" s="166"/>
      <c r="O298" s="166"/>
      <c r="P298" s="168"/>
      <c r="Q298" s="168"/>
      <c r="R298" s="168"/>
      <c r="S298" s="168"/>
      <c r="T298" s="166"/>
      <c r="U298" s="168"/>
      <c r="V298" s="168"/>
      <c r="X298" s="168"/>
      <c r="AA298" s="168"/>
      <c r="AB298" s="168"/>
    </row>
    <row r="299" spans="1:28" ht="18.75" customHeight="1" x14ac:dyDescent="0.3">
      <c r="A299" s="169"/>
      <c r="B299" s="168"/>
      <c r="C299" s="168"/>
      <c r="D299" s="168"/>
      <c r="E299" s="166"/>
      <c r="F299" s="166"/>
      <c r="G299" s="166"/>
      <c r="H299" s="168"/>
      <c r="I299" s="168"/>
      <c r="J299" s="168"/>
      <c r="K299" s="166"/>
      <c r="L299" s="168"/>
      <c r="M299" s="166"/>
      <c r="N299" s="166"/>
      <c r="O299" s="166"/>
      <c r="P299" s="168"/>
      <c r="Q299" s="168"/>
      <c r="R299" s="168"/>
      <c r="S299" s="168"/>
      <c r="T299" s="166"/>
      <c r="U299" s="168"/>
      <c r="V299" s="168"/>
      <c r="X299" s="168"/>
      <c r="AA299" s="168"/>
      <c r="AB299" s="168"/>
    </row>
    <row r="300" spans="1:28" ht="18.75" customHeight="1" x14ac:dyDescent="0.3">
      <c r="A300" s="169"/>
      <c r="B300" s="168"/>
      <c r="C300" s="168"/>
      <c r="D300" s="168"/>
      <c r="E300" s="166"/>
      <c r="F300" s="166"/>
      <c r="G300" s="166"/>
      <c r="H300" s="168"/>
      <c r="I300" s="168"/>
      <c r="J300" s="168"/>
      <c r="K300" s="166"/>
      <c r="L300" s="168"/>
      <c r="M300" s="166"/>
      <c r="N300" s="166"/>
      <c r="O300" s="166"/>
      <c r="P300" s="168"/>
      <c r="Q300" s="168"/>
      <c r="R300" s="168"/>
      <c r="S300" s="168"/>
      <c r="T300" s="166"/>
      <c r="U300" s="168"/>
      <c r="V300" s="168"/>
      <c r="X300" s="168"/>
      <c r="AA300" s="168"/>
      <c r="AB300" s="168"/>
    </row>
    <row r="301" spans="1:28" ht="18.75" customHeight="1" x14ac:dyDescent="0.3">
      <c r="A301" s="169"/>
      <c r="B301" s="168"/>
      <c r="C301" s="168"/>
      <c r="D301" s="168"/>
      <c r="E301" s="166"/>
      <c r="F301" s="166"/>
      <c r="G301" s="166"/>
      <c r="H301" s="168"/>
      <c r="I301" s="168"/>
      <c r="J301" s="168"/>
      <c r="K301" s="166"/>
      <c r="L301" s="168"/>
      <c r="M301" s="166"/>
      <c r="N301" s="166"/>
      <c r="O301" s="166"/>
      <c r="P301" s="168"/>
      <c r="Q301" s="168"/>
      <c r="R301" s="168"/>
      <c r="S301" s="168"/>
      <c r="T301" s="166"/>
      <c r="U301" s="168"/>
      <c r="V301" s="168"/>
      <c r="X301" s="168"/>
      <c r="AA301" s="168"/>
      <c r="AB301" s="168"/>
    </row>
    <row r="302" spans="1:28" ht="18.75" customHeight="1" x14ac:dyDescent="0.3">
      <c r="A302" s="169"/>
      <c r="B302" s="168"/>
      <c r="C302" s="168"/>
      <c r="D302" s="168"/>
      <c r="E302" s="166"/>
      <c r="F302" s="166"/>
      <c r="G302" s="166"/>
      <c r="H302" s="168"/>
      <c r="I302" s="168"/>
      <c r="J302" s="168"/>
      <c r="K302" s="166"/>
      <c r="L302" s="168"/>
      <c r="M302" s="166"/>
      <c r="N302" s="166"/>
      <c r="O302" s="166"/>
      <c r="P302" s="168"/>
      <c r="Q302" s="168"/>
      <c r="R302" s="168"/>
      <c r="S302" s="168"/>
      <c r="T302" s="166"/>
      <c r="U302" s="168"/>
      <c r="V302" s="168"/>
      <c r="X302" s="168"/>
      <c r="AA302" s="168"/>
      <c r="AB302" s="168"/>
    </row>
    <row r="303" spans="1:28" ht="18.75" customHeight="1" x14ac:dyDescent="0.3">
      <c r="A303" s="169"/>
      <c r="B303" s="168"/>
      <c r="C303" s="168"/>
      <c r="D303" s="168"/>
      <c r="E303" s="166"/>
      <c r="F303" s="166"/>
      <c r="G303" s="166"/>
      <c r="H303" s="168"/>
      <c r="I303" s="168"/>
      <c r="J303" s="168"/>
      <c r="K303" s="166"/>
      <c r="L303" s="168"/>
      <c r="M303" s="166"/>
      <c r="N303" s="166"/>
      <c r="O303" s="166"/>
      <c r="P303" s="168"/>
      <c r="Q303" s="168"/>
      <c r="R303" s="168"/>
      <c r="S303" s="168"/>
      <c r="T303" s="166"/>
      <c r="U303" s="168"/>
      <c r="V303" s="168"/>
      <c r="X303" s="168"/>
      <c r="AA303" s="168"/>
      <c r="AB303" s="168"/>
    </row>
    <row r="304" spans="1:28" ht="18.75" customHeight="1" x14ac:dyDescent="0.3">
      <c r="A304" s="169"/>
      <c r="B304" s="168"/>
      <c r="C304" s="168"/>
      <c r="D304" s="168"/>
      <c r="E304" s="166"/>
      <c r="F304" s="166"/>
      <c r="G304" s="166"/>
      <c r="H304" s="168"/>
      <c r="I304" s="168"/>
      <c r="J304" s="168"/>
      <c r="K304" s="166"/>
      <c r="L304" s="168"/>
      <c r="M304" s="166"/>
      <c r="N304" s="166"/>
      <c r="O304" s="166"/>
      <c r="P304" s="168"/>
      <c r="Q304" s="168"/>
      <c r="R304" s="168"/>
      <c r="S304" s="168"/>
      <c r="T304" s="166"/>
      <c r="U304" s="168"/>
      <c r="V304" s="168"/>
      <c r="X304" s="168"/>
      <c r="AA304" s="168"/>
      <c r="AB304" s="168"/>
    </row>
    <row r="305" spans="1:28" ht="18.75" customHeight="1" x14ac:dyDescent="0.3">
      <c r="A305" s="169"/>
      <c r="B305" s="168"/>
      <c r="C305" s="168"/>
      <c r="D305" s="168"/>
      <c r="E305" s="166"/>
      <c r="F305" s="166"/>
      <c r="G305" s="166"/>
      <c r="H305" s="168"/>
      <c r="I305" s="168"/>
      <c r="J305" s="168"/>
      <c r="K305" s="166"/>
      <c r="L305" s="168"/>
      <c r="M305" s="166"/>
      <c r="N305" s="166"/>
      <c r="O305" s="166"/>
      <c r="P305" s="168"/>
      <c r="Q305" s="168"/>
      <c r="R305" s="168"/>
      <c r="S305" s="168"/>
      <c r="T305" s="166"/>
      <c r="U305" s="168"/>
      <c r="V305" s="168"/>
      <c r="X305" s="168"/>
      <c r="AA305" s="168"/>
      <c r="AB305" s="168"/>
    </row>
    <row r="306" spans="1:28" ht="18.75" customHeight="1" x14ac:dyDescent="0.3">
      <c r="A306" s="169"/>
      <c r="B306" s="168"/>
      <c r="C306" s="168"/>
      <c r="D306" s="168"/>
      <c r="E306" s="166"/>
      <c r="F306" s="166"/>
      <c r="G306" s="166"/>
      <c r="H306" s="168"/>
      <c r="I306" s="168"/>
      <c r="J306" s="168"/>
      <c r="K306" s="166"/>
      <c r="L306" s="168"/>
      <c r="M306" s="166"/>
      <c r="N306" s="166"/>
      <c r="O306" s="166"/>
      <c r="P306" s="168"/>
      <c r="Q306" s="168"/>
      <c r="R306" s="168"/>
      <c r="S306" s="168"/>
      <c r="T306" s="166"/>
      <c r="U306" s="168"/>
      <c r="V306" s="168"/>
      <c r="X306" s="168"/>
      <c r="AA306" s="168"/>
      <c r="AB306" s="168"/>
    </row>
    <row r="307" spans="1:28" ht="18.75" customHeight="1" x14ac:dyDescent="0.3">
      <c r="A307" s="169"/>
      <c r="B307" s="168"/>
      <c r="C307" s="168"/>
      <c r="D307" s="168"/>
      <c r="E307" s="166"/>
      <c r="F307" s="166"/>
      <c r="G307" s="166"/>
      <c r="H307" s="168"/>
      <c r="I307" s="168"/>
      <c r="J307" s="168"/>
      <c r="K307" s="166"/>
      <c r="L307" s="168"/>
      <c r="M307" s="166"/>
      <c r="N307" s="166"/>
      <c r="O307" s="166"/>
      <c r="P307" s="168"/>
      <c r="Q307" s="168"/>
      <c r="R307" s="168"/>
      <c r="S307" s="168"/>
      <c r="T307" s="166"/>
      <c r="U307" s="168"/>
      <c r="V307" s="168"/>
      <c r="X307" s="168"/>
      <c r="AA307" s="168"/>
      <c r="AB307" s="168"/>
    </row>
    <row r="308" spans="1:28" ht="18.75" customHeight="1" x14ac:dyDescent="0.3">
      <c r="A308" s="169"/>
      <c r="B308" s="168"/>
      <c r="C308" s="168"/>
      <c r="D308" s="168"/>
      <c r="E308" s="166"/>
      <c r="F308" s="166"/>
      <c r="G308" s="166"/>
      <c r="H308" s="168"/>
      <c r="I308" s="168"/>
      <c r="J308" s="168"/>
      <c r="K308" s="166"/>
      <c r="L308" s="168"/>
      <c r="M308" s="166"/>
      <c r="N308" s="166"/>
      <c r="O308" s="166"/>
      <c r="P308" s="168"/>
      <c r="Q308" s="168"/>
      <c r="R308" s="168"/>
      <c r="S308" s="168"/>
      <c r="T308" s="166"/>
      <c r="U308" s="168"/>
      <c r="V308" s="168"/>
      <c r="X308" s="168"/>
      <c r="AA308" s="168"/>
      <c r="AB308" s="168"/>
    </row>
    <row r="309" spans="1:28" ht="18.75" customHeight="1" x14ac:dyDescent="0.3">
      <c r="A309" s="169"/>
      <c r="B309" s="168"/>
      <c r="C309" s="168"/>
      <c r="D309" s="168"/>
      <c r="E309" s="166"/>
      <c r="F309" s="166"/>
      <c r="G309" s="166"/>
      <c r="H309" s="168"/>
      <c r="I309" s="168"/>
      <c r="J309" s="168"/>
      <c r="K309" s="166"/>
      <c r="L309" s="168"/>
      <c r="M309" s="166"/>
      <c r="N309" s="166"/>
      <c r="O309" s="166"/>
      <c r="P309" s="168"/>
      <c r="Q309" s="168"/>
      <c r="R309" s="168"/>
      <c r="S309" s="168"/>
      <c r="T309" s="166"/>
      <c r="U309" s="168"/>
      <c r="V309" s="168"/>
      <c r="X309" s="168"/>
      <c r="AA309" s="168"/>
      <c r="AB309" s="168"/>
    </row>
    <row r="310" spans="1:28" ht="18.75" customHeight="1" x14ac:dyDescent="0.3">
      <c r="A310" s="169"/>
      <c r="B310" s="168"/>
      <c r="C310" s="168"/>
      <c r="D310" s="168"/>
      <c r="E310" s="166"/>
      <c r="F310" s="166"/>
      <c r="G310" s="166"/>
      <c r="H310" s="168"/>
      <c r="I310" s="168"/>
      <c r="J310" s="168"/>
      <c r="K310" s="166"/>
      <c r="L310" s="168"/>
      <c r="M310" s="166"/>
      <c r="N310" s="166"/>
      <c r="O310" s="166"/>
      <c r="P310" s="168"/>
      <c r="Q310" s="168"/>
      <c r="R310" s="168"/>
      <c r="S310" s="168"/>
      <c r="T310" s="166"/>
      <c r="U310" s="168"/>
      <c r="V310" s="168"/>
      <c r="X310" s="168"/>
      <c r="AA310" s="168"/>
      <c r="AB310" s="168"/>
    </row>
    <row r="311" spans="1:28" ht="18.75" customHeight="1" x14ac:dyDescent="0.3">
      <c r="A311" s="169"/>
      <c r="B311" s="168"/>
      <c r="C311" s="168"/>
      <c r="D311" s="168"/>
      <c r="E311" s="166"/>
      <c r="F311" s="166"/>
      <c r="G311" s="166"/>
      <c r="H311" s="168"/>
      <c r="I311" s="168"/>
      <c r="J311" s="168"/>
      <c r="K311" s="166"/>
      <c r="L311" s="168"/>
      <c r="M311" s="166"/>
      <c r="N311" s="166"/>
      <c r="O311" s="166"/>
      <c r="P311" s="168"/>
      <c r="Q311" s="168"/>
      <c r="R311" s="168"/>
      <c r="S311" s="168"/>
      <c r="T311" s="166"/>
      <c r="U311" s="168"/>
      <c r="V311" s="168"/>
      <c r="X311" s="168"/>
      <c r="AA311" s="168"/>
      <c r="AB311" s="168"/>
    </row>
    <row r="312" spans="1:28" ht="18.75" customHeight="1" x14ac:dyDescent="0.3">
      <c r="A312" s="169"/>
      <c r="B312" s="168"/>
      <c r="C312" s="168"/>
      <c r="D312" s="168"/>
      <c r="E312" s="166"/>
      <c r="F312" s="166"/>
      <c r="G312" s="166"/>
      <c r="H312" s="168"/>
      <c r="I312" s="168"/>
      <c r="J312" s="168"/>
      <c r="K312" s="166"/>
      <c r="L312" s="168"/>
      <c r="M312" s="166"/>
      <c r="N312" s="166"/>
      <c r="O312" s="166"/>
      <c r="P312" s="168"/>
      <c r="Q312" s="168"/>
      <c r="R312" s="168"/>
      <c r="S312" s="168"/>
      <c r="T312" s="166"/>
      <c r="U312" s="168"/>
      <c r="V312" s="168"/>
      <c r="X312" s="168"/>
      <c r="AA312" s="168"/>
      <c r="AB312" s="168"/>
    </row>
    <row r="313" spans="1:28" ht="18.75" customHeight="1" x14ac:dyDescent="0.3">
      <c r="A313" s="169"/>
      <c r="B313" s="168"/>
      <c r="C313" s="168"/>
      <c r="D313" s="168"/>
      <c r="E313" s="166"/>
      <c r="F313" s="166"/>
      <c r="G313" s="166"/>
      <c r="H313" s="168"/>
      <c r="I313" s="168"/>
      <c r="J313" s="168"/>
      <c r="K313" s="166"/>
      <c r="L313" s="168"/>
      <c r="M313" s="166"/>
      <c r="N313" s="166"/>
      <c r="O313" s="166"/>
      <c r="P313" s="168"/>
      <c r="Q313" s="168"/>
      <c r="R313" s="168"/>
      <c r="S313" s="168"/>
      <c r="T313" s="166"/>
      <c r="U313" s="168"/>
      <c r="V313" s="168"/>
      <c r="X313" s="168"/>
      <c r="AA313" s="168"/>
      <c r="AB313" s="168"/>
    </row>
    <row r="314" spans="1:28" ht="18.75" customHeight="1" x14ac:dyDescent="0.3">
      <c r="A314" s="169"/>
      <c r="B314" s="168"/>
      <c r="C314" s="168"/>
      <c r="D314" s="168"/>
      <c r="E314" s="166"/>
      <c r="F314" s="166"/>
      <c r="G314" s="166"/>
      <c r="H314" s="168"/>
      <c r="I314" s="168"/>
      <c r="J314" s="168"/>
      <c r="K314" s="166"/>
      <c r="L314" s="168"/>
      <c r="M314" s="166"/>
      <c r="N314" s="166"/>
      <c r="O314" s="166"/>
      <c r="P314" s="168"/>
      <c r="Q314" s="168"/>
      <c r="R314" s="168"/>
      <c r="S314" s="168"/>
      <c r="T314" s="166"/>
      <c r="U314" s="168"/>
      <c r="V314" s="168"/>
      <c r="X314" s="168"/>
      <c r="AA314" s="168"/>
      <c r="AB314" s="168"/>
    </row>
    <row r="315" spans="1:28" ht="18.75" customHeight="1" x14ac:dyDescent="0.3">
      <c r="A315" s="169"/>
      <c r="B315" s="168"/>
      <c r="C315" s="168"/>
      <c r="D315" s="168"/>
      <c r="E315" s="166"/>
      <c r="F315" s="166"/>
      <c r="G315" s="166"/>
      <c r="H315" s="168"/>
      <c r="I315" s="168"/>
      <c r="J315" s="168"/>
      <c r="K315" s="166"/>
      <c r="L315" s="168"/>
      <c r="M315" s="166"/>
      <c r="N315" s="166"/>
      <c r="O315" s="166"/>
      <c r="P315" s="168"/>
      <c r="Q315" s="168"/>
      <c r="R315" s="168"/>
      <c r="S315" s="168"/>
      <c r="T315" s="166"/>
      <c r="U315" s="168"/>
      <c r="V315" s="168"/>
      <c r="X315" s="168"/>
      <c r="AA315" s="168"/>
      <c r="AB315" s="168"/>
    </row>
    <row r="316" spans="1:28" ht="18.75" customHeight="1" x14ac:dyDescent="0.3">
      <c r="A316" s="169"/>
      <c r="B316" s="168"/>
      <c r="C316" s="168"/>
      <c r="D316" s="168"/>
      <c r="E316" s="166"/>
      <c r="F316" s="166"/>
      <c r="G316" s="166"/>
      <c r="H316" s="168"/>
      <c r="I316" s="168"/>
      <c r="J316" s="168"/>
      <c r="K316" s="166"/>
      <c r="L316" s="168"/>
      <c r="M316" s="166"/>
      <c r="N316" s="166"/>
      <c r="O316" s="166"/>
      <c r="P316" s="168"/>
      <c r="Q316" s="168"/>
      <c r="R316" s="168"/>
      <c r="S316" s="168"/>
      <c r="T316" s="166"/>
      <c r="U316" s="168"/>
      <c r="V316" s="168"/>
      <c r="X316" s="168"/>
      <c r="AA316" s="168"/>
      <c r="AB316" s="168"/>
    </row>
    <row r="317" spans="1:28" ht="18.75" customHeight="1" x14ac:dyDescent="0.3">
      <c r="A317" s="169"/>
      <c r="B317" s="168"/>
      <c r="C317" s="168"/>
      <c r="D317" s="168"/>
      <c r="E317" s="166"/>
      <c r="F317" s="166"/>
      <c r="G317" s="166"/>
      <c r="H317" s="168"/>
      <c r="I317" s="168"/>
      <c r="J317" s="168"/>
      <c r="K317" s="166"/>
      <c r="L317" s="168"/>
      <c r="M317" s="166"/>
      <c r="N317" s="166"/>
      <c r="O317" s="166"/>
      <c r="P317" s="168"/>
      <c r="Q317" s="168"/>
      <c r="R317" s="168"/>
      <c r="S317" s="168"/>
      <c r="T317" s="166"/>
      <c r="U317" s="168"/>
      <c r="V317" s="168"/>
      <c r="X317" s="168"/>
      <c r="AA317" s="168"/>
      <c r="AB317" s="168"/>
    </row>
    <row r="318" spans="1:28" ht="18.75" customHeight="1" x14ac:dyDescent="0.3">
      <c r="A318" s="169"/>
      <c r="B318" s="168"/>
      <c r="C318" s="168"/>
      <c r="D318" s="168"/>
      <c r="E318" s="166"/>
      <c r="F318" s="166"/>
      <c r="G318" s="166"/>
      <c r="H318" s="168"/>
      <c r="I318" s="168"/>
      <c r="J318" s="168"/>
      <c r="K318" s="166"/>
      <c r="L318" s="168"/>
      <c r="M318" s="166"/>
      <c r="N318" s="166"/>
      <c r="O318" s="166"/>
      <c r="P318" s="168"/>
      <c r="Q318" s="168"/>
      <c r="R318" s="168"/>
      <c r="S318" s="168"/>
      <c r="T318" s="166"/>
      <c r="U318" s="168"/>
      <c r="V318" s="168"/>
      <c r="X318" s="168"/>
      <c r="AA318" s="168"/>
      <c r="AB318" s="168"/>
    </row>
    <row r="319" spans="1:28" ht="18.75" customHeight="1" x14ac:dyDescent="0.3">
      <c r="A319" s="169"/>
      <c r="B319" s="168"/>
      <c r="C319" s="168"/>
      <c r="D319" s="168"/>
      <c r="E319" s="166"/>
      <c r="F319" s="166"/>
      <c r="G319" s="166"/>
      <c r="H319" s="168"/>
      <c r="I319" s="168"/>
      <c r="J319" s="168"/>
      <c r="K319" s="166"/>
      <c r="L319" s="168"/>
      <c r="M319" s="166"/>
      <c r="N319" s="166"/>
      <c r="O319" s="166"/>
      <c r="P319" s="168"/>
      <c r="Q319" s="168"/>
      <c r="R319" s="168"/>
      <c r="S319" s="168"/>
      <c r="T319" s="166"/>
      <c r="U319" s="168"/>
      <c r="V319" s="168"/>
      <c r="X319" s="168"/>
      <c r="AA319" s="168"/>
      <c r="AB319" s="168"/>
    </row>
    <row r="320" spans="1:28" ht="18.75" customHeight="1" x14ac:dyDescent="0.3">
      <c r="A320" s="169"/>
      <c r="B320" s="168"/>
      <c r="C320" s="168"/>
      <c r="D320" s="168"/>
      <c r="E320" s="166"/>
      <c r="F320" s="166"/>
      <c r="G320" s="166"/>
      <c r="H320" s="168"/>
      <c r="I320" s="168"/>
      <c r="J320" s="168"/>
      <c r="K320" s="166"/>
      <c r="L320" s="168"/>
      <c r="M320" s="166"/>
      <c r="N320" s="166"/>
      <c r="O320" s="166"/>
      <c r="P320" s="168"/>
      <c r="Q320" s="168"/>
      <c r="R320" s="168"/>
      <c r="S320" s="168"/>
      <c r="T320" s="166"/>
      <c r="U320" s="168"/>
      <c r="V320" s="168"/>
      <c r="X320" s="168"/>
      <c r="AA320" s="168"/>
      <c r="AB320" s="168"/>
    </row>
    <row r="321" spans="1:28" ht="18.75" customHeight="1" x14ac:dyDescent="0.3">
      <c r="A321" s="169"/>
      <c r="B321" s="168"/>
      <c r="C321" s="168"/>
      <c r="D321" s="168"/>
      <c r="E321" s="166"/>
      <c r="F321" s="166"/>
      <c r="G321" s="166"/>
      <c r="H321" s="168"/>
      <c r="I321" s="168"/>
      <c r="J321" s="168"/>
      <c r="K321" s="166"/>
      <c r="L321" s="168"/>
      <c r="M321" s="166"/>
      <c r="N321" s="166"/>
      <c r="O321" s="166"/>
      <c r="P321" s="168"/>
      <c r="Q321" s="168"/>
      <c r="R321" s="168"/>
      <c r="S321" s="168"/>
      <c r="T321" s="166"/>
      <c r="U321" s="168"/>
      <c r="V321" s="168"/>
      <c r="X321" s="168"/>
      <c r="AA321" s="168"/>
      <c r="AB321" s="168"/>
    </row>
    <row r="322" spans="1:28" ht="18.75" customHeight="1" x14ac:dyDescent="0.3">
      <c r="A322" s="169"/>
      <c r="B322" s="168"/>
      <c r="C322" s="168"/>
      <c r="D322" s="168"/>
      <c r="E322" s="166"/>
      <c r="F322" s="166"/>
      <c r="G322" s="166"/>
      <c r="H322" s="168"/>
      <c r="I322" s="168"/>
      <c r="J322" s="168"/>
      <c r="K322" s="166"/>
      <c r="L322" s="168"/>
      <c r="M322" s="166"/>
      <c r="N322" s="166"/>
      <c r="O322" s="166"/>
      <c r="P322" s="168"/>
      <c r="Q322" s="168"/>
      <c r="R322" s="168"/>
      <c r="S322" s="168"/>
      <c r="T322" s="166"/>
      <c r="U322" s="168"/>
      <c r="V322" s="168"/>
      <c r="X322" s="168"/>
      <c r="AA322" s="168"/>
      <c r="AB322" s="168"/>
    </row>
    <row r="323" spans="1:28" ht="18.75" customHeight="1" x14ac:dyDescent="0.3">
      <c r="A323" s="169"/>
      <c r="B323" s="168"/>
      <c r="C323" s="168"/>
      <c r="D323" s="168"/>
      <c r="E323" s="166"/>
      <c r="F323" s="166"/>
      <c r="G323" s="166"/>
      <c r="H323" s="168"/>
      <c r="I323" s="168"/>
      <c r="J323" s="168"/>
      <c r="K323" s="166"/>
      <c r="L323" s="168"/>
      <c r="M323" s="166"/>
      <c r="N323" s="166"/>
      <c r="O323" s="166"/>
      <c r="P323" s="168"/>
      <c r="Q323" s="168"/>
      <c r="R323" s="168"/>
      <c r="S323" s="168"/>
      <c r="T323" s="166"/>
      <c r="U323" s="168"/>
      <c r="V323" s="168"/>
      <c r="X323" s="168"/>
      <c r="AA323" s="168"/>
      <c r="AB323" s="168"/>
    </row>
    <row r="324" spans="1:28" ht="18.75" customHeight="1" x14ac:dyDescent="0.3">
      <c r="A324" s="169"/>
      <c r="B324" s="168"/>
      <c r="C324" s="168"/>
      <c r="D324" s="168"/>
      <c r="E324" s="166"/>
      <c r="F324" s="166"/>
      <c r="G324" s="166"/>
      <c r="H324" s="168"/>
      <c r="I324" s="168"/>
      <c r="J324" s="168"/>
      <c r="K324" s="166"/>
      <c r="L324" s="168"/>
      <c r="M324" s="166"/>
      <c r="N324" s="166"/>
      <c r="O324" s="166"/>
      <c r="P324" s="168"/>
      <c r="Q324" s="168"/>
      <c r="R324" s="168"/>
      <c r="S324" s="168"/>
      <c r="T324" s="166"/>
      <c r="U324" s="168"/>
      <c r="V324" s="168"/>
      <c r="X324" s="168"/>
      <c r="AA324" s="168"/>
      <c r="AB324" s="168"/>
    </row>
    <row r="325" spans="1:28" ht="18.75" customHeight="1" x14ac:dyDescent="0.3">
      <c r="A325" s="169"/>
      <c r="B325" s="168"/>
      <c r="C325" s="168"/>
      <c r="D325" s="168"/>
      <c r="E325" s="166"/>
      <c r="F325" s="166"/>
      <c r="G325" s="166"/>
      <c r="H325" s="168"/>
      <c r="I325" s="168"/>
      <c r="J325" s="168"/>
      <c r="K325" s="166"/>
      <c r="L325" s="168"/>
      <c r="M325" s="166"/>
      <c r="N325" s="166"/>
      <c r="O325" s="166"/>
      <c r="P325" s="168"/>
      <c r="Q325" s="168"/>
      <c r="R325" s="168"/>
      <c r="S325" s="168"/>
      <c r="T325" s="166"/>
      <c r="U325" s="168"/>
      <c r="V325" s="168"/>
      <c r="X325" s="168"/>
      <c r="AA325" s="168"/>
      <c r="AB325" s="168"/>
    </row>
    <row r="326" spans="1:28" ht="18.75" customHeight="1" x14ac:dyDescent="0.3">
      <c r="A326" s="169"/>
      <c r="B326" s="168"/>
      <c r="C326" s="168"/>
      <c r="D326" s="168"/>
      <c r="E326" s="166"/>
      <c r="F326" s="166"/>
      <c r="G326" s="166"/>
      <c r="H326" s="168"/>
      <c r="I326" s="168"/>
      <c r="J326" s="168"/>
      <c r="K326" s="166"/>
      <c r="L326" s="168"/>
      <c r="M326" s="166"/>
      <c r="N326" s="166"/>
      <c r="O326" s="166"/>
      <c r="P326" s="168"/>
      <c r="Q326" s="168"/>
      <c r="R326" s="168"/>
      <c r="S326" s="168"/>
      <c r="T326" s="166"/>
      <c r="U326" s="168"/>
      <c r="V326" s="168"/>
      <c r="X326" s="168"/>
      <c r="AA326" s="168"/>
      <c r="AB326" s="168"/>
    </row>
    <row r="327" spans="1:28" ht="18.75" customHeight="1" x14ac:dyDescent="0.3">
      <c r="A327" s="169"/>
      <c r="B327" s="168"/>
      <c r="C327" s="168"/>
      <c r="D327" s="168"/>
      <c r="E327" s="166"/>
      <c r="F327" s="166"/>
      <c r="G327" s="166"/>
      <c r="H327" s="168"/>
      <c r="I327" s="168"/>
      <c r="J327" s="168"/>
      <c r="K327" s="166"/>
      <c r="L327" s="168"/>
      <c r="M327" s="166"/>
      <c r="N327" s="166"/>
      <c r="O327" s="166"/>
      <c r="P327" s="168"/>
      <c r="Q327" s="168"/>
      <c r="R327" s="168"/>
      <c r="S327" s="168"/>
      <c r="T327" s="166"/>
      <c r="U327" s="168"/>
      <c r="V327" s="168"/>
      <c r="X327" s="168"/>
      <c r="AA327" s="168"/>
      <c r="AB327" s="168"/>
    </row>
    <row r="328" spans="1:28" ht="18.75" customHeight="1" x14ac:dyDescent="0.3">
      <c r="A328" s="169"/>
      <c r="B328" s="168"/>
      <c r="C328" s="168"/>
      <c r="D328" s="168"/>
      <c r="E328" s="166"/>
      <c r="F328" s="166"/>
      <c r="G328" s="166"/>
      <c r="H328" s="168"/>
      <c r="I328" s="168"/>
      <c r="J328" s="168"/>
      <c r="K328" s="166"/>
      <c r="L328" s="168"/>
      <c r="M328" s="166"/>
      <c r="N328" s="166"/>
      <c r="O328" s="166"/>
      <c r="P328" s="168"/>
      <c r="Q328" s="168"/>
      <c r="R328" s="168"/>
      <c r="S328" s="168"/>
      <c r="T328" s="166"/>
      <c r="U328" s="168"/>
      <c r="V328" s="168"/>
      <c r="X328" s="168"/>
      <c r="AA328" s="168"/>
      <c r="AB328" s="168"/>
    </row>
    <row r="329" spans="1:28" ht="18.75" customHeight="1" x14ac:dyDescent="0.3">
      <c r="A329" s="169"/>
      <c r="B329" s="168"/>
      <c r="C329" s="168"/>
      <c r="D329" s="168"/>
      <c r="E329" s="166"/>
      <c r="F329" s="166"/>
      <c r="G329" s="166"/>
      <c r="H329" s="168"/>
      <c r="I329" s="168"/>
      <c r="J329" s="168"/>
      <c r="K329" s="166"/>
      <c r="L329" s="168"/>
      <c r="M329" s="166"/>
      <c r="N329" s="166"/>
      <c r="O329" s="166"/>
      <c r="P329" s="168"/>
      <c r="Q329" s="168"/>
      <c r="R329" s="168"/>
      <c r="S329" s="168"/>
      <c r="T329" s="166"/>
      <c r="U329" s="168"/>
      <c r="V329" s="168"/>
      <c r="X329" s="168"/>
      <c r="AA329" s="168"/>
      <c r="AB329" s="168"/>
    </row>
    <row r="330" spans="1:28" ht="18.75" customHeight="1" x14ac:dyDescent="0.3">
      <c r="A330" s="169"/>
      <c r="B330" s="168"/>
      <c r="C330" s="168"/>
      <c r="D330" s="168"/>
      <c r="E330" s="166"/>
      <c r="F330" s="166"/>
      <c r="G330" s="166"/>
      <c r="H330" s="168"/>
      <c r="I330" s="168"/>
      <c r="J330" s="168"/>
      <c r="K330" s="166"/>
      <c r="L330" s="168"/>
      <c r="M330" s="166"/>
      <c r="N330" s="166"/>
      <c r="O330" s="166"/>
      <c r="P330" s="168"/>
      <c r="Q330" s="168"/>
      <c r="R330" s="168"/>
      <c r="S330" s="168"/>
      <c r="T330" s="166"/>
      <c r="U330" s="168"/>
      <c r="V330" s="168"/>
      <c r="X330" s="168"/>
      <c r="AA330" s="168"/>
      <c r="AB330" s="168"/>
    </row>
    <row r="331" spans="1:28" ht="18.75" customHeight="1" x14ac:dyDescent="0.3">
      <c r="A331" s="169"/>
      <c r="B331" s="168"/>
      <c r="C331" s="168"/>
      <c r="D331" s="168"/>
      <c r="E331" s="166"/>
      <c r="F331" s="166"/>
      <c r="G331" s="166"/>
      <c r="H331" s="168"/>
      <c r="I331" s="168"/>
      <c r="J331" s="168"/>
      <c r="K331" s="166"/>
      <c r="L331" s="168"/>
      <c r="M331" s="166"/>
      <c r="N331" s="166"/>
      <c r="O331" s="166"/>
      <c r="P331" s="168"/>
      <c r="Q331" s="168"/>
      <c r="R331" s="168"/>
      <c r="S331" s="168"/>
      <c r="T331" s="166"/>
      <c r="U331" s="168"/>
      <c r="V331" s="168"/>
      <c r="X331" s="168"/>
      <c r="AA331" s="168"/>
      <c r="AB331" s="168"/>
    </row>
    <row r="332" spans="1:28" ht="18.75" customHeight="1" x14ac:dyDescent="0.3">
      <c r="A332" s="169"/>
      <c r="B332" s="168"/>
      <c r="C332" s="168"/>
      <c r="D332" s="168"/>
      <c r="E332" s="166"/>
      <c r="F332" s="166"/>
      <c r="G332" s="166"/>
      <c r="H332" s="168"/>
      <c r="I332" s="168"/>
      <c r="J332" s="168"/>
      <c r="K332" s="166"/>
      <c r="L332" s="168"/>
      <c r="M332" s="166"/>
      <c r="N332" s="166"/>
      <c r="O332" s="166"/>
      <c r="P332" s="168"/>
      <c r="Q332" s="168"/>
      <c r="R332" s="168"/>
      <c r="S332" s="168"/>
      <c r="T332" s="166"/>
      <c r="U332" s="168"/>
      <c r="V332" s="168"/>
      <c r="X332" s="168"/>
      <c r="AA332" s="168"/>
      <c r="AB332" s="168"/>
    </row>
    <row r="333" spans="1:28" ht="18.75" customHeight="1" x14ac:dyDescent="0.3">
      <c r="A333" s="169"/>
      <c r="B333" s="168"/>
      <c r="C333" s="168"/>
      <c r="D333" s="168"/>
      <c r="E333" s="166"/>
      <c r="F333" s="166"/>
      <c r="G333" s="166"/>
      <c r="H333" s="168"/>
      <c r="I333" s="168"/>
      <c r="J333" s="168"/>
      <c r="K333" s="166"/>
      <c r="L333" s="168"/>
      <c r="M333" s="166"/>
      <c r="N333" s="166"/>
      <c r="O333" s="166"/>
      <c r="P333" s="168"/>
      <c r="Q333" s="168"/>
      <c r="R333" s="168"/>
      <c r="S333" s="168"/>
      <c r="T333" s="166"/>
      <c r="U333" s="168"/>
      <c r="V333" s="168"/>
      <c r="X333" s="168"/>
      <c r="AA333" s="168"/>
      <c r="AB333" s="168"/>
    </row>
    <row r="334" spans="1:28" ht="18.75" customHeight="1" x14ac:dyDescent="0.3">
      <c r="A334" s="169"/>
      <c r="B334" s="168"/>
      <c r="C334" s="168"/>
      <c r="D334" s="168"/>
      <c r="E334" s="166"/>
      <c r="F334" s="166"/>
      <c r="G334" s="166"/>
      <c r="H334" s="168"/>
      <c r="I334" s="168"/>
      <c r="J334" s="168"/>
      <c r="K334" s="166"/>
      <c r="L334" s="168"/>
      <c r="M334" s="166"/>
      <c r="N334" s="166"/>
      <c r="O334" s="166"/>
      <c r="P334" s="168"/>
      <c r="Q334" s="168"/>
      <c r="R334" s="168"/>
      <c r="S334" s="168"/>
      <c r="T334" s="166"/>
      <c r="U334" s="168"/>
      <c r="V334" s="168"/>
      <c r="X334" s="168"/>
      <c r="AA334" s="168"/>
      <c r="AB334" s="168"/>
    </row>
    <row r="335" spans="1:28" ht="18.75" customHeight="1" x14ac:dyDescent="0.3">
      <c r="A335" s="169"/>
      <c r="B335" s="168"/>
      <c r="C335" s="168"/>
      <c r="D335" s="168"/>
      <c r="E335" s="166"/>
      <c r="F335" s="166"/>
      <c r="G335" s="166"/>
      <c r="H335" s="168"/>
      <c r="I335" s="168"/>
      <c r="J335" s="168"/>
      <c r="K335" s="166"/>
      <c r="L335" s="168"/>
      <c r="M335" s="166"/>
      <c r="N335" s="166"/>
      <c r="O335" s="166"/>
      <c r="P335" s="168"/>
      <c r="Q335" s="168"/>
      <c r="R335" s="168"/>
      <c r="S335" s="168"/>
      <c r="T335" s="166"/>
      <c r="U335" s="168"/>
      <c r="V335" s="168"/>
      <c r="X335" s="168"/>
      <c r="AA335" s="168"/>
      <c r="AB335" s="168"/>
    </row>
    <row r="336" spans="1:28" ht="18.75" customHeight="1" x14ac:dyDescent="0.3">
      <c r="A336" s="169"/>
      <c r="B336" s="168"/>
      <c r="C336" s="168"/>
      <c r="D336" s="168"/>
      <c r="E336" s="166"/>
      <c r="F336" s="166"/>
      <c r="G336" s="166"/>
      <c r="H336" s="168"/>
      <c r="I336" s="168"/>
      <c r="J336" s="168"/>
      <c r="K336" s="166"/>
      <c r="L336" s="168"/>
      <c r="M336" s="166"/>
      <c r="N336" s="166"/>
      <c r="O336" s="166"/>
      <c r="P336" s="168"/>
      <c r="Q336" s="168"/>
      <c r="R336" s="168"/>
      <c r="S336" s="168"/>
      <c r="T336" s="166"/>
      <c r="U336" s="168"/>
      <c r="V336" s="168"/>
      <c r="X336" s="168"/>
      <c r="AA336" s="168"/>
      <c r="AB336" s="168"/>
    </row>
    <row r="337" spans="1:28" ht="18.75" customHeight="1" x14ac:dyDescent="0.3">
      <c r="A337" s="169"/>
      <c r="B337" s="168"/>
      <c r="C337" s="168"/>
      <c r="D337" s="168"/>
      <c r="E337" s="166"/>
      <c r="F337" s="166"/>
      <c r="G337" s="166"/>
      <c r="H337" s="168"/>
      <c r="I337" s="168"/>
      <c r="J337" s="168"/>
      <c r="K337" s="166"/>
      <c r="L337" s="168"/>
      <c r="M337" s="166"/>
      <c r="N337" s="166"/>
      <c r="O337" s="166"/>
      <c r="P337" s="168"/>
      <c r="Q337" s="168"/>
      <c r="R337" s="168"/>
      <c r="S337" s="168"/>
      <c r="T337" s="166"/>
      <c r="U337" s="168"/>
      <c r="V337" s="168"/>
      <c r="X337" s="168"/>
      <c r="AA337" s="168"/>
      <c r="AB337" s="168"/>
    </row>
    <row r="338" spans="1:28" ht="18.75" customHeight="1" x14ac:dyDescent="0.3">
      <c r="A338" s="169"/>
      <c r="B338" s="168"/>
      <c r="C338" s="168"/>
      <c r="D338" s="168"/>
      <c r="E338" s="166"/>
      <c r="F338" s="166"/>
      <c r="G338" s="166"/>
      <c r="H338" s="168"/>
      <c r="I338" s="168"/>
      <c r="J338" s="168"/>
      <c r="K338" s="166"/>
      <c r="L338" s="168"/>
      <c r="M338" s="166"/>
      <c r="N338" s="166"/>
      <c r="O338" s="166"/>
      <c r="P338" s="168"/>
      <c r="Q338" s="168"/>
      <c r="R338" s="168"/>
      <c r="S338" s="168"/>
      <c r="T338" s="166"/>
      <c r="U338" s="168"/>
      <c r="V338" s="168"/>
      <c r="X338" s="168"/>
      <c r="AA338" s="168"/>
      <c r="AB338" s="168"/>
    </row>
    <row r="339" spans="1:28" ht="18.75" customHeight="1" x14ac:dyDescent="0.3">
      <c r="A339" s="169"/>
      <c r="B339" s="168"/>
      <c r="C339" s="168"/>
      <c r="D339" s="168"/>
      <c r="E339" s="166"/>
      <c r="F339" s="166"/>
      <c r="G339" s="166"/>
      <c r="H339" s="168"/>
      <c r="I339" s="168"/>
      <c r="J339" s="168"/>
      <c r="K339" s="166"/>
      <c r="L339" s="168"/>
      <c r="M339" s="166"/>
      <c r="N339" s="166"/>
      <c r="O339" s="166"/>
      <c r="P339" s="168"/>
      <c r="Q339" s="168"/>
      <c r="R339" s="168"/>
      <c r="S339" s="168"/>
      <c r="T339" s="166"/>
      <c r="U339" s="168"/>
      <c r="V339" s="168"/>
      <c r="X339" s="168"/>
      <c r="AA339" s="168"/>
      <c r="AB339" s="168"/>
    </row>
    <row r="340" spans="1:28" ht="18.75" customHeight="1" x14ac:dyDescent="0.3">
      <c r="A340" s="169"/>
      <c r="B340" s="168"/>
      <c r="C340" s="168"/>
      <c r="D340" s="168"/>
      <c r="E340" s="166"/>
      <c r="F340" s="166"/>
      <c r="G340" s="166"/>
      <c r="H340" s="168"/>
      <c r="I340" s="168"/>
      <c r="J340" s="168"/>
      <c r="K340" s="166"/>
      <c r="L340" s="168"/>
      <c r="M340" s="166"/>
      <c r="N340" s="166"/>
      <c r="O340" s="166"/>
      <c r="P340" s="168"/>
      <c r="Q340" s="168"/>
      <c r="R340" s="168"/>
      <c r="S340" s="168"/>
      <c r="T340" s="166"/>
      <c r="U340" s="168"/>
      <c r="V340" s="168"/>
      <c r="X340" s="168"/>
      <c r="AA340" s="168"/>
      <c r="AB340" s="168"/>
    </row>
    <row r="341" spans="1:28" ht="18.75" customHeight="1" x14ac:dyDescent="0.3">
      <c r="A341" s="169"/>
      <c r="B341" s="168"/>
      <c r="C341" s="168"/>
      <c r="D341" s="168"/>
      <c r="E341" s="166"/>
      <c r="F341" s="166"/>
      <c r="G341" s="166"/>
      <c r="H341" s="168"/>
      <c r="I341" s="168"/>
      <c r="J341" s="168"/>
      <c r="K341" s="166"/>
      <c r="L341" s="168"/>
      <c r="M341" s="166"/>
      <c r="N341" s="166"/>
      <c r="O341" s="166"/>
      <c r="P341" s="168"/>
      <c r="Q341" s="168"/>
      <c r="R341" s="168"/>
      <c r="S341" s="168"/>
      <c r="T341" s="166"/>
      <c r="U341" s="168"/>
      <c r="V341" s="168"/>
      <c r="X341" s="168"/>
      <c r="AA341" s="168"/>
      <c r="AB341" s="168"/>
    </row>
    <row r="342" spans="1:28" ht="18.75" customHeight="1" x14ac:dyDescent="0.3">
      <c r="A342" s="169"/>
      <c r="B342" s="168"/>
      <c r="C342" s="168"/>
      <c r="D342" s="168"/>
      <c r="E342" s="166"/>
      <c r="F342" s="166"/>
      <c r="G342" s="166"/>
      <c r="H342" s="168"/>
      <c r="I342" s="168"/>
      <c r="J342" s="168"/>
      <c r="K342" s="166"/>
      <c r="L342" s="168"/>
      <c r="M342" s="166"/>
      <c r="N342" s="166"/>
      <c r="O342" s="166"/>
      <c r="P342" s="168"/>
      <c r="Q342" s="168"/>
      <c r="R342" s="168"/>
      <c r="S342" s="168"/>
      <c r="T342" s="166"/>
      <c r="U342" s="168"/>
      <c r="V342" s="168"/>
      <c r="X342" s="168"/>
      <c r="AA342" s="168"/>
      <c r="AB342" s="168"/>
    </row>
    <row r="343" spans="1:28" ht="18.75" customHeight="1" x14ac:dyDescent="0.3">
      <c r="A343" s="169"/>
      <c r="B343" s="168"/>
      <c r="C343" s="168"/>
      <c r="D343" s="168"/>
      <c r="E343" s="166"/>
      <c r="F343" s="166"/>
      <c r="G343" s="166"/>
      <c r="H343" s="168"/>
      <c r="I343" s="168"/>
      <c r="J343" s="168"/>
      <c r="K343" s="166"/>
      <c r="L343" s="168"/>
      <c r="M343" s="166"/>
      <c r="N343" s="166"/>
      <c r="O343" s="166"/>
      <c r="P343" s="168"/>
      <c r="Q343" s="168"/>
      <c r="R343" s="168"/>
      <c r="S343" s="168"/>
      <c r="T343" s="166"/>
      <c r="U343" s="168"/>
      <c r="V343" s="168"/>
      <c r="X343" s="168"/>
      <c r="AA343" s="168"/>
      <c r="AB343" s="168"/>
    </row>
    <row r="344" spans="1:28" ht="18.75" customHeight="1" x14ac:dyDescent="0.3">
      <c r="A344" s="169"/>
      <c r="B344" s="168"/>
      <c r="C344" s="168"/>
      <c r="D344" s="168"/>
      <c r="E344" s="166"/>
      <c r="F344" s="166"/>
      <c r="G344" s="166"/>
      <c r="H344" s="168"/>
      <c r="I344" s="168"/>
      <c r="J344" s="168"/>
      <c r="K344" s="166"/>
      <c r="L344" s="168"/>
      <c r="M344" s="166"/>
      <c r="N344" s="166"/>
      <c r="O344" s="166"/>
      <c r="P344" s="168"/>
      <c r="Q344" s="168"/>
      <c r="R344" s="168"/>
      <c r="S344" s="168"/>
      <c r="T344" s="166"/>
      <c r="U344" s="168"/>
      <c r="V344" s="168"/>
      <c r="X344" s="168"/>
      <c r="AA344" s="168"/>
      <c r="AB344" s="168"/>
    </row>
    <row r="345" spans="1:28" ht="18.75" customHeight="1" x14ac:dyDescent="0.3">
      <c r="A345" s="169"/>
      <c r="B345" s="168"/>
      <c r="C345" s="168"/>
      <c r="D345" s="168"/>
      <c r="E345" s="166"/>
      <c r="F345" s="166"/>
      <c r="G345" s="166"/>
      <c r="H345" s="168"/>
      <c r="I345" s="168"/>
      <c r="J345" s="168"/>
      <c r="K345" s="166"/>
      <c r="L345" s="168"/>
      <c r="M345" s="166"/>
      <c r="N345" s="166"/>
      <c r="O345" s="166"/>
      <c r="P345" s="168"/>
      <c r="Q345" s="168"/>
      <c r="R345" s="168"/>
      <c r="S345" s="168"/>
      <c r="T345" s="166"/>
      <c r="U345" s="168"/>
      <c r="V345" s="168"/>
      <c r="X345" s="168"/>
      <c r="AA345" s="168"/>
      <c r="AB345" s="168"/>
    </row>
    <row r="346" spans="1:28" ht="18.75" customHeight="1" x14ac:dyDescent="0.3">
      <c r="A346" s="169"/>
      <c r="B346" s="168"/>
      <c r="C346" s="168"/>
      <c r="D346" s="168"/>
      <c r="E346" s="166"/>
      <c r="F346" s="166"/>
      <c r="G346" s="166"/>
      <c r="H346" s="168"/>
      <c r="I346" s="168"/>
      <c r="J346" s="168"/>
      <c r="K346" s="166"/>
      <c r="L346" s="168"/>
      <c r="M346" s="166"/>
      <c r="N346" s="166"/>
      <c r="O346" s="166"/>
      <c r="P346" s="168"/>
      <c r="Q346" s="168"/>
      <c r="R346" s="168"/>
      <c r="S346" s="168"/>
      <c r="T346" s="166"/>
      <c r="U346" s="168"/>
      <c r="V346" s="168"/>
      <c r="X346" s="168"/>
      <c r="AA346" s="168"/>
      <c r="AB346" s="168"/>
    </row>
    <row r="347" spans="1:28" ht="18.75" customHeight="1" x14ac:dyDescent="0.3">
      <c r="A347" s="169"/>
      <c r="B347" s="168"/>
      <c r="C347" s="168"/>
      <c r="D347" s="168"/>
      <c r="E347" s="166"/>
      <c r="F347" s="166"/>
      <c r="G347" s="166"/>
      <c r="H347" s="168"/>
      <c r="I347" s="168"/>
      <c r="J347" s="168"/>
      <c r="K347" s="166"/>
      <c r="L347" s="168"/>
      <c r="M347" s="166"/>
      <c r="N347" s="166"/>
      <c r="O347" s="166"/>
      <c r="P347" s="168"/>
      <c r="Q347" s="168"/>
      <c r="R347" s="168"/>
      <c r="S347" s="168"/>
      <c r="T347" s="166"/>
      <c r="U347" s="168"/>
      <c r="V347" s="168"/>
      <c r="X347" s="168"/>
      <c r="AA347" s="168"/>
      <c r="AB347" s="168"/>
    </row>
    <row r="348" spans="1:28" ht="18.75" customHeight="1" x14ac:dyDescent="0.3">
      <c r="A348" s="169"/>
      <c r="B348" s="168"/>
      <c r="C348" s="168"/>
      <c r="D348" s="168"/>
      <c r="E348" s="166"/>
      <c r="F348" s="166"/>
      <c r="G348" s="166"/>
      <c r="H348" s="168"/>
      <c r="I348" s="168"/>
      <c r="J348" s="168"/>
      <c r="K348" s="166"/>
      <c r="L348" s="168"/>
      <c r="M348" s="166"/>
      <c r="N348" s="166"/>
      <c r="O348" s="166"/>
      <c r="P348" s="168"/>
      <c r="Q348" s="168"/>
      <c r="R348" s="168"/>
      <c r="S348" s="168"/>
      <c r="T348" s="166"/>
      <c r="U348" s="168"/>
      <c r="V348" s="168"/>
      <c r="X348" s="168"/>
      <c r="AA348" s="168"/>
      <c r="AB348" s="168"/>
    </row>
    <row r="349" spans="1:28" ht="18.75" customHeight="1" x14ac:dyDescent="0.3">
      <c r="A349" s="169"/>
      <c r="B349" s="168"/>
      <c r="C349" s="168"/>
      <c r="D349" s="168"/>
      <c r="E349" s="166"/>
      <c r="F349" s="166"/>
      <c r="G349" s="166"/>
      <c r="H349" s="168"/>
      <c r="I349" s="168"/>
      <c r="J349" s="168"/>
      <c r="K349" s="166"/>
      <c r="L349" s="168"/>
      <c r="M349" s="166"/>
      <c r="N349" s="166"/>
      <c r="O349" s="166"/>
      <c r="P349" s="168"/>
      <c r="Q349" s="168"/>
      <c r="R349" s="168"/>
      <c r="S349" s="168"/>
      <c r="T349" s="166"/>
      <c r="U349" s="168"/>
      <c r="V349" s="168"/>
      <c r="X349" s="168"/>
      <c r="AA349" s="168"/>
      <c r="AB349" s="168"/>
    </row>
    <row r="350" spans="1:28" ht="18.75" customHeight="1" x14ac:dyDescent="0.3">
      <c r="A350" s="169"/>
      <c r="B350" s="168"/>
      <c r="C350" s="168"/>
      <c r="D350" s="168"/>
      <c r="E350" s="166"/>
      <c r="F350" s="166"/>
      <c r="G350" s="166"/>
      <c r="H350" s="168"/>
      <c r="I350" s="168"/>
      <c r="J350" s="168"/>
      <c r="K350" s="166"/>
      <c r="L350" s="168"/>
      <c r="M350" s="166"/>
      <c r="N350" s="166"/>
      <c r="O350" s="166"/>
      <c r="P350" s="168"/>
      <c r="Q350" s="168"/>
      <c r="R350" s="168"/>
      <c r="S350" s="168"/>
      <c r="T350" s="166"/>
      <c r="U350" s="168"/>
      <c r="V350" s="168"/>
      <c r="X350" s="168"/>
      <c r="AA350" s="168"/>
      <c r="AB350" s="168"/>
    </row>
    <row r="351" spans="1:28" ht="18.75" customHeight="1" x14ac:dyDescent="0.3">
      <c r="A351" s="169"/>
      <c r="B351" s="168"/>
      <c r="C351" s="168"/>
      <c r="D351" s="168"/>
      <c r="E351" s="166"/>
      <c r="F351" s="166"/>
      <c r="G351" s="166"/>
      <c r="H351" s="168"/>
      <c r="I351" s="168"/>
      <c r="J351" s="168"/>
      <c r="K351" s="166"/>
      <c r="L351" s="168"/>
      <c r="M351" s="166"/>
      <c r="N351" s="166"/>
      <c r="O351" s="166"/>
      <c r="P351" s="168"/>
      <c r="Q351" s="168"/>
      <c r="R351" s="168"/>
      <c r="S351" s="168"/>
      <c r="T351" s="166"/>
      <c r="U351" s="168"/>
      <c r="V351" s="168"/>
      <c r="X351" s="168"/>
      <c r="AA351" s="168"/>
      <c r="AB351" s="168"/>
    </row>
    <row r="352" spans="1:28" ht="18.75" customHeight="1" x14ac:dyDescent="0.3">
      <c r="A352" s="169"/>
      <c r="B352" s="168"/>
      <c r="C352" s="168"/>
      <c r="D352" s="168"/>
      <c r="E352" s="166"/>
      <c r="F352" s="166"/>
      <c r="G352" s="166"/>
      <c r="H352" s="168"/>
      <c r="I352" s="168"/>
      <c r="J352" s="168"/>
      <c r="K352" s="166"/>
      <c r="L352" s="168"/>
      <c r="M352" s="166"/>
      <c r="N352" s="166"/>
      <c r="O352" s="166"/>
      <c r="P352" s="168"/>
      <c r="Q352" s="168"/>
      <c r="R352" s="168"/>
      <c r="S352" s="168"/>
      <c r="T352" s="166"/>
      <c r="U352" s="168"/>
      <c r="V352" s="168"/>
      <c r="X352" s="168"/>
      <c r="AA352" s="168"/>
      <c r="AB352" s="168"/>
    </row>
    <row r="353" spans="1:28" ht="18.75" customHeight="1" x14ac:dyDescent="0.3">
      <c r="A353" s="169"/>
      <c r="B353" s="168"/>
      <c r="C353" s="168"/>
      <c r="D353" s="168"/>
      <c r="E353" s="166"/>
      <c r="F353" s="166"/>
      <c r="G353" s="166"/>
      <c r="H353" s="168"/>
      <c r="I353" s="168"/>
      <c r="J353" s="168"/>
      <c r="K353" s="166"/>
      <c r="L353" s="168"/>
      <c r="M353" s="166"/>
      <c r="N353" s="166"/>
      <c r="O353" s="166"/>
      <c r="P353" s="168"/>
      <c r="Q353" s="168"/>
      <c r="R353" s="168"/>
      <c r="S353" s="168"/>
      <c r="T353" s="166"/>
      <c r="U353" s="168"/>
      <c r="V353" s="168"/>
      <c r="X353" s="168"/>
      <c r="AA353" s="168"/>
      <c r="AB353" s="168"/>
    </row>
    <row r="354" spans="1:28" ht="18.75" customHeight="1" x14ac:dyDescent="0.3">
      <c r="A354" s="169"/>
      <c r="B354" s="168"/>
      <c r="C354" s="168"/>
      <c r="D354" s="168"/>
      <c r="E354" s="166"/>
      <c r="F354" s="166"/>
      <c r="G354" s="166"/>
      <c r="H354" s="168"/>
      <c r="I354" s="168"/>
      <c r="J354" s="168"/>
      <c r="K354" s="166"/>
      <c r="L354" s="168"/>
      <c r="M354" s="166"/>
      <c r="N354" s="166"/>
      <c r="O354" s="166"/>
      <c r="P354" s="168"/>
      <c r="Q354" s="168"/>
      <c r="R354" s="168"/>
      <c r="S354" s="168"/>
      <c r="T354" s="166"/>
      <c r="U354" s="168"/>
      <c r="V354" s="168"/>
      <c r="X354" s="168"/>
      <c r="AA354" s="168"/>
      <c r="AB354" s="168"/>
    </row>
    <row r="355" spans="1:28" ht="18.75" customHeight="1" x14ac:dyDescent="0.3">
      <c r="A355" s="169"/>
      <c r="B355" s="168"/>
      <c r="C355" s="168"/>
      <c r="D355" s="168"/>
      <c r="E355" s="166"/>
      <c r="F355" s="166"/>
      <c r="G355" s="166"/>
      <c r="H355" s="168"/>
      <c r="I355" s="168"/>
      <c r="J355" s="168"/>
      <c r="K355" s="166"/>
      <c r="L355" s="168"/>
      <c r="M355" s="166"/>
      <c r="N355" s="166"/>
      <c r="O355" s="166"/>
      <c r="P355" s="168"/>
      <c r="Q355" s="168"/>
      <c r="R355" s="168"/>
      <c r="S355" s="168"/>
      <c r="T355" s="166"/>
      <c r="U355" s="168"/>
      <c r="V355" s="168"/>
      <c r="X355" s="168"/>
      <c r="AA355" s="168"/>
      <c r="AB355" s="168"/>
    </row>
    <row r="356" spans="1:28" ht="18.75" customHeight="1" x14ac:dyDescent="0.3">
      <c r="A356" s="169"/>
      <c r="B356" s="168"/>
      <c r="C356" s="168"/>
      <c r="D356" s="168"/>
      <c r="E356" s="166"/>
      <c r="F356" s="166"/>
      <c r="G356" s="166"/>
      <c r="H356" s="168"/>
      <c r="I356" s="168"/>
      <c r="J356" s="168"/>
      <c r="K356" s="166"/>
      <c r="L356" s="168"/>
      <c r="M356" s="166"/>
      <c r="N356" s="166"/>
      <c r="O356" s="166"/>
      <c r="P356" s="168"/>
      <c r="Q356" s="168"/>
      <c r="R356" s="168"/>
      <c r="S356" s="168"/>
      <c r="T356" s="166"/>
      <c r="U356" s="168"/>
      <c r="V356" s="168"/>
      <c r="X356" s="168"/>
      <c r="AA356" s="168"/>
      <c r="AB356" s="168"/>
    </row>
    <row r="357" spans="1:28" ht="18.75" customHeight="1" x14ac:dyDescent="0.3">
      <c r="A357" s="169"/>
      <c r="B357" s="168"/>
      <c r="C357" s="168"/>
      <c r="D357" s="168"/>
      <c r="E357" s="166"/>
      <c r="F357" s="166"/>
      <c r="G357" s="166"/>
      <c r="H357" s="168"/>
      <c r="I357" s="168"/>
      <c r="J357" s="168"/>
      <c r="K357" s="166"/>
      <c r="L357" s="168"/>
      <c r="M357" s="166"/>
      <c r="N357" s="166"/>
      <c r="O357" s="166"/>
      <c r="P357" s="168"/>
      <c r="Q357" s="168"/>
      <c r="R357" s="168"/>
      <c r="S357" s="168"/>
      <c r="T357" s="166"/>
      <c r="U357" s="168"/>
      <c r="V357" s="168"/>
      <c r="X357" s="168"/>
      <c r="AA357" s="168"/>
      <c r="AB357" s="168"/>
    </row>
    <row r="358" spans="1:28" ht="18.75" customHeight="1" x14ac:dyDescent="0.3">
      <c r="A358" s="169"/>
      <c r="B358" s="168"/>
      <c r="C358" s="168"/>
      <c r="D358" s="168"/>
      <c r="E358" s="166"/>
      <c r="F358" s="166"/>
      <c r="G358" s="166"/>
      <c r="H358" s="168"/>
      <c r="I358" s="168"/>
      <c r="J358" s="168"/>
      <c r="K358" s="166"/>
      <c r="L358" s="168"/>
      <c r="M358" s="166"/>
      <c r="N358" s="166"/>
      <c r="O358" s="166"/>
      <c r="P358" s="168"/>
      <c r="Q358" s="168"/>
      <c r="R358" s="168"/>
      <c r="S358" s="168"/>
      <c r="T358" s="166"/>
      <c r="U358" s="168"/>
      <c r="V358" s="168"/>
      <c r="X358" s="168"/>
      <c r="AA358" s="168"/>
      <c r="AB358" s="168"/>
    </row>
    <row r="359" spans="1:28" ht="18.75" customHeight="1" x14ac:dyDescent="0.3">
      <c r="A359" s="169"/>
      <c r="B359" s="168"/>
      <c r="C359" s="168"/>
      <c r="D359" s="168"/>
      <c r="E359" s="166"/>
      <c r="F359" s="166"/>
      <c r="G359" s="166"/>
      <c r="H359" s="168"/>
      <c r="I359" s="168"/>
      <c r="J359" s="168"/>
      <c r="K359" s="166"/>
      <c r="L359" s="168"/>
      <c r="M359" s="166"/>
      <c r="N359" s="166"/>
      <c r="O359" s="166"/>
      <c r="P359" s="168"/>
      <c r="Q359" s="168"/>
      <c r="R359" s="168"/>
      <c r="S359" s="168"/>
      <c r="T359" s="166"/>
      <c r="U359" s="168"/>
      <c r="V359" s="168"/>
      <c r="X359" s="168"/>
      <c r="AA359" s="168"/>
      <c r="AB359" s="168"/>
    </row>
    <row r="360" spans="1:28" ht="18.75" customHeight="1" x14ac:dyDescent="0.3">
      <c r="A360" s="169"/>
      <c r="B360" s="168"/>
      <c r="C360" s="168"/>
      <c r="D360" s="168"/>
      <c r="E360" s="166"/>
      <c r="F360" s="166"/>
      <c r="G360" s="166"/>
      <c r="H360" s="168"/>
      <c r="I360" s="168"/>
      <c r="J360" s="168"/>
      <c r="K360" s="166"/>
      <c r="L360" s="168"/>
      <c r="M360" s="166"/>
      <c r="N360" s="166"/>
      <c r="O360" s="166"/>
      <c r="P360" s="168"/>
      <c r="Q360" s="168"/>
      <c r="R360" s="168"/>
      <c r="S360" s="168"/>
      <c r="T360" s="166"/>
      <c r="U360" s="168"/>
      <c r="V360" s="168"/>
      <c r="X360" s="168"/>
      <c r="AA360" s="168"/>
      <c r="AB360" s="168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3C48EC-70C7-47B7-B705-FCCE20C0E82D}">
          <x14:formula1>
            <xm:f>清單及說明!$C$50:$C$184</xm:f>
          </x14:formula1>
          <xm:sqref>B4:B1048576</xm:sqref>
        </x14:dataValidation>
        <x14:dataValidation type="list" allowBlank="1" showInputMessage="1" showErrorMessage="1" xr:uid="{916BBEC1-2B32-42B1-9CC0-B699D1E80BAA}">
          <x14:formula1>
            <xm:f>清單及說明!$E$50:$E$64</xm:f>
          </x14:formula1>
          <xm:sqref>L4:L1048576</xm:sqref>
        </x14:dataValidation>
        <x14:dataValidation type="list" allowBlank="1" showInputMessage="1" showErrorMessage="1" xr:uid="{57A2F653-0174-4270-92B1-3EF4FF89E6AD}">
          <x14:formula1>
            <xm:f>清單及說明!$G$50:$G$57</xm:f>
          </x14:formula1>
          <xm:sqref>W4:W1048576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CE5F-F78E-43DE-9655-24D1F5122312}">
  <sheetPr codeName="工作表9"/>
  <dimension ref="A1:F8"/>
  <sheetViews>
    <sheetView zoomScale="115" zoomScaleNormal="115" workbookViewId="0">
      <pane ySplit="1" topLeftCell="A2" activePane="bottomLeft" state="frozen"/>
      <selection pane="bottomLeft" activeCell="D14" sqref="D14"/>
    </sheetView>
  </sheetViews>
  <sheetFormatPr defaultColWidth="8.88671875" defaultRowHeight="16.2" x14ac:dyDescent="0.3"/>
  <cols>
    <col min="1" max="1" width="31.33203125" style="117" customWidth="1"/>
    <col min="2" max="2" width="22.44140625" style="117" customWidth="1"/>
    <col min="3" max="3" width="14.109375" style="174" bestFit="1" customWidth="1"/>
    <col min="4" max="4" width="21.44140625" style="147" bestFit="1" customWidth="1"/>
    <col min="5" max="5" width="51.44140625" style="177" customWidth="1"/>
    <col min="6" max="6" width="51.44140625" style="117" customWidth="1"/>
    <col min="7" max="16384" width="8.88671875" style="117"/>
  </cols>
  <sheetData>
    <row r="1" spans="1:6" s="172" customFormat="1" ht="39.6" x14ac:dyDescent="0.4">
      <c r="A1" s="148" t="s">
        <v>178</v>
      </c>
      <c r="B1" s="149" t="s">
        <v>180</v>
      </c>
      <c r="C1" s="150" t="s">
        <v>460</v>
      </c>
      <c r="D1" s="150" t="s">
        <v>461</v>
      </c>
      <c r="E1" s="150" t="s">
        <v>462</v>
      </c>
      <c r="F1" s="171" t="s">
        <v>387</v>
      </c>
    </row>
    <row r="2" spans="1:6" x14ac:dyDescent="0.3">
      <c r="A2" s="80" t="s">
        <v>388</v>
      </c>
      <c r="B2" s="81" t="s">
        <v>181</v>
      </c>
      <c r="C2" s="84" t="s">
        <v>463</v>
      </c>
      <c r="D2" s="84" t="s">
        <v>464</v>
      </c>
      <c r="E2" s="175" t="s">
        <v>465</v>
      </c>
      <c r="F2" s="173" t="s">
        <v>387</v>
      </c>
    </row>
    <row r="3" spans="1:6" x14ac:dyDescent="0.3">
      <c r="A3" s="82" t="s">
        <v>179</v>
      </c>
      <c r="B3" s="81" t="s">
        <v>182</v>
      </c>
      <c r="C3" s="84" t="s">
        <v>389</v>
      </c>
      <c r="D3" s="84" t="s">
        <v>466</v>
      </c>
      <c r="E3" s="175" t="s">
        <v>467</v>
      </c>
      <c r="F3" s="173" t="s">
        <v>387</v>
      </c>
    </row>
    <row r="4" spans="1:6" x14ac:dyDescent="0.3">
      <c r="A4" s="117" t="s">
        <v>629</v>
      </c>
      <c r="B4" s="117">
        <v>1</v>
      </c>
      <c r="C4" s="174" t="str">
        <f>基本資料填寫!CP2</f>
        <v>27NYE0823</v>
      </c>
      <c r="D4" s="147" t="s">
        <v>100</v>
      </c>
      <c r="E4" s="176" t="str">
        <f>"廠家："&amp;基本資料填寫!CM2</f>
        <v>廠家：SCM SISTEMAS,S.L.</v>
      </c>
      <c r="F4" s="83"/>
    </row>
    <row r="5" spans="1:6" x14ac:dyDescent="0.3">
      <c r="A5" s="117" t="s">
        <v>629</v>
      </c>
      <c r="B5" s="117">
        <v>2</v>
      </c>
      <c r="C5" s="174" t="str">
        <f>基本資料填寫!CP2</f>
        <v>27NYE0823</v>
      </c>
      <c r="D5" s="147" t="s">
        <v>101</v>
      </c>
      <c r="E5" s="176" t="str">
        <f>"型號："&amp;基本資料填寫!CR2</f>
        <v>型號：TA-4CI</v>
      </c>
      <c r="F5" s="83"/>
    </row>
    <row r="6" spans="1:6" x14ac:dyDescent="0.3">
      <c r="F6" s="83"/>
    </row>
    <row r="7" spans="1:6" x14ac:dyDescent="0.3">
      <c r="F7" s="83"/>
    </row>
    <row r="8" spans="1:6" x14ac:dyDescent="0.3">
      <c r="F8" s="83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5D4D-56E4-4827-9FEB-E19BBD469A55}">
  <sheetPr codeName="工作表10"/>
  <dimension ref="A1:AI103"/>
  <sheetViews>
    <sheetView workbookViewId="0">
      <pane ySplit="3" topLeftCell="A4" activePane="bottomLeft" state="frozen"/>
      <selection activeCell="C1" sqref="C1"/>
      <selection pane="bottomLeft" activeCell="B109" sqref="B109"/>
    </sheetView>
  </sheetViews>
  <sheetFormatPr defaultColWidth="8.88671875" defaultRowHeight="16.2" x14ac:dyDescent="0.3"/>
  <cols>
    <col min="1" max="1" width="26.33203125" style="117" bestFit="1" customWidth="1"/>
    <col min="2" max="2" width="22.6640625" style="115" bestFit="1" customWidth="1"/>
    <col min="3" max="3" width="17.109375" style="115" customWidth="1"/>
    <col min="4" max="4" width="19.21875" style="115" customWidth="1"/>
    <col min="5" max="5" width="16.44140625" style="115" bestFit="1" customWidth="1"/>
    <col min="6" max="6" width="16.44140625" style="160" customWidth="1"/>
    <col min="7" max="7" width="19.44140625" style="160" customWidth="1"/>
    <col min="8" max="8" width="14.109375" style="160" bestFit="1" customWidth="1"/>
    <col min="9" max="9" width="20.21875" style="160" bestFit="1" customWidth="1"/>
    <col min="10" max="10" width="23.88671875" style="160" bestFit="1" customWidth="1"/>
    <col min="11" max="11" width="33.6640625" style="160" bestFit="1" customWidth="1"/>
    <col min="12" max="12" width="14.109375" style="113" bestFit="1" customWidth="1"/>
    <col min="13" max="13" width="21.44140625" style="113" bestFit="1" customWidth="1"/>
    <col min="14" max="14" width="16.44140625" style="113" bestFit="1" customWidth="1"/>
    <col min="15" max="15" width="14.109375" style="113" bestFit="1" customWidth="1"/>
    <col min="16" max="17" width="19" style="113" bestFit="1" customWidth="1"/>
    <col min="18" max="18" width="17.77734375" style="113" bestFit="1" customWidth="1"/>
    <col min="19" max="19" width="31.21875" style="113" bestFit="1" customWidth="1"/>
    <col min="20" max="20" width="26.33203125" style="113" bestFit="1" customWidth="1"/>
    <col min="21" max="21" width="23.88671875" style="113" bestFit="1" customWidth="1"/>
    <col min="22" max="22" width="19" style="113" bestFit="1" customWidth="1"/>
    <col min="23" max="23" width="22" style="115" customWidth="1"/>
    <col min="24" max="24" width="17.6640625" style="113" customWidth="1"/>
    <col min="25" max="25" width="20.21875" style="113" bestFit="1" customWidth="1"/>
    <col min="26" max="34" width="13.6640625" style="113" customWidth="1"/>
    <col min="35" max="35" width="25.109375" style="113" bestFit="1" customWidth="1"/>
    <col min="36" max="16384" width="8.88671875" style="113"/>
  </cols>
  <sheetData>
    <row r="1" spans="1:35" ht="32.4" x14ac:dyDescent="0.3">
      <c r="A1" s="79" t="s">
        <v>742</v>
      </c>
      <c r="B1" s="157" t="s">
        <v>550</v>
      </c>
      <c r="C1" s="129" t="s">
        <v>743</v>
      </c>
      <c r="D1" s="129" t="s">
        <v>554</v>
      </c>
      <c r="E1" s="130" t="s">
        <v>468</v>
      </c>
      <c r="F1" s="81" t="s">
        <v>472</v>
      </c>
      <c r="G1" s="81" t="s">
        <v>473</v>
      </c>
      <c r="H1" s="81" t="s">
        <v>480</v>
      </c>
      <c r="I1" s="81" t="s">
        <v>481</v>
      </c>
      <c r="J1" s="81" t="s">
        <v>482</v>
      </c>
      <c r="K1" s="81" t="s">
        <v>483</v>
      </c>
      <c r="L1" s="81" t="s">
        <v>484</v>
      </c>
      <c r="M1" s="81" t="s">
        <v>485</v>
      </c>
      <c r="N1" s="81" t="s">
        <v>486</v>
      </c>
      <c r="O1" s="81" t="s">
        <v>487</v>
      </c>
      <c r="P1" s="81" t="s">
        <v>488</v>
      </c>
      <c r="Q1" s="81" t="s">
        <v>489</v>
      </c>
      <c r="R1" s="81" t="s">
        <v>490</v>
      </c>
      <c r="S1" s="81" t="s">
        <v>491</v>
      </c>
      <c r="T1" s="81" t="s">
        <v>492</v>
      </c>
      <c r="U1" s="81" t="s">
        <v>493</v>
      </c>
      <c r="V1" s="81" t="s">
        <v>494</v>
      </c>
      <c r="W1" s="131" t="s">
        <v>780</v>
      </c>
      <c r="X1" s="81" t="s">
        <v>495</v>
      </c>
      <c r="Y1" s="81" t="s">
        <v>496</v>
      </c>
      <c r="Z1" s="81" t="s">
        <v>497</v>
      </c>
      <c r="AA1" s="81" t="s">
        <v>498</v>
      </c>
      <c r="AB1" s="81" t="s">
        <v>499</v>
      </c>
      <c r="AC1" s="81" t="s">
        <v>500</v>
      </c>
      <c r="AD1" s="81" t="s">
        <v>501</v>
      </c>
      <c r="AE1" s="81" t="s">
        <v>502</v>
      </c>
      <c r="AF1" s="81" t="s">
        <v>503</v>
      </c>
      <c r="AG1" s="81" t="s">
        <v>504</v>
      </c>
      <c r="AH1" s="81" t="s">
        <v>505</v>
      </c>
      <c r="AI1" s="86" t="s">
        <v>387</v>
      </c>
    </row>
    <row r="2" spans="1:35" x14ac:dyDescent="0.3">
      <c r="A2" s="80" t="s">
        <v>388</v>
      </c>
      <c r="B2" s="158" t="s">
        <v>747</v>
      </c>
      <c r="C2" s="90" t="s">
        <v>189</v>
      </c>
      <c r="D2" s="90" t="s">
        <v>191</v>
      </c>
      <c r="E2" s="90" t="s">
        <v>469</v>
      </c>
      <c r="F2" s="85" t="s">
        <v>474</v>
      </c>
      <c r="G2" s="85" t="s">
        <v>475</v>
      </c>
      <c r="H2" s="85" t="s">
        <v>506</v>
      </c>
      <c r="I2" s="85" t="s">
        <v>507</v>
      </c>
      <c r="J2" s="85" t="s">
        <v>508</v>
      </c>
      <c r="K2" s="85" t="s">
        <v>509</v>
      </c>
      <c r="L2" s="85" t="s">
        <v>510</v>
      </c>
      <c r="M2" s="85" t="s">
        <v>511</v>
      </c>
      <c r="N2" s="85" t="s">
        <v>512</v>
      </c>
      <c r="O2" s="85" t="s">
        <v>513</v>
      </c>
      <c r="P2" s="85" t="s">
        <v>514</v>
      </c>
      <c r="Q2" s="85" t="s">
        <v>515</v>
      </c>
      <c r="R2" s="85" t="s">
        <v>516</v>
      </c>
      <c r="S2" s="85" t="s">
        <v>517</v>
      </c>
      <c r="T2" s="85" t="s">
        <v>518</v>
      </c>
      <c r="U2" s="85" t="s">
        <v>519</v>
      </c>
      <c r="V2" s="85" t="s">
        <v>520</v>
      </c>
      <c r="W2" s="132" t="s">
        <v>781</v>
      </c>
      <c r="X2" s="85" t="s">
        <v>521</v>
      </c>
      <c r="Y2" s="85" t="s">
        <v>522</v>
      </c>
      <c r="Z2" s="85" t="s">
        <v>523</v>
      </c>
      <c r="AA2" s="85" t="s">
        <v>524</v>
      </c>
      <c r="AB2" s="85" t="s">
        <v>525</v>
      </c>
      <c r="AC2" s="85" t="s">
        <v>526</v>
      </c>
      <c r="AD2" s="85" t="s">
        <v>527</v>
      </c>
      <c r="AE2" s="85" t="s">
        <v>528</v>
      </c>
      <c r="AF2" s="85" t="s">
        <v>529</v>
      </c>
      <c r="AG2" s="85" t="s">
        <v>530</v>
      </c>
      <c r="AH2" s="85" t="s">
        <v>531</v>
      </c>
      <c r="AI2" s="86" t="s">
        <v>387</v>
      </c>
    </row>
    <row r="3" spans="1:35" x14ac:dyDescent="0.3">
      <c r="A3" s="87" t="s">
        <v>411</v>
      </c>
      <c r="B3" s="158" t="s">
        <v>552</v>
      </c>
      <c r="C3" s="91" t="s">
        <v>192</v>
      </c>
      <c r="D3" s="92" t="s">
        <v>194</v>
      </c>
      <c r="E3" s="92" t="s">
        <v>470</v>
      </c>
      <c r="F3" s="88" t="s">
        <v>478</v>
      </c>
      <c r="G3" s="88" t="s">
        <v>479</v>
      </c>
      <c r="H3" s="88" t="s">
        <v>532</v>
      </c>
      <c r="I3" s="88" t="s">
        <v>533</v>
      </c>
      <c r="J3" s="88" t="s">
        <v>534</v>
      </c>
      <c r="K3" s="88" t="s">
        <v>535</v>
      </c>
      <c r="L3" s="88" t="s">
        <v>536</v>
      </c>
      <c r="M3" s="88" t="s">
        <v>537</v>
      </c>
      <c r="N3" s="88" t="s">
        <v>538</v>
      </c>
      <c r="O3" s="88" t="s">
        <v>539</v>
      </c>
      <c r="P3" s="88" t="s">
        <v>540</v>
      </c>
      <c r="Q3" s="88" t="s">
        <v>541</v>
      </c>
      <c r="R3" s="88" t="s">
        <v>542</v>
      </c>
      <c r="S3" s="88" t="s">
        <v>543</v>
      </c>
      <c r="T3" s="88" t="s">
        <v>544</v>
      </c>
      <c r="U3" s="88" t="s">
        <v>545</v>
      </c>
      <c r="V3" s="88" t="s">
        <v>546</v>
      </c>
      <c r="W3" s="133" t="s">
        <v>782</v>
      </c>
      <c r="X3" s="88" t="s">
        <v>547</v>
      </c>
      <c r="Y3" s="88" t="s">
        <v>548</v>
      </c>
      <c r="Z3" s="88" t="s">
        <v>523</v>
      </c>
      <c r="AA3" s="88" t="s">
        <v>524</v>
      </c>
      <c r="AB3" s="88" t="s">
        <v>525</v>
      </c>
      <c r="AC3" s="88" t="s">
        <v>526</v>
      </c>
      <c r="AD3" s="88" t="s">
        <v>527</v>
      </c>
      <c r="AE3" s="88" t="s">
        <v>528</v>
      </c>
      <c r="AF3" s="88" t="s">
        <v>529</v>
      </c>
      <c r="AG3" s="88" t="s">
        <v>530</v>
      </c>
      <c r="AH3" s="88" t="s">
        <v>531</v>
      </c>
      <c r="AI3" s="86" t="s">
        <v>387</v>
      </c>
    </row>
    <row r="4" spans="1:35" x14ac:dyDescent="0.3">
      <c r="A4" s="117" t="s">
        <v>629</v>
      </c>
      <c r="B4" s="115">
        <f>IF(C4="","",COUNTA($C$4:C4))</f>
        <v>1</v>
      </c>
      <c r="C4" s="115" t="str">
        <f>IFERROR(VLOOKUP(基本資料填寫!$D$1&amp;"-"&amp;ROW(AP1),基本資料填寫!$D:$DU,COLUMN(基本資料填寫!CM1),0),"")</f>
        <v>27NYE0823</v>
      </c>
      <c r="D4" s="115" t="str">
        <f>IFERROR(VLOOKUP(基本資料填寫!$D$1&amp;"-"&amp;ROW(L1),基本資料填寫!$D:$DU,COLUMN(基本資料填寫!S1),0),"")</f>
        <v>YETL22088</v>
      </c>
      <c r="E4" s="115" t="str">
        <f>IFERROR(VLOOKUP(基本資料填寫!$D$1&amp;"-"&amp;ROW(N1),基本資料填寫!$D:$DU,COLUMN(基本資料填寫!U1),0),"")</f>
        <v>1</v>
      </c>
      <c r="F4" s="89"/>
      <c r="G4" s="89"/>
      <c r="H4" s="89"/>
      <c r="I4" s="89"/>
      <c r="J4" s="89"/>
      <c r="K4" s="89"/>
      <c r="W4" s="115" t="str">
        <f>IFERROR(VLOOKUP(基本資料填寫!$D$1&amp;"-"&amp;ROW(P1),基本資料填寫!$D:$DU,COLUMN(基本資料填寫!W1),0),"")</f>
        <v>EA</v>
      </c>
    </row>
    <row r="5" spans="1:35" x14ac:dyDescent="0.3">
      <c r="B5" s="115">
        <f>IF(C5="","",COUNTA($C$4:C5))</f>
        <v>2</v>
      </c>
      <c r="C5" s="115" t="str">
        <f>IFERROR(VLOOKUP(基本資料填寫!$D$1&amp;"-"&amp;ROW(AP2),基本資料填寫!$D:$DU,COLUMN(基本資料填寫!CM2),0),"")</f>
        <v>27NYE0823</v>
      </c>
      <c r="D5" s="115" t="str">
        <f>IFERROR(VLOOKUP(基本資料填寫!$D$1&amp;"-"&amp;ROW(L2),基本資料填寫!$D:$DU,COLUMN(基本資料填寫!S2),0),"")</f>
        <v>YETL22087</v>
      </c>
      <c r="E5" s="115" t="str">
        <f>IFERROR(VLOOKUP(基本資料填寫!$D$1&amp;"-"&amp;ROW(N2),基本資料填寫!$D:$DU,COLUMN(基本資料填寫!U2),0),"")</f>
        <v>1</v>
      </c>
      <c r="F5" s="89"/>
      <c r="G5" s="89"/>
      <c r="H5" s="89"/>
      <c r="I5" s="89"/>
      <c r="J5" s="89"/>
      <c r="K5" s="89"/>
      <c r="W5" s="115" t="str">
        <f>IFERROR(VLOOKUP(基本資料填寫!$D$1&amp;"-"&amp;ROW(P2),基本資料填寫!$D:$DU,COLUMN(基本資料填寫!W2),0),"")</f>
        <v>EA</v>
      </c>
    </row>
    <row r="6" spans="1:35" x14ac:dyDescent="0.3">
      <c r="B6" s="115">
        <f>IF(C6="","",COUNTA($C$4:C6))</f>
        <v>3</v>
      </c>
      <c r="C6" s="115" t="str">
        <f>IFERROR(VLOOKUP(基本資料填寫!$D$1&amp;"-"&amp;ROW(AP3),基本資料填寫!$D:$DU,COLUMN(基本資料填寫!CM3),0),"")</f>
        <v>27NYE0823</v>
      </c>
      <c r="D6" s="115" t="str">
        <f>IFERROR(VLOOKUP(基本資料填寫!$D$1&amp;"-"&amp;ROW(L3),基本資料填寫!$D:$DU,COLUMN(基本資料填寫!S3),0),"")</f>
        <v>YETL22086</v>
      </c>
      <c r="E6" s="115" t="str">
        <f>IFERROR(VLOOKUP(基本資料填寫!$D$1&amp;"-"&amp;ROW(N3),基本資料填寫!$D:$DU,COLUMN(基本資料填寫!U3),0),"")</f>
        <v>1</v>
      </c>
      <c r="F6" s="89"/>
      <c r="G6" s="89"/>
      <c r="H6" s="89"/>
      <c r="I6" s="89"/>
      <c r="J6" s="89"/>
      <c r="K6" s="89"/>
      <c r="W6" s="115" t="str">
        <f>IFERROR(VLOOKUP(基本資料填寫!$D$1&amp;"-"&amp;ROW(P3),基本資料填寫!$D:$DU,COLUMN(基本資料填寫!W3),0),"")</f>
        <v>EA</v>
      </c>
    </row>
    <row r="7" spans="1:35" x14ac:dyDescent="0.3">
      <c r="B7" s="115">
        <f>IF(C7="","",COUNTA($C$4:C7))</f>
        <v>4</v>
      </c>
      <c r="C7" s="115" t="str">
        <f>IFERROR(VLOOKUP(基本資料填寫!$D$1&amp;"-"&amp;ROW(AP4),基本資料填寫!$D:$DU,COLUMN(基本資料填寫!CM4),0),"")</f>
        <v>27NYE0823</v>
      </c>
      <c r="D7" s="115" t="str">
        <f>IFERROR(VLOOKUP(基本資料填寫!$D$1&amp;"-"&amp;ROW(L4),基本資料填寫!$D:$DU,COLUMN(基本資料填寫!S4),0),"")</f>
        <v>YETL22085</v>
      </c>
      <c r="E7" s="115" t="str">
        <f>IFERROR(VLOOKUP(基本資料填寫!$D$1&amp;"-"&amp;ROW(N4),基本資料填寫!$D:$DU,COLUMN(基本資料填寫!U4),0),"")</f>
        <v>1</v>
      </c>
      <c r="F7" s="208"/>
      <c r="G7" s="208"/>
      <c r="H7" s="208"/>
      <c r="I7" s="208"/>
      <c r="J7" s="208"/>
      <c r="K7" s="208"/>
      <c r="W7" s="115" t="str">
        <f>IFERROR(VLOOKUP(基本資料填寫!$D$1&amp;"-"&amp;ROW(P4),基本資料填寫!$D:$DU,COLUMN(基本資料填寫!W4),0),"")</f>
        <v>EA</v>
      </c>
    </row>
    <row r="8" spans="1:35" x14ac:dyDescent="0.3">
      <c r="B8" s="115">
        <f>IF(C8="","",COUNTA($C$4:C8))</f>
        <v>5</v>
      </c>
      <c r="C8" s="115" t="str">
        <f>IFERROR(VLOOKUP(基本資料填寫!$D$1&amp;"-"&amp;ROW(AP5),基本資料填寫!$D:$DU,COLUMN(基本資料填寫!CM5),0),"")</f>
        <v>27NYE0823</v>
      </c>
      <c r="D8" s="115" t="str">
        <f>IFERROR(VLOOKUP(基本資料填寫!$D$1&amp;"-"&amp;ROW(L5),基本資料填寫!$D:$DU,COLUMN(基本資料填寫!S5),0),"")</f>
        <v>YETL申請中</v>
      </c>
      <c r="E8" s="115" t="str">
        <f>IFERROR(VLOOKUP(基本資料填寫!$D$1&amp;"-"&amp;ROW(N5),基本資料填寫!$D:$DU,COLUMN(基本資料填寫!U5),0),"")</f>
        <v>1</v>
      </c>
      <c r="F8" s="208"/>
      <c r="G8" s="208"/>
      <c r="H8" s="208"/>
      <c r="I8" s="208"/>
      <c r="J8" s="208"/>
      <c r="K8" s="208"/>
      <c r="W8" s="115" t="str">
        <f>IFERROR(VLOOKUP(基本資料填寫!$D$1&amp;"-"&amp;ROW(P5),基本資料填寫!$D:$DU,COLUMN(基本資料填寫!W5),0),"")</f>
        <v>EA</v>
      </c>
    </row>
    <row r="9" spans="1:35" x14ac:dyDescent="0.3">
      <c r="B9" s="115">
        <f>IF(C9="","",COUNTA($C$4:C9))</f>
        <v>6</v>
      </c>
      <c r="C9" s="115" t="str">
        <f>IFERROR(VLOOKUP(基本資料填寫!$D$1&amp;"-"&amp;ROW(AP6),基本資料填寫!$D:$DU,COLUMN(基本資料填寫!CM6),0),"")</f>
        <v>27NYE0823</v>
      </c>
      <c r="D9" s="115" t="str">
        <f>IFERROR(VLOOKUP(基本資料填寫!$D$1&amp;"-"&amp;ROW(L6),基本資料填寫!$D:$DU,COLUMN(基本資料填寫!S6),0),"")</f>
        <v>YETL22089</v>
      </c>
      <c r="E9" s="115" t="str">
        <f>IFERROR(VLOOKUP(基本資料填寫!$D$1&amp;"-"&amp;ROW(N6),基本資料填寫!$D:$DU,COLUMN(基本資料填寫!U6),0),"")</f>
        <v>1</v>
      </c>
      <c r="F9" s="208"/>
      <c r="G9" s="208"/>
      <c r="H9" s="208"/>
      <c r="I9" s="208"/>
      <c r="J9" s="208"/>
      <c r="K9" s="208"/>
      <c r="W9" s="115" t="str">
        <f>IFERROR(VLOOKUP(基本資料填寫!$D$1&amp;"-"&amp;ROW(P6),基本資料填寫!$D:$DU,COLUMN(基本資料填寫!W6),0),"")</f>
        <v>EA</v>
      </c>
    </row>
    <row r="10" spans="1:35" x14ac:dyDescent="0.3">
      <c r="B10" s="115">
        <f>IF(C10="","",COUNTA($C$4:C10))</f>
        <v>7</v>
      </c>
      <c r="C10" s="115" t="str">
        <f>IFERROR(VLOOKUP(基本資料填寫!$D$1&amp;"-"&amp;ROW(AP7),基本資料填寫!$D:$DU,COLUMN(基本資料填寫!CM7),0),"")</f>
        <v>27NYE0823</v>
      </c>
      <c r="D10" s="115" t="str">
        <f>IFERROR(VLOOKUP(基本資料填寫!$D$1&amp;"-"&amp;ROW(L7),基本資料填寫!$D:$DU,COLUMN(基本資料填寫!S7),0),"")</f>
        <v>YETL22119</v>
      </c>
      <c r="E10" s="115" t="str">
        <f>IFERROR(VLOOKUP(基本資料填寫!$D$1&amp;"-"&amp;ROW(N7),基本資料填寫!$D:$DU,COLUMN(基本資料填寫!U7),0),"")</f>
        <v>1</v>
      </c>
      <c r="F10" s="208"/>
      <c r="G10" s="208"/>
      <c r="H10" s="208"/>
      <c r="I10" s="208"/>
      <c r="J10" s="208"/>
      <c r="K10" s="208"/>
      <c r="W10" s="115" t="str">
        <f>IFERROR(VLOOKUP(基本資料填寫!$D$1&amp;"-"&amp;ROW(P7),基本資料填寫!$D:$DU,COLUMN(基本資料填寫!W7),0),"")</f>
        <v>EA</v>
      </c>
    </row>
    <row r="11" spans="1:35" x14ac:dyDescent="0.3">
      <c r="B11" s="115">
        <f>IF(C11="","",COUNTA($C$4:C11))</f>
        <v>8</v>
      </c>
      <c r="C11" s="115" t="str">
        <f>IFERROR(VLOOKUP(基本資料填寫!$D$1&amp;"-"&amp;ROW(AP8),基本資料填寫!$D:$DU,COLUMN(基本資料填寫!CM8),0),"")</f>
        <v>27NYE0823</v>
      </c>
      <c r="D11" s="115" t="str">
        <f>IFERROR(VLOOKUP(基本資料填寫!$D$1&amp;"-"&amp;ROW(L8),基本資料填寫!$D:$DU,COLUMN(基本資料填寫!S8),0),"")</f>
        <v>YETL申請中</v>
      </c>
      <c r="E11" s="115" t="str">
        <f>IFERROR(VLOOKUP(基本資料填寫!$D$1&amp;"-"&amp;ROW(N8),基本資料填寫!$D:$DU,COLUMN(基本資料填寫!U8),0),"")</f>
        <v>1</v>
      </c>
      <c r="F11" s="208"/>
      <c r="G11" s="208"/>
      <c r="H11" s="208"/>
      <c r="I11" s="208"/>
      <c r="J11" s="208"/>
      <c r="K11" s="208"/>
      <c r="W11" s="115" t="str">
        <f>IFERROR(VLOOKUP(基本資料填寫!$D$1&amp;"-"&amp;ROW(P8),基本資料填寫!$D:$DU,COLUMN(基本資料填寫!W8),0),"")</f>
        <v>EA</v>
      </c>
    </row>
    <row r="12" spans="1:35" x14ac:dyDescent="0.3">
      <c r="B12" s="115">
        <f>IF(C12="","",COUNTA($C$4:C12))</f>
        <v>9</v>
      </c>
      <c r="C12" s="115" t="str">
        <f>IFERROR(VLOOKUP(基本資料填寫!$D$1&amp;"-"&amp;ROW(AP9),基本資料填寫!$D:$DU,COLUMN(基本資料填寫!CM9),0),"")</f>
        <v>27NYE0823</v>
      </c>
      <c r="D12" s="115" t="str">
        <f>IFERROR(VLOOKUP(基本資料填寫!$D$1&amp;"-"&amp;ROW(L9),基本資料填寫!$D:$DU,COLUMN(基本資料填寫!S9),0),"")</f>
        <v>YETL申請中</v>
      </c>
      <c r="E12" s="115" t="str">
        <f>IFERROR(VLOOKUP(基本資料填寫!$D$1&amp;"-"&amp;ROW(N9),基本資料填寫!$D:$DU,COLUMN(基本資料填寫!U9),0),"")</f>
        <v>1</v>
      </c>
      <c r="F12" s="208"/>
      <c r="G12" s="208"/>
      <c r="H12" s="208"/>
      <c r="I12" s="208"/>
      <c r="J12" s="208"/>
      <c r="K12" s="208"/>
      <c r="W12" s="115" t="str">
        <f>IFERROR(VLOOKUP(基本資料填寫!$D$1&amp;"-"&amp;ROW(P9),基本資料填寫!$D:$DU,COLUMN(基本資料填寫!W9),0),"")</f>
        <v>EA</v>
      </c>
    </row>
    <row r="13" spans="1:35" x14ac:dyDescent="0.3">
      <c r="B13" s="115">
        <f>IF(C13="","",COUNTA($C$4:C13))</f>
        <v>10</v>
      </c>
      <c r="C13" s="115" t="str">
        <f>IFERROR(VLOOKUP(基本資料填寫!$D$1&amp;"-"&amp;ROW(AP10),基本資料填寫!$D:$DU,COLUMN(基本資料填寫!CM10),0),"")</f>
        <v>27NYE0823</v>
      </c>
      <c r="D13" s="115" t="str">
        <f>IFERROR(VLOOKUP(基本資料填寫!$D$1&amp;"-"&amp;ROW(L10),基本資料填寫!$D:$DU,COLUMN(基本資料填寫!S10),0),"")</f>
        <v>YETL22084</v>
      </c>
      <c r="E13" s="115" t="str">
        <f>IFERROR(VLOOKUP(基本資料填寫!$D$1&amp;"-"&amp;ROW(N10),基本資料填寫!$D:$DU,COLUMN(基本資料填寫!U10),0),"")</f>
        <v>1</v>
      </c>
      <c r="F13" s="208"/>
      <c r="G13" s="208"/>
      <c r="H13" s="208"/>
      <c r="I13" s="208"/>
      <c r="J13" s="208"/>
      <c r="K13" s="208"/>
      <c r="W13" s="115" t="str">
        <f>IFERROR(VLOOKUP(基本資料填寫!$D$1&amp;"-"&amp;ROW(P10),基本資料填寫!$D:$DU,COLUMN(基本資料填寫!W10),0),"")</f>
        <v>EA</v>
      </c>
    </row>
    <row r="14" spans="1:35" x14ac:dyDescent="0.3">
      <c r="B14" s="115">
        <f>IF(C14="","",COUNTA($C$4:C14))</f>
        <v>11</v>
      </c>
      <c r="C14" s="115" t="str">
        <f>IFERROR(VLOOKUP(基本資料填寫!$D$1&amp;"-"&amp;ROW(AP11),基本資料填寫!$D:$DU,COLUMN(基本資料填寫!CM11),0),"")</f>
        <v>27NYE0823</v>
      </c>
      <c r="D14" s="115" t="str">
        <f>IFERROR(VLOOKUP(基本資料填寫!$D$1&amp;"-"&amp;ROW(L11),基本資料填寫!$D:$DU,COLUMN(基本資料填寫!S11),0),"")</f>
        <v>YETL22083</v>
      </c>
      <c r="E14" s="115" t="str">
        <f>IFERROR(VLOOKUP(基本資料填寫!$D$1&amp;"-"&amp;ROW(N11),基本資料填寫!$D:$DU,COLUMN(基本資料填寫!U11),0),"")</f>
        <v>1</v>
      </c>
      <c r="F14" s="208"/>
      <c r="G14" s="208"/>
      <c r="H14" s="208"/>
      <c r="I14" s="208"/>
      <c r="J14" s="208"/>
      <c r="K14" s="208"/>
      <c r="W14" s="115" t="str">
        <f>IFERROR(VLOOKUP(基本資料填寫!$D$1&amp;"-"&amp;ROW(P11),基本資料填寫!$D:$DU,COLUMN(基本資料填寫!W11),0),"")</f>
        <v>EA</v>
      </c>
    </row>
    <row r="15" spans="1:35" x14ac:dyDescent="0.3">
      <c r="B15" s="115">
        <f>IF(C15="","",COUNTA($C$4:C15))</f>
        <v>12</v>
      </c>
      <c r="C15" s="115" t="str">
        <f>IFERROR(VLOOKUP(基本資料填寫!$D$1&amp;"-"&amp;ROW(AP12),基本資料填寫!$D:$DU,COLUMN(基本資料填寫!CM12),0),"")</f>
        <v>27NYE0823</v>
      </c>
      <c r="D15" s="115" t="str">
        <f>IFERROR(VLOOKUP(基本資料填寫!$D$1&amp;"-"&amp;ROW(L12),基本資料填寫!$D:$DU,COLUMN(基本資料填寫!S12),0),"")</f>
        <v>YETL22082</v>
      </c>
      <c r="E15" s="115">
        <f>IFERROR(VLOOKUP(基本資料填寫!$D$1&amp;"-"&amp;ROW(N12),基本資料填寫!$D:$DU,COLUMN(基本資料填寫!U12),0),"")</f>
        <v>1</v>
      </c>
      <c r="F15" s="208"/>
      <c r="G15" s="208"/>
      <c r="H15" s="208"/>
      <c r="I15" s="208"/>
      <c r="J15" s="208"/>
      <c r="K15" s="208"/>
      <c r="W15" s="115" t="str">
        <f>IFERROR(VLOOKUP(基本資料填寫!$D$1&amp;"-"&amp;ROW(P12),基本資料填寫!$D:$DU,COLUMN(基本資料填寫!W12),0),"")</f>
        <v>EA</v>
      </c>
    </row>
    <row r="16" spans="1:35" x14ac:dyDescent="0.3">
      <c r="B16" s="115">
        <f>IF(C16="","",COUNTA($C$4:C16))</f>
        <v>13</v>
      </c>
      <c r="C16" s="115" t="str">
        <f>IFERROR(VLOOKUP(基本資料填寫!$D$1&amp;"-"&amp;ROW(AP13),基本資料填寫!$D:$DU,COLUMN(基本資料填寫!CM13),0),"")</f>
        <v>27NYE0823</v>
      </c>
      <c r="D16" s="115" t="str">
        <f>IFERROR(VLOOKUP(基本資料填寫!$D$1&amp;"-"&amp;ROW(L13),基本資料填寫!$D:$DU,COLUMN(基本資料填寫!S13),0),"")</f>
        <v>YETL22091</v>
      </c>
      <c r="E16" s="115">
        <f>IFERROR(VLOOKUP(基本資料填寫!$D$1&amp;"-"&amp;ROW(N13),基本資料填寫!$D:$DU,COLUMN(基本資料填寫!U13),0),"")</f>
        <v>1</v>
      </c>
      <c r="F16" s="208"/>
      <c r="G16" s="208"/>
      <c r="H16" s="208"/>
      <c r="I16" s="208"/>
      <c r="J16" s="208"/>
      <c r="K16" s="208"/>
      <c r="W16" s="115" t="str">
        <f>IFERROR(VLOOKUP(基本資料填寫!$D$1&amp;"-"&amp;ROW(P13),基本資料填寫!$D:$DU,COLUMN(基本資料填寫!W13),0),"")</f>
        <v>EA</v>
      </c>
    </row>
    <row r="17" spans="2:23" x14ac:dyDescent="0.3">
      <c r="B17" s="115" t="str">
        <f>IF(C17="","",COUNTA($C$4:C17))</f>
        <v/>
      </c>
      <c r="C17" s="115" t="str">
        <f>IFERROR(VLOOKUP(基本資料填寫!$D$1&amp;"-"&amp;ROW(AP14),基本資料填寫!$D:$DU,COLUMN(基本資料填寫!CM14),0),"")</f>
        <v/>
      </c>
      <c r="D17" s="115" t="str">
        <f>IFERROR(VLOOKUP(基本資料填寫!$D$1&amp;"-"&amp;ROW(L14),基本資料填寫!$D:$DU,COLUMN(基本資料填寫!S14),0),"")</f>
        <v/>
      </c>
      <c r="E17" s="115" t="str">
        <f>IFERROR(VLOOKUP(基本資料填寫!$D$1&amp;"-"&amp;ROW(N14),基本資料填寫!$D:$DU,COLUMN(基本資料填寫!U14),0),"")</f>
        <v/>
      </c>
      <c r="F17" s="208"/>
      <c r="G17" s="208"/>
      <c r="H17" s="208"/>
      <c r="I17" s="208"/>
      <c r="J17" s="208"/>
      <c r="K17" s="208"/>
      <c r="W17" s="115" t="str">
        <f>IFERROR(VLOOKUP(基本資料填寫!$D$1&amp;"-"&amp;ROW(P14),基本資料填寫!$D:$DU,COLUMN(基本資料填寫!W14),0),"")</f>
        <v/>
      </c>
    </row>
    <row r="18" spans="2:23" x14ac:dyDescent="0.3">
      <c r="B18" s="115" t="str">
        <f>IF(C18="","",COUNTA($C$4:C18))</f>
        <v/>
      </c>
      <c r="C18" s="115" t="str">
        <f>IFERROR(VLOOKUP(基本資料填寫!$D$1&amp;"-"&amp;ROW(AP15),基本資料填寫!$D:$DU,COLUMN(基本資料填寫!CM15),0),"")</f>
        <v/>
      </c>
      <c r="D18" s="115" t="str">
        <f>IFERROR(VLOOKUP(基本資料填寫!$D$1&amp;"-"&amp;ROW(L15),基本資料填寫!$D:$DU,COLUMN(基本資料填寫!S15),0),"")</f>
        <v/>
      </c>
      <c r="E18" s="115" t="str">
        <f>IFERROR(VLOOKUP(基本資料填寫!$D$1&amp;"-"&amp;ROW(N15),基本資料填寫!$D:$DU,COLUMN(基本資料填寫!U15),0),"")</f>
        <v/>
      </c>
      <c r="F18" s="208"/>
      <c r="G18" s="208"/>
      <c r="H18" s="208"/>
      <c r="I18" s="208"/>
      <c r="J18" s="208"/>
      <c r="K18" s="208"/>
      <c r="W18" s="115" t="str">
        <f>IFERROR(VLOOKUP(基本資料填寫!$D$1&amp;"-"&amp;ROW(P15),基本資料填寫!$D:$DU,COLUMN(基本資料填寫!W15),0),"")</f>
        <v/>
      </c>
    </row>
    <row r="19" spans="2:23" x14ac:dyDescent="0.3">
      <c r="B19" s="115" t="str">
        <f>IF(C19="","",COUNTA($C$4:C19))</f>
        <v/>
      </c>
      <c r="C19" s="115" t="str">
        <f>IFERROR(VLOOKUP(基本資料填寫!$D$1&amp;"-"&amp;ROW(AP16),基本資料填寫!$D:$DU,COLUMN(基本資料填寫!CM16),0),"")</f>
        <v/>
      </c>
      <c r="D19" s="115" t="str">
        <f>IFERROR(VLOOKUP(基本資料填寫!$D$1&amp;"-"&amp;ROW(L16),基本資料填寫!$D:$DU,COLUMN(基本資料填寫!S16),0),"")</f>
        <v/>
      </c>
      <c r="E19" s="115" t="str">
        <f>IFERROR(VLOOKUP(基本資料填寫!$D$1&amp;"-"&amp;ROW(N16),基本資料填寫!$D:$DU,COLUMN(基本資料填寫!U16),0),"")</f>
        <v/>
      </c>
      <c r="F19" s="208"/>
      <c r="G19" s="208"/>
      <c r="H19" s="208"/>
      <c r="I19" s="208"/>
      <c r="J19" s="208"/>
      <c r="K19" s="208"/>
      <c r="W19" s="115" t="str">
        <f>IFERROR(VLOOKUP(基本資料填寫!$D$1&amp;"-"&amp;ROW(P16),基本資料填寫!$D:$DU,COLUMN(基本資料填寫!W16),0),"")</f>
        <v/>
      </c>
    </row>
    <row r="20" spans="2:23" x14ac:dyDescent="0.3">
      <c r="B20" s="115" t="str">
        <f>IF(C20="","",COUNTA($C$4:C20))</f>
        <v/>
      </c>
      <c r="C20" s="115" t="str">
        <f>IFERROR(VLOOKUP(基本資料填寫!$D$1&amp;"-"&amp;ROW(AP17),基本資料填寫!$D:$DU,COLUMN(基本資料填寫!CM17),0),"")</f>
        <v/>
      </c>
      <c r="D20" s="115" t="str">
        <f>IFERROR(VLOOKUP(基本資料填寫!$D$1&amp;"-"&amp;ROW(L17),基本資料填寫!$D:$DU,COLUMN(基本資料填寫!S17),0),"")</f>
        <v/>
      </c>
      <c r="E20" s="115" t="str">
        <f>IFERROR(VLOOKUP(基本資料填寫!$D$1&amp;"-"&amp;ROW(N17),基本資料填寫!$D:$DU,COLUMN(基本資料填寫!U17),0),"")</f>
        <v/>
      </c>
      <c r="F20" s="208"/>
      <c r="G20" s="208"/>
      <c r="H20" s="208"/>
      <c r="I20" s="208"/>
      <c r="J20" s="208"/>
      <c r="K20" s="208"/>
      <c r="W20" s="115" t="str">
        <f>IFERROR(VLOOKUP(基本資料填寫!$D$1&amp;"-"&amp;ROW(P17),基本資料填寫!$D:$DU,COLUMN(基本資料填寫!W17),0),"")</f>
        <v/>
      </c>
    </row>
    <row r="21" spans="2:23" x14ac:dyDescent="0.3">
      <c r="B21" s="115" t="str">
        <f>IF(C21="","",COUNTA($C$4:C21))</f>
        <v/>
      </c>
      <c r="C21" s="115" t="str">
        <f>IFERROR(VLOOKUP(基本資料填寫!$D$1&amp;"-"&amp;ROW(AP18),基本資料填寫!$D:$DU,COLUMN(基本資料填寫!CM18),0),"")</f>
        <v/>
      </c>
      <c r="D21" s="115" t="str">
        <f>IFERROR(VLOOKUP(基本資料填寫!$D$1&amp;"-"&amp;ROW(L18),基本資料填寫!$D:$DU,COLUMN(基本資料填寫!S18),0),"")</f>
        <v/>
      </c>
      <c r="E21" s="115" t="str">
        <f>IFERROR(VLOOKUP(基本資料填寫!$D$1&amp;"-"&amp;ROW(N18),基本資料填寫!$D:$DU,COLUMN(基本資料填寫!U18),0),"")</f>
        <v/>
      </c>
      <c r="F21" s="208"/>
      <c r="G21" s="208"/>
      <c r="H21" s="208"/>
      <c r="I21" s="208"/>
      <c r="J21" s="208"/>
      <c r="K21" s="208"/>
      <c r="W21" s="115" t="str">
        <f>IFERROR(VLOOKUP(基本資料填寫!$D$1&amp;"-"&amp;ROW(P18),基本資料填寫!$D:$DU,COLUMN(基本資料填寫!W18),0),"")</f>
        <v/>
      </c>
    </row>
    <row r="22" spans="2:23" x14ac:dyDescent="0.3">
      <c r="B22" s="115" t="str">
        <f>IF(C22="","",COUNTA($C$4:C22))</f>
        <v/>
      </c>
      <c r="C22" s="115" t="str">
        <f>IFERROR(VLOOKUP(基本資料填寫!$D$1&amp;"-"&amp;ROW(AP19),基本資料填寫!$D:$DU,COLUMN(基本資料填寫!CM19),0),"")</f>
        <v/>
      </c>
      <c r="D22" s="115" t="str">
        <f>IFERROR(VLOOKUP(基本資料填寫!$D$1&amp;"-"&amp;ROW(L19),基本資料填寫!$D:$DU,COLUMN(基本資料填寫!S19),0),"")</f>
        <v/>
      </c>
      <c r="E22" s="115" t="str">
        <f>IFERROR(VLOOKUP(基本資料填寫!$D$1&amp;"-"&amp;ROW(N19),基本資料填寫!$D:$DU,COLUMN(基本資料填寫!U19),0),"")</f>
        <v/>
      </c>
      <c r="F22" s="208"/>
      <c r="G22" s="208"/>
      <c r="H22" s="208"/>
      <c r="I22" s="208"/>
      <c r="J22" s="208"/>
      <c r="K22" s="208"/>
      <c r="W22" s="115" t="str">
        <f>IFERROR(VLOOKUP(基本資料填寫!$D$1&amp;"-"&amp;ROW(P19),基本資料填寫!$D:$DU,COLUMN(基本資料填寫!W19),0),"")</f>
        <v/>
      </c>
    </row>
    <row r="23" spans="2:23" x14ac:dyDescent="0.3">
      <c r="B23" s="115" t="str">
        <f>IF(C23="","",COUNTA($C$4:C23))</f>
        <v/>
      </c>
      <c r="C23" s="115" t="str">
        <f>IFERROR(VLOOKUP(基本資料填寫!$D$1&amp;"-"&amp;ROW(AP20),基本資料填寫!$D:$DU,COLUMN(基本資料填寫!CM20),0),"")</f>
        <v/>
      </c>
      <c r="D23" s="115" t="str">
        <f>IFERROR(VLOOKUP(基本資料填寫!$D$1&amp;"-"&amp;ROW(L20),基本資料填寫!$D:$DU,COLUMN(基本資料填寫!S20),0),"")</f>
        <v/>
      </c>
      <c r="E23" s="115" t="str">
        <f>IFERROR(VLOOKUP(基本資料填寫!$D$1&amp;"-"&amp;ROW(N20),基本資料填寫!$D:$DU,COLUMN(基本資料填寫!U20),0),"")</f>
        <v/>
      </c>
      <c r="F23" s="208"/>
      <c r="G23" s="208"/>
      <c r="H23" s="208"/>
      <c r="I23" s="208"/>
      <c r="J23" s="208"/>
      <c r="K23" s="208"/>
      <c r="W23" s="115" t="str">
        <f>IFERROR(VLOOKUP(基本資料填寫!$D$1&amp;"-"&amp;ROW(P20),基本資料填寫!$D:$DU,COLUMN(基本資料填寫!W20),0),"")</f>
        <v/>
      </c>
    </row>
    <row r="24" spans="2:23" x14ac:dyDescent="0.3">
      <c r="B24" s="115" t="str">
        <f>IF(C24="","",COUNTA($C$4:C24))</f>
        <v/>
      </c>
      <c r="C24" s="115" t="str">
        <f>IFERROR(VLOOKUP(基本資料填寫!$D$1&amp;"-"&amp;ROW(AP21),基本資料填寫!$D:$DU,COLUMN(基本資料填寫!CM21),0),"")</f>
        <v/>
      </c>
      <c r="D24" s="115" t="str">
        <f>IFERROR(VLOOKUP(基本資料填寫!$D$1&amp;"-"&amp;ROW(L21),基本資料填寫!$D:$DU,COLUMN(基本資料填寫!S21),0),"")</f>
        <v/>
      </c>
      <c r="E24" s="115" t="str">
        <f>IFERROR(VLOOKUP(基本資料填寫!$D$1&amp;"-"&amp;ROW(N21),基本資料填寫!$D:$DU,COLUMN(基本資料填寫!U21),0),"")</f>
        <v/>
      </c>
      <c r="F24" s="208"/>
      <c r="G24" s="208"/>
      <c r="H24" s="208"/>
      <c r="I24" s="208"/>
      <c r="J24" s="208"/>
      <c r="K24" s="208"/>
      <c r="W24" s="115" t="str">
        <f>IFERROR(VLOOKUP(基本資料填寫!$D$1&amp;"-"&amp;ROW(P21),基本資料填寫!$D:$DU,COLUMN(基本資料填寫!W21),0),"")</f>
        <v/>
      </c>
    </row>
    <row r="25" spans="2:23" x14ac:dyDescent="0.3">
      <c r="B25" s="115" t="str">
        <f>IF(C25="","",COUNTA($C$4:C25))</f>
        <v/>
      </c>
      <c r="C25" s="115" t="str">
        <f>IFERROR(VLOOKUP(基本資料填寫!$D$1&amp;"-"&amp;ROW(AP22),基本資料填寫!$D:$DU,COLUMN(基本資料填寫!CM22),0),"")</f>
        <v/>
      </c>
      <c r="D25" s="115" t="str">
        <f>IFERROR(VLOOKUP(基本資料填寫!$D$1&amp;"-"&amp;ROW(L22),基本資料填寫!$D:$DU,COLUMN(基本資料填寫!S22),0),"")</f>
        <v/>
      </c>
      <c r="E25" s="115" t="str">
        <f>IFERROR(VLOOKUP(基本資料填寫!$D$1&amp;"-"&amp;ROW(N22),基本資料填寫!$D:$DU,COLUMN(基本資料填寫!U22),0),"")</f>
        <v/>
      </c>
      <c r="F25" s="208"/>
      <c r="G25" s="208"/>
      <c r="H25" s="208"/>
      <c r="I25" s="208"/>
      <c r="J25" s="208"/>
      <c r="K25" s="208"/>
      <c r="W25" s="115" t="str">
        <f>IFERROR(VLOOKUP(基本資料填寫!$D$1&amp;"-"&amp;ROW(P22),基本資料填寫!$D:$DU,COLUMN(基本資料填寫!W22),0),"")</f>
        <v/>
      </c>
    </row>
    <row r="26" spans="2:23" x14ac:dyDescent="0.3">
      <c r="B26" s="115" t="str">
        <f>IF(C26="","",COUNTA($C$4:C26))</f>
        <v/>
      </c>
      <c r="C26" s="115" t="str">
        <f>IFERROR(VLOOKUP(基本資料填寫!$D$1&amp;"-"&amp;ROW(AP23),基本資料填寫!$D:$DU,COLUMN(基本資料填寫!CM23),0),"")</f>
        <v/>
      </c>
      <c r="D26" s="115" t="str">
        <f>IFERROR(VLOOKUP(基本資料填寫!$D$1&amp;"-"&amp;ROW(L23),基本資料填寫!$D:$DU,COLUMN(基本資料填寫!S23),0),"")</f>
        <v/>
      </c>
      <c r="E26" s="115" t="str">
        <f>IFERROR(VLOOKUP(基本資料填寫!$D$1&amp;"-"&amp;ROW(N23),基本資料填寫!$D:$DU,COLUMN(基本資料填寫!U23),0),"")</f>
        <v/>
      </c>
      <c r="F26" s="208"/>
      <c r="G26" s="208"/>
      <c r="H26" s="208"/>
      <c r="I26" s="208"/>
      <c r="J26" s="208"/>
      <c r="K26" s="208"/>
      <c r="W26" s="115" t="str">
        <f>IFERROR(VLOOKUP(基本資料填寫!$D$1&amp;"-"&amp;ROW(P23),基本資料填寫!$D:$DU,COLUMN(基本資料填寫!W23),0),"")</f>
        <v/>
      </c>
    </row>
    <row r="27" spans="2:23" x14ac:dyDescent="0.3">
      <c r="B27" s="115" t="str">
        <f>IF(C27="","",COUNTA($C$4:C27))</f>
        <v/>
      </c>
      <c r="C27" s="115" t="str">
        <f>IFERROR(VLOOKUP(基本資料填寫!$D$1&amp;"-"&amp;ROW(AP24),基本資料填寫!$D:$DU,COLUMN(基本資料填寫!CM24),0),"")</f>
        <v/>
      </c>
      <c r="D27" s="115" t="str">
        <f>IFERROR(VLOOKUP(基本資料填寫!$D$1&amp;"-"&amp;ROW(L24),基本資料填寫!$D:$DU,COLUMN(基本資料填寫!S24),0),"")</f>
        <v/>
      </c>
      <c r="E27" s="115" t="str">
        <f>IFERROR(VLOOKUP(基本資料填寫!$D$1&amp;"-"&amp;ROW(N24),基本資料填寫!$D:$DU,COLUMN(基本資料填寫!U24),0),"")</f>
        <v/>
      </c>
      <c r="F27" s="208"/>
      <c r="G27" s="208"/>
      <c r="H27" s="208"/>
      <c r="I27" s="208"/>
      <c r="J27" s="208"/>
      <c r="K27" s="208"/>
      <c r="W27" s="115" t="str">
        <f>IFERROR(VLOOKUP(基本資料填寫!$D$1&amp;"-"&amp;ROW(P24),基本資料填寫!$D:$DU,COLUMN(基本資料填寫!W24),0),"")</f>
        <v/>
      </c>
    </row>
    <row r="28" spans="2:23" x14ac:dyDescent="0.3">
      <c r="B28" s="115" t="str">
        <f>IF(C28="","",COUNTA($C$4:C28))</f>
        <v/>
      </c>
      <c r="C28" s="115" t="str">
        <f>IFERROR(VLOOKUP(基本資料填寫!$D$1&amp;"-"&amp;ROW(AP25),基本資料填寫!$D:$DU,COLUMN(基本資料填寫!CM25),0),"")</f>
        <v/>
      </c>
      <c r="D28" s="115" t="str">
        <f>IFERROR(VLOOKUP(基本資料填寫!$D$1&amp;"-"&amp;ROW(L25),基本資料填寫!$D:$DU,COLUMN(基本資料填寫!S25),0),"")</f>
        <v/>
      </c>
      <c r="E28" s="115" t="str">
        <f>IFERROR(VLOOKUP(基本資料填寫!$D$1&amp;"-"&amp;ROW(N25),基本資料填寫!$D:$DU,COLUMN(基本資料填寫!U25),0),"")</f>
        <v/>
      </c>
      <c r="F28" s="208"/>
      <c r="G28" s="208"/>
      <c r="H28" s="208"/>
      <c r="I28" s="208"/>
      <c r="J28" s="208"/>
      <c r="K28" s="208"/>
      <c r="W28" s="115" t="str">
        <f>IFERROR(VLOOKUP(基本資料填寫!$D$1&amp;"-"&amp;ROW(P25),基本資料填寫!$D:$DU,COLUMN(基本資料填寫!W25),0),"")</f>
        <v/>
      </c>
    </row>
    <row r="29" spans="2:23" x14ac:dyDescent="0.3">
      <c r="B29" s="115" t="str">
        <f>IF(C29="","",COUNTA($C$4:C29))</f>
        <v/>
      </c>
      <c r="C29" s="115" t="str">
        <f>IFERROR(VLOOKUP(基本資料填寫!$D$1&amp;"-"&amp;ROW(AP26),基本資料填寫!$D:$DU,COLUMN(基本資料填寫!CM26),0),"")</f>
        <v/>
      </c>
      <c r="D29" s="115" t="str">
        <f>IFERROR(VLOOKUP(基本資料填寫!$D$1&amp;"-"&amp;ROW(L26),基本資料填寫!$D:$DU,COLUMN(基本資料填寫!S26),0),"")</f>
        <v/>
      </c>
      <c r="E29" s="115" t="str">
        <f>IFERROR(VLOOKUP(基本資料填寫!$D$1&amp;"-"&amp;ROW(N26),基本資料填寫!$D:$DU,COLUMN(基本資料填寫!U26),0),"")</f>
        <v/>
      </c>
      <c r="F29" s="208"/>
      <c r="G29" s="208"/>
      <c r="H29" s="208"/>
      <c r="I29" s="208"/>
      <c r="J29" s="208"/>
      <c r="K29" s="208"/>
      <c r="W29" s="115" t="str">
        <f>IFERROR(VLOOKUP(基本資料填寫!$D$1&amp;"-"&amp;ROW(P26),基本資料填寫!$D:$DU,COLUMN(基本資料填寫!W26),0),"")</f>
        <v/>
      </c>
    </row>
    <row r="30" spans="2:23" x14ac:dyDescent="0.3">
      <c r="B30" s="115" t="str">
        <f>IF(C30="","",COUNTA($C$4:C30))</f>
        <v/>
      </c>
      <c r="C30" s="115" t="str">
        <f>IFERROR(VLOOKUP(基本資料填寫!$D$1&amp;"-"&amp;ROW(AP27),基本資料填寫!$D:$DU,COLUMN(基本資料填寫!CM27),0),"")</f>
        <v/>
      </c>
      <c r="D30" s="115" t="str">
        <f>IFERROR(VLOOKUP(基本資料填寫!$D$1&amp;"-"&amp;ROW(L27),基本資料填寫!$D:$DU,COLUMN(基本資料填寫!S27),0),"")</f>
        <v/>
      </c>
      <c r="E30" s="115" t="str">
        <f>IFERROR(VLOOKUP(基本資料填寫!$D$1&amp;"-"&amp;ROW(N27),基本資料填寫!$D:$DU,COLUMN(基本資料填寫!U27),0),"")</f>
        <v/>
      </c>
      <c r="F30" s="208"/>
      <c r="G30" s="208"/>
      <c r="H30" s="208"/>
      <c r="I30" s="208"/>
      <c r="J30" s="208"/>
      <c r="K30" s="208"/>
      <c r="W30" s="115" t="str">
        <f>IFERROR(VLOOKUP(基本資料填寫!$D$1&amp;"-"&amp;ROW(P27),基本資料填寫!$D:$DU,COLUMN(基本資料填寫!W27),0),"")</f>
        <v/>
      </c>
    </row>
    <row r="31" spans="2:23" x14ac:dyDescent="0.3">
      <c r="B31" s="115" t="str">
        <f>IF(C31="","",COUNTA($C$4:C31))</f>
        <v/>
      </c>
      <c r="C31" s="115" t="str">
        <f>IFERROR(VLOOKUP(基本資料填寫!$D$1&amp;"-"&amp;ROW(AP28),基本資料填寫!$D:$DU,COLUMN(基本資料填寫!CM28),0),"")</f>
        <v/>
      </c>
      <c r="D31" s="115" t="str">
        <f>IFERROR(VLOOKUP(基本資料填寫!$D$1&amp;"-"&amp;ROW(L28),基本資料填寫!$D:$DU,COLUMN(基本資料填寫!S28),0),"")</f>
        <v/>
      </c>
      <c r="E31" s="115" t="str">
        <f>IFERROR(VLOOKUP(基本資料填寫!$D$1&amp;"-"&amp;ROW(N28),基本資料填寫!$D:$DU,COLUMN(基本資料填寫!U28),0),"")</f>
        <v/>
      </c>
      <c r="F31" s="208"/>
      <c r="G31" s="208"/>
      <c r="H31" s="208"/>
      <c r="I31" s="208"/>
      <c r="J31" s="208"/>
      <c r="K31" s="208"/>
      <c r="W31" s="115" t="str">
        <f>IFERROR(VLOOKUP(基本資料填寫!$D$1&amp;"-"&amp;ROW(P28),基本資料填寫!$D:$DU,COLUMN(基本資料填寫!W28),0),"")</f>
        <v/>
      </c>
    </row>
    <row r="32" spans="2:23" x14ac:dyDescent="0.3">
      <c r="B32" s="115" t="str">
        <f>IF(C32="","",COUNTA($C$4:C32))</f>
        <v/>
      </c>
      <c r="C32" s="115" t="str">
        <f>IFERROR(VLOOKUP(基本資料填寫!$D$1&amp;"-"&amp;ROW(AP29),基本資料填寫!$D:$DU,COLUMN(基本資料填寫!CM29),0),"")</f>
        <v/>
      </c>
      <c r="D32" s="115" t="str">
        <f>IFERROR(VLOOKUP(基本資料填寫!$D$1&amp;"-"&amp;ROW(L29),基本資料填寫!$D:$DU,COLUMN(基本資料填寫!S29),0),"")</f>
        <v/>
      </c>
      <c r="E32" s="115" t="str">
        <f>IFERROR(VLOOKUP(基本資料填寫!$D$1&amp;"-"&amp;ROW(N29),基本資料填寫!$D:$DU,COLUMN(基本資料填寫!U29),0),"")</f>
        <v/>
      </c>
      <c r="F32" s="208"/>
      <c r="G32" s="208"/>
      <c r="H32" s="208"/>
      <c r="I32" s="208"/>
      <c r="J32" s="208"/>
      <c r="K32" s="208"/>
      <c r="W32" s="115" t="str">
        <f>IFERROR(VLOOKUP(基本資料填寫!$D$1&amp;"-"&amp;ROW(P29),基本資料填寫!$D:$DU,COLUMN(基本資料填寫!W29),0),"")</f>
        <v/>
      </c>
    </row>
    <row r="33" spans="2:23" x14ac:dyDescent="0.3">
      <c r="B33" s="115" t="str">
        <f>IF(C33="","",COUNTA($C$4:C33))</f>
        <v/>
      </c>
      <c r="C33" s="115" t="str">
        <f>IFERROR(VLOOKUP(基本資料填寫!$D$1&amp;"-"&amp;ROW(AP30),基本資料填寫!$D:$DU,COLUMN(基本資料填寫!CM30),0),"")</f>
        <v/>
      </c>
      <c r="D33" s="115" t="str">
        <f>IFERROR(VLOOKUP(基本資料填寫!$D$1&amp;"-"&amp;ROW(L30),基本資料填寫!$D:$DU,COLUMN(基本資料填寫!S30),0),"")</f>
        <v/>
      </c>
      <c r="E33" s="115" t="str">
        <f>IFERROR(VLOOKUP(基本資料填寫!$D$1&amp;"-"&amp;ROW(N30),基本資料填寫!$D:$DU,COLUMN(基本資料填寫!U30),0),"")</f>
        <v/>
      </c>
      <c r="F33" s="208"/>
      <c r="G33" s="208"/>
      <c r="H33" s="208"/>
      <c r="I33" s="208"/>
      <c r="J33" s="208"/>
      <c r="K33" s="208"/>
      <c r="W33" s="115" t="str">
        <f>IFERROR(VLOOKUP(基本資料填寫!$D$1&amp;"-"&amp;ROW(P30),基本資料填寫!$D:$DU,COLUMN(基本資料填寫!W30),0),"")</f>
        <v/>
      </c>
    </row>
    <row r="34" spans="2:23" x14ac:dyDescent="0.3">
      <c r="B34" s="115" t="str">
        <f>IF(C34="","",COUNTA($C$4:C34))</f>
        <v/>
      </c>
      <c r="C34" s="115" t="str">
        <f>IFERROR(VLOOKUP(基本資料填寫!$D$1&amp;"-"&amp;ROW(AP31),基本資料填寫!$D:$DU,COLUMN(基本資料填寫!CM31),0),"")</f>
        <v/>
      </c>
      <c r="D34" s="115" t="str">
        <f>IFERROR(VLOOKUP(基本資料填寫!$D$1&amp;"-"&amp;ROW(L31),基本資料填寫!$D:$DU,COLUMN(基本資料填寫!S31),0),"")</f>
        <v/>
      </c>
      <c r="E34" s="115" t="str">
        <f>IFERROR(VLOOKUP(基本資料填寫!$D$1&amp;"-"&amp;ROW(N31),基本資料填寫!$D:$DU,COLUMN(基本資料填寫!U31),0),"")</f>
        <v/>
      </c>
      <c r="F34" s="208"/>
      <c r="G34" s="208"/>
      <c r="H34" s="208"/>
      <c r="I34" s="208"/>
      <c r="J34" s="208"/>
      <c r="K34" s="208"/>
      <c r="W34" s="115" t="str">
        <f>IFERROR(VLOOKUP(基本資料填寫!$D$1&amp;"-"&amp;ROW(P31),基本資料填寫!$D:$DU,COLUMN(基本資料填寫!W31),0),"")</f>
        <v/>
      </c>
    </row>
    <row r="35" spans="2:23" x14ac:dyDescent="0.3">
      <c r="B35" s="115" t="str">
        <f>IF(C35="","",COUNTA($C$4:C35))</f>
        <v/>
      </c>
      <c r="C35" s="115" t="str">
        <f>IFERROR(VLOOKUP(基本資料填寫!$D$1&amp;"-"&amp;ROW(AP32),基本資料填寫!$D:$DU,COLUMN(基本資料填寫!CM32),0),"")</f>
        <v/>
      </c>
      <c r="D35" s="115" t="str">
        <f>IFERROR(VLOOKUP(基本資料填寫!$D$1&amp;"-"&amp;ROW(L32),基本資料填寫!$D:$DU,COLUMN(基本資料填寫!S32),0),"")</f>
        <v/>
      </c>
      <c r="E35" s="115" t="str">
        <f>IFERROR(VLOOKUP(基本資料填寫!$D$1&amp;"-"&amp;ROW(N32),基本資料填寫!$D:$DU,COLUMN(基本資料填寫!U32),0),"")</f>
        <v/>
      </c>
      <c r="F35" s="208"/>
      <c r="G35" s="208"/>
      <c r="H35" s="208"/>
      <c r="I35" s="208"/>
      <c r="J35" s="208"/>
      <c r="K35" s="208"/>
      <c r="W35" s="115" t="str">
        <f>IFERROR(VLOOKUP(基本資料填寫!$D$1&amp;"-"&amp;ROW(P32),基本資料填寫!$D:$DU,COLUMN(基本資料填寫!W32),0),"")</f>
        <v/>
      </c>
    </row>
    <row r="36" spans="2:23" x14ac:dyDescent="0.3">
      <c r="B36" s="115" t="str">
        <f>IF(C36="","",COUNTA($C$4:C36))</f>
        <v/>
      </c>
      <c r="C36" s="115" t="str">
        <f>IFERROR(VLOOKUP(基本資料填寫!$D$1&amp;"-"&amp;ROW(AP33),基本資料填寫!$D:$DU,COLUMN(基本資料填寫!CM33),0),"")</f>
        <v/>
      </c>
      <c r="D36" s="115" t="str">
        <f>IFERROR(VLOOKUP(基本資料填寫!$D$1&amp;"-"&amp;ROW(L33),基本資料填寫!$D:$DU,COLUMN(基本資料填寫!S33),0),"")</f>
        <v/>
      </c>
      <c r="E36" s="115" t="str">
        <f>IFERROR(VLOOKUP(基本資料填寫!$D$1&amp;"-"&amp;ROW(N33),基本資料填寫!$D:$DU,COLUMN(基本資料填寫!U33),0),"")</f>
        <v/>
      </c>
      <c r="F36" s="208"/>
      <c r="G36" s="208"/>
      <c r="H36" s="208"/>
      <c r="I36" s="208"/>
      <c r="J36" s="208"/>
      <c r="K36" s="208"/>
      <c r="W36" s="115" t="str">
        <f>IFERROR(VLOOKUP(基本資料填寫!$D$1&amp;"-"&amp;ROW(P33),基本資料填寫!$D:$DU,COLUMN(基本資料填寫!W33),0),"")</f>
        <v/>
      </c>
    </row>
    <row r="37" spans="2:23" x14ac:dyDescent="0.3">
      <c r="B37" s="115" t="str">
        <f>IF(C37="","",COUNTA($C$4:C37))</f>
        <v/>
      </c>
      <c r="C37" s="115" t="str">
        <f>IFERROR(VLOOKUP(基本資料填寫!$D$1&amp;"-"&amp;ROW(AP34),基本資料填寫!$D:$DU,COLUMN(基本資料填寫!CM34),0),"")</f>
        <v/>
      </c>
      <c r="D37" s="115" t="str">
        <f>IFERROR(VLOOKUP(基本資料填寫!$D$1&amp;"-"&amp;ROW(L34),基本資料填寫!$D:$DU,COLUMN(基本資料填寫!S34),0),"")</f>
        <v/>
      </c>
      <c r="E37" s="115" t="str">
        <f>IFERROR(VLOOKUP(基本資料填寫!$D$1&amp;"-"&amp;ROW(N34),基本資料填寫!$D:$DU,COLUMN(基本資料填寫!U34),0),"")</f>
        <v/>
      </c>
      <c r="F37" s="208"/>
      <c r="G37" s="208"/>
      <c r="H37" s="208"/>
      <c r="I37" s="208"/>
      <c r="J37" s="208"/>
      <c r="K37" s="208"/>
      <c r="W37" s="115" t="str">
        <f>IFERROR(VLOOKUP(基本資料填寫!$D$1&amp;"-"&amp;ROW(P34),基本資料填寫!$D:$DU,COLUMN(基本資料填寫!W34),0),"")</f>
        <v/>
      </c>
    </row>
    <row r="38" spans="2:23" x14ac:dyDescent="0.3">
      <c r="B38" s="115" t="str">
        <f>IF(C38="","",COUNTA($C$4:C38))</f>
        <v/>
      </c>
      <c r="C38" s="115" t="str">
        <f>IFERROR(VLOOKUP(基本資料填寫!$D$1&amp;"-"&amp;ROW(AP35),基本資料填寫!$D:$DU,COLUMN(基本資料填寫!CM35),0),"")</f>
        <v/>
      </c>
      <c r="D38" s="115" t="str">
        <f>IFERROR(VLOOKUP(基本資料填寫!$D$1&amp;"-"&amp;ROW(L35),基本資料填寫!$D:$DU,COLUMN(基本資料填寫!S35),0),"")</f>
        <v/>
      </c>
      <c r="E38" s="115" t="str">
        <f>IFERROR(VLOOKUP(基本資料填寫!$D$1&amp;"-"&amp;ROW(N35),基本資料填寫!$D:$DU,COLUMN(基本資料填寫!U35),0),"")</f>
        <v/>
      </c>
      <c r="F38" s="208"/>
      <c r="G38" s="208"/>
      <c r="H38" s="208"/>
      <c r="I38" s="208"/>
      <c r="J38" s="208"/>
      <c r="K38" s="208"/>
      <c r="W38" s="115" t="str">
        <f>IFERROR(VLOOKUP(基本資料填寫!$D$1&amp;"-"&amp;ROW(P35),基本資料填寫!$D:$DU,COLUMN(基本資料填寫!W35),0),"")</f>
        <v/>
      </c>
    </row>
    <row r="39" spans="2:23" x14ac:dyDescent="0.3">
      <c r="B39" s="115" t="str">
        <f>IF(C39="","",COUNTA($C$4:C39))</f>
        <v/>
      </c>
      <c r="C39" s="115" t="str">
        <f>IFERROR(VLOOKUP(基本資料填寫!$D$1&amp;"-"&amp;ROW(AP36),基本資料填寫!$D:$DU,COLUMN(基本資料填寫!CM36),0),"")</f>
        <v/>
      </c>
      <c r="D39" s="115" t="str">
        <f>IFERROR(VLOOKUP(基本資料填寫!$D$1&amp;"-"&amp;ROW(L36),基本資料填寫!$D:$DU,COLUMN(基本資料填寫!S36),0),"")</f>
        <v/>
      </c>
      <c r="E39" s="115" t="str">
        <f>IFERROR(VLOOKUP(基本資料填寫!$D$1&amp;"-"&amp;ROW(N36),基本資料填寫!$D:$DU,COLUMN(基本資料填寫!U36),0),"")</f>
        <v/>
      </c>
      <c r="F39" s="208"/>
      <c r="G39" s="208"/>
      <c r="H39" s="208"/>
      <c r="I39" s="208"/>
      <c r="J39" s="208"/>
      <c r="K39" s="208"/>
      <c r="W39" s="115" t="str">
        <f>IFERROR(VLOOKUP(基本資料填寫!$D$1&amp;"-"&amp;ROW(P36),基本資料填寫!$D:$DU,COLUMN(基本資料填寫!W36),0),"")</f>
        <v/>
      </c>
    </row>
    <row r="40" spans="2:23" x14ac:dyDescent="0.3">
      <c r="B40" s="115" t="str">
        <f>IF(C40="","",COUNTA($C$4:C40))</f>
        <v/>
      </c>
      <c r="C40" s="115" t="str">
        <f>IFERROR(VLOOKUP(基本資料填寫!$D$1&amp;"-"&amp;ROW(AP37),基本資料填寫!$D:$DU,COLUMN(基本資料填寫!CM37),0),"")</f>
        <v/>
      </c>
      <c r="D40" s="115" t="str">
        <f>IFERROR(VLOOKUP(基本資料填寫!$D$1&amp;"-"&amp;ROW(L37),基本資料填寫!$D:$DU,COLUMN(基本資料填寫!S37),0),"")</f>
        <v/>
      </c>
      <c r="E40" s="115" t="str">
        <f>IFERROR(VLOOKUP(基本資料填寫!$D$1&amp;"-"&amp;ROW(N37),基本資料填寫!$D:$DU,COLUMN(基本資料填寫!U37),0),"")</f>
        <v/>
      </c>
      <c r="F40" s="208"/>
      <c r="G40" s="208"/>
      <c r="H40" s="208"/>
      <c r="I40" s="208"/>
      <c r="J40" s="208"/>
      <c r="K40" s="208"/>
      <c r="W40" s="115" t="str">
        <f>IFERROR(VLOOKUP(基本資料填寫!$D$1&amp;"-"&amp;ROW(P37),基本資料填寫!$D:$DU,COLUMN(基本資料填寫!W37),0),"")</f>
        <v/>
      </c>
    </row>
    <row r="41" spans="2:23" x14ac:dyDescent="0.3">
      <c r="B41" s="115" t="str">
        <f>IF(C41="","",COUNTA($C$4:C41))</f>
        <v/>
      </c>
      <c r="C41" s="115" t="str">
        <f>IFERROR(VLOOKUP(基本資料填寫!$D$1&amp;"-"&amp;ROW(AP38),基本資料填寫!$D:$DU,COLUMN(基本資料填寫!CM38),0),"")</f>
        <v/>
      </c>
      <c r="D41" s="115" t="str">
        <f>IFERROR(VLOOKUP(基本資料填寫!$D$1&amp;"-"&amp;ROW(L38),基本資料填寫!$D:$DU,COLUMN(基本資料填寫!S38),0),"")</f>
        <v/>
      </c>
      <c r="E41" s="115" t="str">
        <f>IFERROR(VLOOKUP(基本資料填寫!$D$1&amp;"-"&amp;ROW(N38),基本資料填寫!$D:$DU,COLUMN(基本資料填寫!U38),0),"")</f>
        <v/>
      </c>
      <c r="F41" s="208"/>
      <c r="G41" s="208"/>
      <c r="H41" s="208"/>
      <c r="I41" s="208"/>
      <c r="J41" s="208"/>
      <c r="K41" s="208"/>
      <c r="W41" s="115" t="str">
        <f>IFERROR(VLOOKUP(基本資料填寫!$D$1&amp;"-"&amp;ROW(P38),基本資料填寫!$D:$DU,COLUMN(基本資料填寫!W38),0),"")</f>
        <v/>
      </c>
    </row>
    <row r="42" spans="2:23" x14ac:dyDescent="0.3">
      <c r="B42" s="115" t="str">
        <f>IF(C42="","",COUNTA($C$4:C42))</f>
        <v/>
      </c>
      <c r="C42" s="115" t="str">
        <f>IFERROR(VLOOKUP(基本資料填寫!$D$1&amp;"-"&amp;ROW(AP39),基本資料填寫!$D:$DU,COLUMN(基本資料填寫!CM39),0),"")</f>
        <v/>
      </c>
      <c r="D42" s="115" t="str">
        <f>IFERROR(VLOOKUP(基本資料填寫!$D$1&amp;"-"&amp;ROW(L39),基本資料填寫!$D:$DU,COLUMN(基本資料填寫!S39),0),"")</f>
        <v/>
      </c>
      <c r="E42" s="115" t="str">
        <f>IFERROR(VLOOKUP(基本資料填寫!$D$1&amp;"-"&amp;ROW(N39),基本資料填寫!$D:$DU,COLUMN(基本資料填寫!U39),0),"")</f>
        <v/>
      </c>
      <c r="F42" s="208"/>
      <c r="G42" s="208"/>
      <c r="H42" s="208"/>
      <c r="I42" s="208"/>
      <c r="J42" s="208"/>
      <c r="K42" s="208"/>
      <c r="W42" s="115" t="str">
        <f>IFERROR(VLOOKUP(基本資料填寫!$D$1&amp;"-"&amp;ROW(P39),基本資料填寫!$D:$DU,COLUMN(基本資料填寫!W39),0),"")</f>
        <v/>
      </c>
    </row>
    <row r="43" spans="2:23" x14ac:dyDescent="0.3">
      <c r="B43" s="115" t="str">
        <f>IF(C43="","",COUNTA($C$4:C43))</f>
        <v/>
      </c>
      <c r="C43" s="115" t="str">
        <f>IFERROR(VLOOKUP(基本資料填寫!$D$1&amp;"-"&amp;ROW(AP40),基本資料填寫!$D:$DU,COLUMN(基本資料填寫!CM40),0),"")</f>
        <v/>
      </c>
      <c r="D43" s="115" t="str">
        <f>IFERROR(VLOOKUP(基本資料填寫!$D$1&amp;"-"&amp;ROW(L40),基本資料填寫!$D:$DU,COLUMN(基本資料填寫!S40),0),"")</f>
        <v/>
      </c>
      <c r="E43" s="115" t="str">
        <f>IFERROR(VLOOKUP(基本資料填寫!$D$1&amp;"-"&amp;ROW(N40),基本資料填寫!$D:$DU,COLUMN(基本資料填寫!U40),0),"")</f>
        <v/>
      </c>
      <c r="F43" s="208"/>
      <c r="G43" s="208"/>
      <c r="H43" s="208"/>
      <c r="I43" s="208"/>
      <c r="J43" s="208"/>
      <c r="K43" s="208"/>
      <c r="W43" s="115" t="str">
        <f>IFERROR(VLOOKUP(基本資料填寫!$D$1&amp;"-"&amp;ROW(P40),基本資料填寫!$D:$DU,COLUMN(基本資料填寫!W40),0),"")</f>
        <v/>
      </c>
    </row>
    <row r="44" spans="2:23" x14ac:dyDescent="0.3">
      <c r="B44" s="115" t="str">
        <f>IF(C44="","",COUNTA($C$4:C44))</f>
        <v/>
      </c>
      <c r="C44" s="115" t="str">
        <f>IFERROR(VLOOKUP(基本資料填寫!$D$1&amp;"-"&amp;ROW(AP41),基本資料填寫!$D:$DU,COLUMN(基本資料填寫!CM41),0),"")</f>
        <v/>
      </c>
      <c r="D44" s="115" t="str">
        <f>IFERROR(VLOOKUP(基本資料填寫!$D$1&amp;"-"&amp;ROW(L41),基本資料填寫!$D:$DU,COLUMN(基本資料填寫!S41),0),"")</f>
        <v/>
      </c>
      <c r="E44" s="115" t="str">
        <f>IFERROR(VLOOKUP(基本資料填寫!$D$1&amp;"-"&amp;ROW(N41),基本資料填寫!$D:$DU,COLUMN(基本資料填寫!U41),0),"")</f>
        <v/>
      </c>
      <c r="F44" s="208"/>
      <c r="G44" s="208"/>
      <c r="H44" s="208"/>
      <c r="I44" s="208"/>
      <c r="J44" s="208"/>
      <c r="K44" s="208"/>
      <c r="W44" s="115" t="str">
        <f>IFERROR(VLOOKUP(基本資料填寫!$D$1&amp;"-"&amp;ROW(P41),基本資料填寫!$D:$DU,COLUMN(基本資料填寫!W41),0),"")</f>
        <v/>
      </c>
    </row>
    <row r="45" spans="2:23" x14ac:dyDescent="0.3">
      <c r="B45" s="115" t="str">
        <f>IF(C45="","",COUNTA($C$4:C45))</f>
        <v/>
      </c>
      <c r="C45" s="115" t="str">
        <f>IFERROR(VLOOKUP(基本資料填寫!$D$1&amp;"-"&amp;ROW(AP42),基本資料填寫!$D:$DU,COLUMN(基本資料填寫!CM42),0),"")</f>
        <v/>
      </c>
      <c r="D45" s="115" t="str">
        <f>IFERROR(VLOOKUP(基本資料填寫!$D$1&amp;"-"&amp;ROW(L42),基本資料填寫!$D:$DU,COLUMN(基本資料填寫!S42),0),"")</f>
        <v/>
      </c>
      <c r="E45" s="115" t="str">
        <f>IFERROR(VLOOKUP(基本資料填寫!$D$1&amp;"-"&amp;ROW(N42),基本資料填寫!$D:$DU,COLUMN(基本資料填寫!U42),0),"")</f>
        <v/>
      </c>
      <c r="F45" s="208"/>
      <c r="G45" s="208"/>
      <c r="H45" s="208"/>
      <c r="I45" s="208"/>
      <c r="J45" s="208"/>
      <c r="K45" s="208"/>
      <c r="W45" s="115" t="str">
        <f>IFERROR(VLOOKUP(基本資料填寫!$D$1&amp;"-"&amp;ROW(P42),基本資料填寫!$D:$DU,COLUMN(基本資料填寫!W42),0),"")</f>
        <v/>
      </c>
    </row>
    <row r="46" spans="2:23" x14ac:dyDescent="0.3">
      <c r="B46" s="115" t="str">
        <f>IF(C46="","",COUNTA($C$4:C46))</f>
        <v/>
      </c>
      <c r="C46" s="115" t="str">
        <f>IFERROR(VLOOKUP(基本資料填寫!$D$1&amp;"-"&amp;ROW(AP43),基本資料填寫!$D:$DU,COLUMN(基本資料填寫!CM43),0),"")</f>
        <v/>
      </c>
      <c r="D46" s="115" t="str">
        <f>IFERROR(VLOOKUP(基本資料填寫!$D$1&amp;"-"&amp;ROW(L43),基本資料填寫!$D:$DU,COLUMN(基本資料填寫!S43),0),"")</f>
        <v/>
      </c>
      <c r="E46" s="115" t="str">
        <f>IFERROR(VLOOKUP(基本資料填寫!$D$1&amp;"-"&amp;ROW(N43),基本資料填寫!$D:$DU,COLUMN(基本資料填寫!U43),0),"")</f>
        <v/>
      </c>
      <c r="F46" s="208"/>
      <c r="G46" s="208"/>
      <c r="H46" s="208"/>
      <c r="I46" s="208"/>
      <c r="J46" s="208"/>
      <c r="K46" s="208"/>
      <c r="W46" s="115" t="str">
        <f>IFERROR(VLOOKUP(基本資料填寫!$D$1&amp;"-"&amp;ROW(P43),基本資料填寫!$D:$DU,COLUMN(基本資料填寫!W43),0),"")</f>
        <v/>
      </c>
    </row>
    <row r="47" spans="2:23" x14ac:dyDescent="0.3">
      <c r="B47" s="115" t="str">
        <f>IF(C47="","",COUNTA($C$4:C47))</f>
        <v/>
      </c>
      <c r="C47" s="115" t="str">
        <f>IFERROR(VLOOKUP(基本資料填寫!$D$1&amp;"-"&amp;ROW(AP44),基本資料填寫!$D:$DU,COLUMN(基本資料填寫!CM44),0),"")</f>
        <v/>
      </c>
      <c r="D47" s="115" t="str">
        <f>IFERROR(VLOOKUP(基本資料填寫!$D$1&amp;"-"&amp;ROW(L44),基本資料填寫!$D:$DU,COLUMN(基本資料填寫!S44),0),"")</f>
        <v/>
      </c>
      <c r="E47" s="115" t="str">
        <f>IFERROR(VLOOKUP(基本資料填寫!$D$1&amp;"-"&amp;ROW(N44),基本資料填寫!$D:$DU,COLUMN(基本資料填寫!U44),0),"")</f>
        <v/>
      </c>
      <c r="F47" s="208"/>
      <c r="G47" s="208"/>
      <c r="H47" s="208"/>
      <c r="I47" s="208"/>
      <c r="J47" s="208"/>
      <c r="K47" s="208"/>
      <c r="W47" s="115" t="str">
        <f>IFERROR(VLOOKUP(基本資料填寫!$D$1&amp;"-"&amp;ROW(P44),基本資料填寫!$D:$DU,COLUMN(基本資料填寫!W44),0),"")</f>
        <v/>
      </c>
    </row>
    <row r="48" spans="2:23" x14ac:dyDescent="0.3">
      <c r="B48" s="115" t="str">
        <f>IF(C48="","",COUNTA($C$4:C48))</f>
        <v/>
      </c>
      <c r="C48" s="115" t="str">
        <f>IFERROR(VLOOKUP(基本資料填寫!$D$1&amp;"-"&amp;ROW(AP45),基本資料填寫!$D:$DU,COLUMN(基本資料填寫!CM45),0),"")</f>
        <v/>
      </c>
      <c r="D48" s="115" t="str">
        <f>IFERROR(VLOOKUP(基本資料填寫!$D$1&amp;"-"&amp;ROW(L45),基本資料填寫!$D:$DU,COLUMN(基本資料填寫!S45),0),"")</f>
        <v/>
      </c>
      <c r="E48" s="115" t="str">
        <f>IFERROR(VLOOKUP(基本資料填寫!$D$1&amp;"-"&amp;ROW(N45),基本資料填寫!$D:$DU,COLUMN(基本資料填寫!U45),0),"")</f>
        <v/>
      </c>
      <c r="F48" s="208"/>
      <c r="G48" s="208"/>
      <c r="H48" s="208"/>
      <c r="I48" s="208"/>
      <c r="J48" s="208"/>
      <c r="K48" s="208"/>
      <c r="W48" s="115" t="str">
        <f>IFERROR(VLOOKUP(基本資料填寫!$D$1&amp;"-"&amp;ROW(P45),基本資料填寫!$D:$DU,COLUMN(基本資料填寫!W45),0),"")</f>
        <v/>
      </c>
    </row>
    <row r="49" spans="2:23" x14ac:dyDescent="0.3">
      <c r="B49" s="115" t="str">
        <f>IF(C49="","",COUNTA($C$4:C49))</f>
        <v/>
      </c>
      <c r="C49" s="115" t="str">
        <f>IFERROR(VLOOKUP(基本資料填寫!$D$1&amp;"-"&amp;ROW(AP46),基本資料填寫!$D:$DU,COLUMN(基本資料填寫!CM46),0),"")</f>
        <v/>
      </c>
      <c r="D49" s="115" t="str">
        <f>IFERROR(VLOOKUP(基本資料填寫!$D$1&amp;"-"&amp;ROW(L46),基本資料填寫!$D:$DU,COLUMN(基本資料填寫!S46),0),"")</f>
        <v/>
      </c>
      <c r="E49" s="115" t="str">
        <f>IFERROR(VLOOKUP(基本資料填寫!$D$1&amp;"-"&amp;ROW(N46),基本資料填寫!$D:$DU,COLUMN(基本資料填寫!U46),0),"")</f>
        <v/>
      </c>
      <c r="F49" s="208"/>
      <c r="G49" s="208"/>
      <c r="H49" s="208"/>
      <c r="I49" s="208"/>
      <c r="J49" s="208"/>
      <c r="K49" s="208"/>
      <c r="W49" s="115" t="str">
        <f>IFERROR(VLOOKUP(基本資料填寫!$D$1&amp;"-"&amp;ROW(P46),基本資料填寫!$D:$DU,COLUMN(基本資料填寫!W46),0),"")</f>
        <v/>
      </c>
    </row>
    <row r="50" spans="2:23" x14ac:dyDescent="0.3">
      <c r="B50" s="115" t="str">
        <f>IF(C50="","",COUNTA($C$4:C50))</f>
        <v/>
      </c>
      <c r="C50" s="115" t="str">
        <f>IFERROR(VLOOKUP(基本資料填寫!$D$1&amp;"-"&amp;ROW(AP47),基本資料填寫!$D:$DU,COLUMN(基本資料填寫!CM47),0),"")</f>
        <v/>
      </c>
      <c r="D50" s="115" t="str">
        <f>IFERROR(VLOOKUP(基本資料填寫!$D$1&amp;"-"&amp;ROW(L47),基本資料填寫!$D:$DU,COLUMN(基本資料填寫!S47),0),"")</f>
        <v/>
      </c>
      <c r="E50" s="115" t="str">
        <f>IFERROR(VLOOKUP(基本資料填寫!$D$1&amp;"-"&amp;ROW(N47),基本資料填寫!$D:$DU,COLUMN(基本資料填寫!U47),0),"")</f>
        <v/>
      </c>
      <c r="F50" s="208"/>
      <c r="G50" s="208"/>
      <c r="H50" s="208"/>
      <c r="I50" s="208"/>
      <c r="J50" s="208"/>
      <c r="K50" s="208"/>
      <c r="W50" s="115" t="str">
        <f>IFERROR(VLOOKUP(基本資料填寫!$D$1&amp;"-"&amp;ROW(P47),基本資料填寫!$D:$DU,COLUMN(基本資料填寫!W47),0),"")</f>
        <v/>
      </c>
    </row>
    <row r="51" spans="2:23" x14ac:dyDescent="0.3">
      <c r="B51" s="115" t="str">
        <f>IF(C51="","",COUNTA($C$4:C51))</f>
        <v/>
      </c>
      <c r="C51" s="115" t="str">
        <f>IFERROR(VLOOKUP(基本資料填寫!$D$1&amp;"-"&amp;ROW(AP48),基本資料填寫!$D:$DU,COLUMN(基本資料填寫!CM48),0),"")</f>
        <v/>
      </c>
      <c r="D51" s="115" t="str">
        <f>IFERROR(VLOOKUP(基本資料填寫!$D$1&amp;"-"&amp;ROW(L48),基本資料填寫!$D:$DU,COLUMN(基本資料填寫!S48),0),"")</f>
        <v/>
      </c>
      <c r="E51" s="115" t="str">
        <f>IFERROR(VLOOKUP(基本資料填寫!$D$1&amp;"-"&amp;ROW(N48),基本資料填寫!$D:$DU,COLUMN(基本資料填寫!U48),0),"")</f>
        <v/>
      </c>
      <c r="F51" s="208"/>
      <c r="G51" s="208"/>
      <c r="H51" s="208"/>
      <c r="I51" s="208"/>
      <c r="J51" s="208"/>
      <c r="K51" s="208"/>
      <c r="W51" s="115" t="str">
        <f>IFERROR(VLOOKUP(基本資料填寫!$D$1&amp;"-"&amp;ROW(P48),基本資料填寫!$D:$DU,COLUMN(基本資料填寫!W48),0),"")</f>
        <v/>
      </c>
    </row>
    <row r="52" spans="2:23" x14ac:dyDescent="0.3">
      <c r="B52" s="115" t="str">
        <f>IF(C52="","",COUNTA($C$4:C52))</f>
        <v/>
      </c>
      <c r="C52" s="115" t="str">
        <f>IFERROR(VLOOKUP(基本資料填寫!$D$1&amp;"-"&amp;ROW(AP49),基本資料填寫!$D:$DU,COLUMN(基本資料填寫!CM49),0),"")</f>
        <v/>
      </c>
      <c r="D52" s="115" t="str">
        <f>IFERROR(VLOOKUP(基本資料填寫!$D$1&amp;"-"&amp;ROW(L49),基本資料填寫!$D:$DU,COLUMN(基本資料填寫!S49),0),"")</f>
        <v/>
      </c>
      <c r="E52" s="115" t="str">
        <f>IFERROR(VLOOKUP(基本資料填寫!$D$1&amp;"-"&amp;ROW(N49),基本資料填寫!$D:$DU,COLUMN(基本資料填寫!U49),0),"")</f>
        <v/>
      </c>
      <c r="F52" s="208"/>
      <c r="G52" s="208"/>
      <c r="H52" s="208"/>
      <c r="I52" s="208"/>
      <c r="J52" s="208"/>
      <c r="K52" s="208"/>
      <c r="W52" s="115" t="str">
        <f>IFERROR(VLOOKUP(基本資料填寫!$D$1&amp;"-"&amp;ROW(P49),基本資料填寫!$D:$DU,COLUMN(基本資料填寫!W49),0),"")</f>
        <v/>
      </c>
    </row>
    <row r="53" spans="2:23" x14ac:dyDescent="0.3">
      <c r="B53" s="115" t="str">
        <f>IF(C53="","",COUNTA($C$4:C53))</f>
        <v/>
      </c>
      <c r="C53" s="115" t="str">
        <f>IFERROR(VLOOKUP(基本資料填寫!$D$1&amp;"-"&amp;ROW(AP50),基本資料填寫!$D:$DU,COLUMN(基本資料填寫!CM50),0),"")</f>
        <v/>
      </c>
      <c r="D53" s="115" t="str">
        <f>IFERROR(VLOOKUP(基本資料填寫!$D$1&amp;"-"&amp;ROW(L50),基本資料填寫!$D:$DU,COLUMN(基本資料填寫!S50),0),"")</f>
        <v/>
      </c>
      <c r="E53" s="115" t="str">
        <f>IFERROR(VLOOKUP(基本資料填寫!$D$1&amp;"-"&amp;ROW(N50),基本資料填寫!$D:$DU,COLUMN(基本資料填寫!U50),0),"")</f>
        <v/>
      </c>
      <c r="F53" s="208"/>
      <c r="G53" s="208"/>
      <c r="H53" s="208"/>
      <c r="I53" s="208"/>
      <c r="J53" s="208"/>
      <c r="K53" s="208"/>
      <c r="W53" s="115" t="str">
        <f>IFERROR(VLOOKUP(基本資料填寫!$D$1&amp;"-"&amp;ROW(P50),基本資料填寫!$D:$DU,COLUMN(基本資料填寫!W50),0),"")</f>
        <v/>
      </c>
    </row>
    <row r="54" spans="2:23" x14ac:dyDescent="0.3">
      <c r="B54" s="115" t="str">
        <f>IF(C54="","",COUNTA($C$4:C54))</f>
        <v/>
      </c>
      <c r="C54" s="115" t="str">
        <f>IFERROR(VLOOKUP(基本資料填寫!$D$1&amp;"-"&amp;ROW(AP51),基本資料填寫!$D:$DU,COLUMN(基本資料填寫!CM51),0),"")</f>
        <v/>
      </c>
      <c r="D54" s="115" t="str">
        <f>IFERROR(VLOOKUP(基本資料填寫!$D$1&amp;"-"&amp;ROW(L51),基本資料填寫!$D:$DU,COLUMN(基本資料填寫!S51),0),"")</f>
        <v/>
      </c>
      <c r="E54" s="115" t="str">
        <f>IFERROR(VLOOKUP(基本資料填寫!$D$1&amp;"-"&amp;ROW(N51),基本資料填寫!$D:$DU,COLUMN(基本資料填寫!U51),0),"")</f>
        <v/>
      </c>
      <c r="F54" s="208"/>
      <c r="G54" s="208"/>
      <c r="H54" s="208"/>
      <c r="I54" s="208"/>
      <c r="J54" s="208"/>
      <c r="K54" s="208"/>
      <c r="W54" s="115" t="str">
        <f>IFERROR(VLOOKUP(基本資料填寫!$D$1&amp;"-"&amp;ROW(P51),基本資料填寫!$D:$DU,COLUMN(基本資料填寫!W51),0),"")</f>
        <v/>
      </c>
    </row>
    <row r="55" spans="2:23" x14ac:dyDescent="0.3">
      <c r="B55" s="115" t="str">
        <f>IF(C55="","",COUNTA($C$4:C55))</f>
        <v/>
      </c>
      <c r="C55" s="115" t="str">
        <f>IFERROR(VLOOKUP(基本資料填寫!$D$1&amp;"-"&amp;ROW(AP52),基本資料填寫!$D:$DU,COLUMN(基本資料填寫!CM52),0),"")</f>
        <v/>
      </c>
      <c r="D55" s="115" t="str">
        <f>IFERROR(VLOOKUP(基本資料填寫!$D$1&amp;"-"&amp;ROW(L52),基本資料填寫!$D:$DU,COLUMN(基本資料填寫!S52),0),"")</f>
        <v/>
      </c>
      <c r="E55" s="115" t="str">
        <f>IFERROR(VLOOKUP(基本資料填寫!$D$1&amp;"-"&amp;ROW(N52),基本資料填寫!$D:$DU,COLUMN(基本資料填寫!U52),0),"")</f>
        <v/>
      </c>
      <c r="F55" s="208"/>
      <c r="G55" s="208"/>
      <c r="H55" s="208"/>
      <c r="I55" s="208"/>
      <c r="J55" s="208"/>
      <c r="K55" s="208"/>
      <c r="W55" s="115" t="str">
        <f>IFERROR(VLOOKUP(基本資料填寫!$D$1&amp;"-"&amp;ROW(P52),基本資料填寫!$D:$DU,COLUMN(基本資料填寫!W52),0),"")</f>
        <v/>
      </c>
    </row>
    <row r="56" spans="2:23" x14ac:dyDescent="0.3">
      <c r="B56" s="115" t="str">
        <f>IF(C56="","",COUNTA($C$4:C56))</f>
        <v/>
      </c>
      <c r="C56" s="115" t="str">
        <f>IFERROR(VLOOKUP(基本資料填寫!$D$1&amp;"-"&amp;ROW(AP53),基本資料填寫!$D:$DU,COLUMN(基本資料填寫!CM53),0),"")</f>
        <v/>
      </c>
      <c r="D56" s="115" t="str">
        <f>IFERROR(VLOOKUP(基本資料填寫!$D$1&amp;"-"&amp;ROW(L53),基本資料填寫!$D:$DU,COLUMN(基本資料填寫!S53),0),"")</f>
        <v/>
      </c>
      <c r="E56" s="115" t="str">
        <f>IFERROR(VLOOKUP(基本資料填寫!$D$1&amp;"-"&amp;ROW(N53),基本資料填寫!$D:$DU,COLUMN(基本資料填寫!U53),0),"")</f>
        <v/>
      </c>
      <c r="F56" s="208"/>
      <c r="G56" s="208"/>
      <c r="H56" s="208"/>
      <c r="I56" s="208"/>
      <c r="J56" s="208"/>
      <c r="K56" s="208"/>
      <c r="W56" s="115" t="str">
        <f>IFERROR(VLOOKUP(基本資料填寫!$D$1&amp;"-"&amp;ROW(P53),基本資料填寫!$D:$DU,COLUMN(基本資料填寫!W53),0),"")</f>
        <v/>
      </c>
    </row>
    <row r="57" spans="2:23" x14ac:dyDescent="0.3">
      <c r="B57" s="115" t="str">
        <f>IF(C57="","",COUNTA($C$4:C57))</f>
        <v/>
      </c>
      <c r="C57" s="115" t="str">
        <f>IFERROR(VLOOKUP(基本資料填寫!$D$1&amp;"-"&amp;ROW(AP54),基本資料填寫!$D:$DU,COLUMN(基本資料填寫!CM54),0),"")</f>
        <v/>
      </c>
      <c r="D57" s="115" t="str">
        <f>IFERROR(VLOOKUP(基本資料填寫!$D$1&amp;"-"&amp;ROW(L54),基本資料填寫!$D:$DU,COLUMN(基本資料填寫!S54),0),"")</f>
        <v/>
      </c>
      <c r="E57" s="115" t="str">
        <f>IFERROR(VLOOKUP(基本資料填寫!$D$1&amp;"-"&amp;ROW(N54),基本資料填寫!$D:$DU,COLUMN(基本資料填寫!U54),0),"")</f>
        <v/>
      </c>
      <c r="F57" s="208"/>
      <c r="G57" s="208"/>
      <c r="H57" s="208"/>
      <c r="I57" s="208"/>
      <c r="J57" s="208"/>
      <c r="K57" s="208"/>
      <c r="W57" s="115" t="str">
        <f>IFERROR(VLOOKUP(基本資料填寫!$D$1&amp;"-"&amp;ROW(P54),基本資料填寫!$D:$DU,COLUMN(基本資料填寫!W54),0),"")</f>
        <v/>
      </c>
    </row>
    <row r="58" spans="2:23" x14ac:dyDescent="0.3">
      <c r="B58" s="115" t="str">
        <f>IF(C58="","",COUNTA($C$4:C58))</f>
        <v/>
      </c>
      <c r="C58" s="115" t="str">
        <f>IFERROR(VLOOKUP(基本資料填寫!$D$1&amp;"-"&amp;ROW(AP55),基本資料填寫!$D:$DU,COLUMN(基本資料填寫!CM55),0),"")</f>
        <v/>
      </c>
      <c r="D58" s="115" t="str">
        <f>IFERROR(VLOOKUP(基本資料填寫!$D$1&amp;"-"&amp;ROW(L55),基本資料填寫!$D:$DU,COLUMN(基本資料填寫!S55),0),"")</f>
        <v/>
      </c>
      <c r="E58" s="115" t="str">
        <f>IFERROR(VLOOKUP(基本資料填寫!$D$1&amp;"-"&amp;ROW(N55),基本資料填寫!$D:$DU,COLUMN(基本資料填寫!U55),0),"")</f>
        <v/>
      </c>
      <c r="F58" s="208"/>
      <c r="G58" s="208"/>
      <c r="H58" s="208"/>
      <c r="I58" s="208"/>
      <c r="J58" s="208"/>
      <c r="K58" s="208"/>
      <c r="W58" s="115" t="str">
        <f>IFERROR(VLOOKUP(基本資料填寫!$D$1&amp;"-"&amp;ROW(P55),基本資料填寫!$D:$DU,COLUMN(基本資料填寫!W55),0),"")</f>
        <v/>
      </c>
    </row>
    <row r="59" spans="2:23" x14ac:dyDescent="0.3">
      <c r="B59" s="115" t="str">
        <f>IF(C59="","",COUNTA($C$4:C59))</f>
        <v/>
      </c>
      <c r="C59" s="115" t="str">
        <f>IFERROR(VLOOKUP(基本資料填寫!$D$1&amp;"-"&amp;ROW(AP56),基本資料填寫!$D:$DU,COLUMN(基本資料填寫!CM56),0),"")</f>
        <v/>
      </c>
      <c r="D59" s="115" t="str">
        <f>IFERROR(VLOOKUP(基本資料填寫!$D$1&amp;"-"&amp;ROW(L56),基本資料填寫!$D:$DU,COLUMN(基本資料填寫!S56),0),"")</f>
        <v/>
      </c>
      <c r="E59" s="115" t="str">
        <f>IFERROR(VLOOKUP(基本資料填寫!$D$1&amp;"-"&amp;ROW(N56),基本資料填寫!$D:$DU,COLUMN(基本資料填寫!U56),0),"")</f>
        <v/>
      </c>
      <c r="F59" s="208"/>
      <c r="G59" s="208"/>
      <c r="H59" s="208"/>
      <c r="I59" s="208"/>
      <c r="J59" s="208"/>
      <c r="K59" s="208"/>
      <c r="W59" s="115" t="str">
        <f>IFERROR(VLOOKUP(基本資料填寫!$D$1&amp;"-"&amp;ROW(P56),基本資料填寫!$D:$DU,COLUMN(基本資料填寫!W56),0),"")</f>
        <v/>
      </c>
    </row>
    <row r="60" spans="2:23" x14ac:dyDescent="0.3">
      <c r="B60" s="115" t="str">
        <f>IF(C60="","",COUNTA($C$4:C60))</f>
        <v/>
      </c>
      <c r="C60" s="115" t="str">
        <f>IFERROR(VLOOKUP(基本資料填寫!$D$1&amp;"-"&amp;ROW(AP57),基本資料填寫!$D:$DU,COLUMN(基本資料填寫!CM57),0),"")</f>
        <v/>
      </c>
      <c r="D60" s="115" t="str">
        <f>IFERROR(VLOOKUP(基本資料填寫!$D$1&amp;"-"&amp;ROW(L57),基本資料填寫!$D:$DU,COLUMN(基本資料填寫!S57),0),"")</f>
        <v/>
      </c>
      <c r="E60" s="115" t="str">
        <f>IFERROR(VLOOKUP(基本資料填寫!$D$1&amp;"-"&amp;ROW(N57),基本資料填寫!$D:$DU,COLUMN(基本資料填寫!U57),0),"")</f>
        <v/>
      </c>
      <c r="F60" s="208"/>
      <c r="G60" s="208"/>
      <c r="H60" s="208"/>
      <c r="I60" s="208"/>
      <c r="J60" s="208"/>
      <c r="K60" s="208"/>
      <c r="W60" s="115" t="str">
        <f>IFERROR(VLOOKUP(基本資料填寫!$D$1&amp;"-"&amp;ROW(P57),基本資料填寫!$D:$DU,COLUMN(基本資料填寫!W57),0),"")</f>
        <v/>
      </c>
    </row>
    <row r="61" spans="2:23" x14ac:dyDescent="0.3">
      <c r="B61" s="115" t="str">
        <f>IF(C61="","",COUNTA($C$4:C61))</f>
        <v/>
      </c>
      <c r="C61" s="115" t="str">
        <f>IFERROR(VLOOKUP(基本資料填寫!$D$1&amp;"-"&amp;ROW(AP58),基本資料填寫!$D:$DU,COLUMN(基本資料填寫!CM58),0),"")</f>
        <v/>
      </c>
      <c r="D61" s="115" t="str">
        <f>IFERROR(VLOOKUP(基本資料填寫!$D$1&amp;"-"&amp;ROW(L58),基本資料填寫!$D:$DU,COLUMN(基本資料填寫!S58),0),"")</f>
        <v/>
      </c>
      <c r="E61" s="115" t="str">
        <f>IFERROR(VLOOKUP(基本資料填寫!$D$1&amp;"-"&amp;ROW(N58),基本資料填寫!$D:$DU,COLUMN(基本資料填寫!U58),0),"")</f>
        <v/>
      </c>
      <c r="F61" s="208"/>
      <c r="G61" s="208"/>
      <c r="H61" s="208"/>
      <c r="I61" s="208"/>
      <c r="J61" s="208"/>
      <c r="K61" s="208"/>
      <c r="W61" s="115" t="str">
        <f>IFERROR(VLOOKUP(基本資料填寫!$D$1&amp;"-"&amp;ROW(P58),基本資料填寫!$D:$DU,COLUMN(基本資料填寫!W58),0),"")</f>
        <v/>
      </c>
    </row>
    <row r="62" spans="2:23" x14ac:dyDescent="0.3">
      <c r="B62" s="115" t="str">
        <f>IF(C62="","",COUNTA($C$4:C62))</f>
        <v/>
      </c>
      <c r="C62" s="115" t="str">
        <f>IFERROR(VLOOKUP(基本資料填寫!$D$1&amp;"-"&amp;ROW(AP59),基本資料填寫!$D:$DU,COLUMN(基本資料填寫!CM59),0),"")</f>
        <v/>
      </c>
      <c r="D62" s="115" t="str">
        <f>IFERROR(VLOOKUP(基本資料填寫!$D$1&amp;"-"&amp;ROW(L59),基本資料填寫!$D:$DU,COLUMN(基本資料填寫!S59),0),"")</f>
        <v/>
      </c>
      <c r="E62" s="115" t="str">
        <f>IFERROR(VLOOKUP(基本資料填寫!$D$1&amp;"-"&amp;ROW(N59),基本資料填寫!$D:$DU,COLUMN(基本資料填寫!U59),0),"")</f>
        <v/>
      </c>
      <c r="F62" s="208"/>
      <c r="G62" s="208"/>
      <c r="H62" s="208"/>
      <c r="I62" s="208"/>
      <c r="J62" s="208"/>
      <c r="K62" s="208"/>
      <c r="W62" s="115" t="str">
        <f>IFERROR(VLOOKUP(基本資料填寫!$D$1&amp;"-"&amp;ROW(P59),基本資料填寫!$D:$DU,COLUMN(基本資料填寫!W59),0),"")</f>
        <v/>
      </c>
    </row>
    <row r="63" spans="2:23" x14ac:dyDescent="0.3">
      <c r="B63" s="115" t="str">
        <f>IF(C63="","",COUNTA($C$4:C63))</f>
        <v/>
      </c>
      <c r="C63" s="115" t="str">
        <f>IFERROR(VLOOKUP(基本資料填寫!$D$1&amp;"-"&amp;ROW(AP60),基本資料填寫!$D:$DU,COLUMN(基本資料填寫!CM60),0),"")</f>
        <v/>
      </c>
      <c r="D63" s="115" t="str">
        <f>IFERROR(VLOOKUP(基本資料填寫!$D$1&amp;"-"&amp;ROW(L60),基本資料填寫!$D:$DU,COLUMN(基本資料填寫!S60),0),"")</f>
        <v/>
      </c>
      <c r="E63" s="115" t="str">
        <f>IFERROR(VLOOKUP(基本資料填寫!$D$1&amp;"-"&amp;ROW(N60),基本資料填寫!$D:$DU,COLUMN(基本資料填寫!U60),0),"")</f>
        <v/>
      </c>
      <c r="F63" s="208"/>
      <c r="G63" s="208"/>
      <c r="H63" s="208"/>
      <c r="I63" s="208"/>
      <c r="J63" s="208"/>
      <c r="K63" s="208"/>
      <c r="W63" s="115" t="str">
        <f>IFERROR(VLOOKUP(基本資料填寫!$D$1&amp;"-"&amp;ROW(P60),基本資料填寫!$D:$DU,COLUMN(基本資料填寫!W60),0),"")</f>
        <v/>
      </c>
    </row>
    <row r="64" spans="2:23" x14ac:dyDescent="0.3">
      <c r="B64" s="115" t="str">
        <f>IF(C64="","",COUNTA($C$4:C64))</f>
        <v/>
      </c>
      <c r="C64" s="115" t="str">
        <f>IFERROR(VLOOKUP(基本資料填寫!$D$1&amp;"-"&amp;ROW(AP61),基本資料填寫!$D:$DU,COLUMN(基本資料填寫!CM61),0),"")</f>
        <v/>
      </c>
      <c r="D64" s="115" t="str">
        <f>IFERROR(VLOOKUP(基本資料填寫!$D$1&amp;"-"&amp;ROW(L61),基本資料填寫!$D:$DU,COLUMN(基本資料填寫!S61),0),"")</f>
        <v/>
      </c>
      <c r="E64" s="115" t="str">
        <f>IFERROR(VLOOKUP(基本資料填寫!$D$1&amp;"-"&amp;ROW(N61),基本資料填寫!$D:$DU,COLUMN(基本資料填寫!U61),0),"")</f>
        <v/>
      </c>
      <c r="F64" s="208"/>
      <c r="G64" s="208"/>
      <c r="H64" s="208"/>
      <c r="I64" s="208"/>
      <c r="J64" s="208"/>
      <c r="K64" s="208"/>
      <c r="W64" s="115" t="str">
        <f>IFERROR(VLOOKUP(基本資料填寫!$D$1&amp;"-"&amp;ROW(P61),基本資料填寫!$D:$DU,COLUMN(基本資料填寫!W61),0),"")</f>
        <v/>
      </c>
    </row>
    <row r="65" spans="2:23" x14ac:dyDescent="0.3">
      <c r="B65" s="115" t="str">
        <f>IF(C65="","",COUNTA($C$4:C65))</f>
        <v/>
      </c>
      <c r="C65" s="115" t="str">
        <f>IFERROR(VLOOKUP(基本資料填寫!$D$1&amp;"-"&amp;ROW(AP62),基本資料填寫!$D:$DU,COLUMN(基本資料填寫!CM62),0),"")</f>
        <v/>
      </c>
      <c r="D65" s="115" t="str">
        <f>IFERROR(VLOOKUP(基本資料填寫!$D$1&amp;"-"&amp;ROW(L62),基本資料填寫!$D:$DU,COLUMN(基本資料填寫!S62),0),"")</f>
        <v/>
      </c>
      <c r="E65" s="115" t="str">
        <f>IFERROR(VLOOKUP(基本資料填寫!$D$1&amp;"-"&amp;ROW(N62),基本資料填寫!$D:$DU,COLUMN(基本資料填寫!U62),0),"")</f>
        <v/>
      </c>
      <c r="F65" s="208"/>
      <c r="G65" s="208"/>
      <c r="H65" s="208"/>
      <c r="I65" s="208"/>
      <c r="J65" s="208"/>
      <c r="K65" s="208"/>
      <c r="W65" s="115" t="str">
        <f>IFERROR(VLOOKUP(基本資料填寫!$D$1&amp;"-"&amp;ROW(P62),基本資料填寫!$D:$DU,COLUMN(基本資料填寫!W62),0),"")</f>
        <v/>
      </c>
    </row>
    <row r="66" spans="2:23" x14ac:dyDescent="0.3">
      <c r="B66" s="115" t="str">
        <f>IF(C66="","",COUNTA($C$4:C66))</f>
        <v/>
      </c>
      <c r="C66" s="115" t="str">
        <f>IFERROR(VLOOKUP(基本資料填寫!$D$1&amp;"-"&amp;ROW(AP63),基本資料填寫!$D:$DU,COLUMN(基本資料填寫!CM63),0),"")</f>
        <v/>
      </c>
      <c r="D66" s="115" t="str">
        <f>IFERROR(VLOOKUP(基本資料填寫!$D$1&amp;"-"&amp;ROW(L63),基本資料填寫!$D:$DU,COLUMN(基本資料填寫!S63),0),"")</f>
        <v/>
      </c>
      <c r="E66" s="115" t="str">
        <f>IFERROR(VLOOKUP(基本資料填寫!$D$1&amp;"-"&amp;ROW(N63),基本資料填寫!$D:$DU,COLUMN(基本資料填寫!U63),0),"")</f>
        <v/>
      </c>
      <c r="F66" s="208"/>
      <c r="G66" s="208"/>
      <c r="H66" s="208"/>
      <c r="I66" s="208"/>
      <c r="J66" s="208"/>
      <c r="K66" s="208"/>
      <c r="W66" s="115" t="str">
        <f>IFERROR(VLOOKUP(基本資料填寫!$D$1&amp;"-"&amp;ROW(P63),基本資料填寫!$D:$DU,COLUMN(基本資料填寫!W63),0),"")</f>
        <v/>
      </c>
    </row>
    <row r="67" spans="2:23" x14ac:dyDescent="0.3">
      <c r="B67" s="115" t="str">
        <f>IF(C67="","",COUNTA($C$4:C67))</f>
        <v/>
      </c>
      <c r="C67" s="115" t="str">
        <f>IFERROR(VLOOKUP(基本資料填寫!$D$1&amp;"-"&amp;ROW(AP64),基本資料填寫!$D:$DU,COLUMN(基本資料填寫!CM64),0),"")</f>
        <v/>
      </c>
      <c r="D67" s="115" t="str">
        <f>IFERROR(VLOOKUP(基本資料填寫!$D$1&amp;"-"&amp;ROW(L64),基本資料填寫!$D:$DU,COLUMN(基本資料填寫!S64),0),"")</f>
        <v/>
      </c>
      <c r="E67" s="115" t="str">
        <f>IFERROR(VLOOKUP(基本資料填寫!$D$1&amp;"-"&amp;ROW(N64),基本資料填寫!$D:$DU,COLUMN(基本資料填寫!U64),0),"")</f>
        <v/>
      </c>
      <c r="F67" s="208"/>
      <c r="G67" s="208"/>
      <c r="H67" s="208"/>
      <c r="I67" s="208"/>
      <c r="J67" s="208"/>
      <c r="K67" s="208"/>
      <c r="W67" s="115" t="str">
        <f>IFERROR(VLOOKUP(基本資料填寫!$D$1&amp;"-"&amp;ROW(P64),基本資料填寫!$D:$DU,COLUMN(基本資料填寫!W64),0),"")</f>
        <v/>
      </c>
    </row>
    <row r="68" spans="2:23" x14ac:dyDescent="0.3">
      <c r="B68" s="115" t="str">
        <f>IF(C68="","",COUNTA($C$4:C68))</f>
        <v/>
      </c>
      <c r="C68" s="115" t="str">
        <f>IFERROR(VLOOKUP(基本資料填寫!$D$1&amp;"-"&amp;ROW(AP65),基本資料填寫!$D:$DU,COLUMN(基本資料填寫!CM65),0),"")</f>
        <v/>
      </c>
      <c r="D68" s="115" t="str">
        <f>IFERROR(VLOOKUP(基本資料填寫!$D$1&amp;"-"&amp;ROW(L65),基本資料填寫!$D:$DU,COLUMN(基本資料填寫!S65),0),"")</f>
        <v/>
      </c>
      <c r="E68" s="115" t="str">
        <f>IFERROR(VLOOKUP(基本資料填寫!$D$1&amp;"-"&amp;ROW(N65),基本資料填寫!$D:$DU,COLUMN(基本資料填寫!U65),0),"")</f>
        <v/>
      </c>
      <c r="F68" s="208"/>
      <c r="G68" s="208"/>
      <c r="H68" s="208"/>
      <c r="I68" s="208"/>
      <c r="J68" s="208"/>
      <c r="K68" s="208"/>
      <c r="W68" s="115" t="str">
        <f>IFERROR(VLOOKUP(基本資料填寫!$D$1&amp;"-"&amp;ROW(P65),基本資料填寫!$D:$DU,COLUMN(基本資料填寫!W65),0),"")</f>
        <v/>
      </c>
    </row>
    <row r="69" spans="2:23" x14ac:dyDescent="0.3">
      <c r="B69" s="115" t="str">
        <f>IF(C69="","",COUNTA($C$4:C69))</f>
        <v/>
      </c>
      <c r="C69" s="115" t="str">
        <f>IFERROR(VLOOKUP(基本資料填寫!$D$1&amp;"-"&amp;ROW(AP66),基本資料填寫!$D:$DU,COLUMN(基本資料填寫!CM66),0),"")</f>
        <v/>
      </c>
      <c r="D69" s="115" t="str">
        <f>IFERROR(VLOOKUP(基本資料填寫!$D$1&amp;"-"&amp;ROW(L66),基本資料填寫!$D:$DU,COLUMN(基本資料填寫!S66),0),"")</f>
        <v/>
      </c>
      <c r="E69" s="115" t="str">
        <f>IFERROR(VLOOKUP(基本資料填寫!$D$1&amp;"-"&amp;ROW(N66),基本資料填寫!$D:$DU,COLUMN(基本資料填寫!U66),0),"")</f>
        <v/>
      </c>
      <c r="F69" s="208"/>
      <c r="G69" s="208"/>
      <c r="H69" s="208"/>
      <c r="I69" s="208"/>
      <c r="J69" s="208"/>
      <c r="K69" s="208"/>
      <c r="W69" s="115" t="str">
        <f>IFERROR(VLOOKUP(基本資料填寫!$D$1&amp;"-"&amp;ROW(P66),基本資料填寫!$D:$DU,COLUMN(基本資料填寫!W66),0),"")</f>
        <v/>
      </c>
    </row>
    <row r="70" spans="2:23" x14ac:dyDescent="0.3">
      <c r="B70" s="115" t="str">
        <f>IF(C70="","",COUNTA($C$4:C70))</f>
        <v/>
      </c>
      <c r="C70" s="115" t="str">
        <f>IFERROR(VLOOKUP(基本資料填寫!$D$1&amp;"-"&amp;ROW(AP67),基本資料填寫!$D:$DU,COLUMN(基本資料填寫!CM67),0),"")</f>
        <v/>
      </c>
      <c r="D70" s="115" t="str">
        <f>IFERROR(VLOOKUP(基本資料填寫!$D$1&amp;"-"&amp;ROW(L67),基本資料填寫!$D:$DU,COLUMN(基本資料填寫!S67),0),"")</f>
        <v/>
      </c>
      <c r="E70" s="115" t="str">
        <f>IFERROR(VLOOKUP(基本資料填寫!$D$1&amp;"-"&amp;ROW(N67),基本資料填寫!$D:$DU,COLUMN(基本資料填寫!U67),0),"")</f>
        <v/>
      </c>
      <c r="F70" s="208"/>
      <c r="G70" s="208"/>
      <c r="H70" s="208"/>
      <c r="I70" s="208"/>
      <c r="J70" s="208"/>
      <c r="K70" s="208"/>
      <c r="W70" s="115" t="str">
        <f>IFERROR(VLOOKUP(基本資料填寫!$D$1&amp;"-"&amp;ROW(P67),基本資料填寫!$D:$DU,COLUMN(基本資料填寫!W67),0),"")</f>
        <v/>
      </c>
    </row>
    <row r="71" spans="2:23" x14ac:dyDescent="0.3">
      <c r="B71" s="115" t="str">
        <f>IF(C71="","",COUNTA($C$4:C71))</f>
        <v/>
      </c>
      <c r="C71" s="115" t="str">
        <f>IFERROR(VLOOKUP(基本資料填寫!$D$1&amp;"-"&amp;ROW(AP68),基本資料填寫!$D:$DU,COLUMN(基本資料填寫!CM68),0),"")</f>
        <v/>
      </c>
      <c r="D71" s="115" t="str">
        <f>IFERROR(VLOOKUP(基本資料填寫!$D$1&amp;"-"&amp;ROW(L68),基本資料填寫!$D:$DU,COLUMN(基本資料填寫!S68),0),"")</f>
        <v/>
      </c>
      <c r="E71" s="115" t="str">
        <f>IFERROR(VLOOKUP(基本資料填寫!$D$1&amp;"-"&amp;ROW(N68),基本資料填寫!$D:$DU,COLUMN(基本資料填寫!U68),0),"")</f>
        <v/>
      </c>
      <c r="F71" s="208"/>
      <c r="G71" s="208"/>
      <c r="H71" s="208"/>
      <c r="I71" s="208"/>
      <c r="J71" s="208"/>
      <c r="K71" s="208"/>
      <c r="W71" s="115" t="str">
        <f>IFERROR(VLOOKUP(基本資料填寫!$D$1&amp;"-"&amp;ROW(P68),基本資料填寫!$D:$DU,COLUMN(基本資料填寫!W68),0),"")</f>
        <v/>
      </c>
    </row>
    <row r="72" spans="2:23" x14ac:dyDescent="0.3">
      <c r="B72" s="115" t="str">
        <f>IF(C72="","",COUNTA($C$4:C72))</f>
        <v/>
      </c>
      <c r="C72" s="115" t="str">
        <f>IFERROR(VLOOKUP(基本資料填寫!$D$1&amp;"-"&amp;ROW(AP69),基本資料填寫!$D:$DU,COLUMN(基本資料填寫!CM69),0),"")</f>
        <v/>
      </c>
      <c r="D72" s="115" t="str">
        <f>IFERROR(VLOOKUP(基本資料填寫!$D$1&amp;"-"&amp;ROW(L69),基本資料填寫!$D:$DU,COLUMN(基本資料填寫!S69),0),"")</f>
        <v/>
      </c>
      <c r="E72" s="115" t="str">
        <f>IFERROR(VLOOKUP(基本資料填寫!$D$1&amp;"-"&amp;ROW(N69),基本資料填寫!$D:$DU,COLUMN(基本資料填寫!U69),0),"")</f>
        <v/>
      </c>
      <c r="F72" s="208"/>
      <c r="G72" s="208"/>
      <c r="H72" s="208"/>
      <c r="I72" s="208"/>
      <c r="J72" s="208"/>
      <c r="K72" s="208"/>
      <c r="W72" s="115" t="str">
        <f>IFERROR(VLOOKUP(基本資料填寫!$D$1&amp;"-"&amp;ROW(P69),基本資料填寫!$D:$DU,COLUMN(基本資料填寫!W69),0),"")</f>
        <v/>
      </c>
    </row>
    <row r="73" spans="2:23" x14ac:dyDescent="0.3">
      <c r="B73" s="115" t="str">
        <f>IF(C73="","",COUNTA($C$4:C73))</f>
        <v/>
      </c>
      <c r="C73" s="115" t="str">
        <f>IFERROR(VLOOKUP(基本資料填寫!$D$1&amp;"-"&amp;ROW(AP70),基本資料填寫!$D:$DU,COLUMN(基本資料填寫!CM70),0),"")</f>
        <v/>
      </c>
      <c r="D73" s="115" t="str">
        <f>IFERROR(VLOOKUP(基本資料填寫!$D$1&amp;"-"&amp;ROW(L70),基本資料填寫!$D:$DU,COLUMN(基本資料填寫!S70),0),"")</f>
        <v/>
      </c>
      <c r="E73" s="115" t="str">
        <f>IFERROR(VLOOKUP(基本資料填寫!$D$1&amp;"-"&amp;ROW(N70),基本資料填寫!$D:$DU,COLUMN(基本資料填寫!U70),0),"")</f>
        <v/>
      </c>
      <c r="F73" s="208"/>
      <c r="G73" s="208"/>
      <c r="H73" s="208"/>
      <c r="I73" s="208"/>
      <c r="J73" s="208"/>
      <c r="K73" s="208"/>
      <c r="W73" s="115" t="str">
        <f>IFERROR(VLOOKUP(基本資料填寫!$D$1&amp;"-"&amp;ROW(P70),基本資料填寫!$D:$DU,COLUMN(基本資料填寫!W70),0),"")</f>
        <v/>
      </c>
    </row>
    <row r="74" spans="2:23" x14ac:dyDescent="0.3">
      <c r="B74" s="115" t="str">
        <f>IF(C74="","",COUNTA($C$4:C74))</f>
        <v/>
      </c>
      <c r="C74" s="115" t="str">
        <f>IFERROR(VLOOKUP(基本資料填寫!$D$1&amp;"-"&amp;ROW(AP71),基本資料填寫!$D:$DU,COLUMN(基本資料填寫!CM71),0),"")</f>
        <v/>
      </c>
      <c r="D74" s="115" t="str">
        <f>IFERROR(VLOOKUP(基本資料填寫!$D$1&amp;"-"&amp;ROW(L71),基本資料填寫!$D:$DU,COLUMN(基本資料填寫!S71),0),"")</f>
        <v/>
      </c>
      <c r="E74" s="115" t="str">
        <f>IFERROR(VLOOKUP(基本資料填寫!$D$1&amp;"-"&amp;ROW(N71),基本資料填寫!$D:$DU,COLUMN(基本資料填寫!U71),0),"")</f>
        <v/>
      </c>
      <c r="F74" s="208"/>
      <c r="G74" s="208"/>
      <c r="H74" s="208"/>
      <c r="I74" s="208"/>
      <c r="J74" s="208"/>
      <c r="K74" s="208"/>
      <c r="W74" s="115" t="str">
        <f>IFERROR(VLOOKUP(基本資料填寫!$D$1&amp;"-"&amp;ROW(P71),基本資料填寫!$D:$DU,COLUMN(基本資料填寫!W71),0),"")</f>
        <v/>
      </c>
    </row>
    <row r="75" spans="2:23" x14ac:dyDescent="0.3">
      <c r="B75" s="115" t="str">
        <f>IF(C75="","",COUNTA($C$4:C75))</f>
        <v/>
      </c>
      <c r="C75" s="115" t="str">
        <f>IFERROR(VLOOKUP(基本資料填寫!$D$1&amp;"-"&amp;ROW(AP72),基本資料填寫!$D:$DU,COLUMN(基本資料填寫!CM72),0),"")</f>
        <v/>
      </c>
      <c r="D75" s="115" t="str">
        <f>IFERROR(VLOOKUP(基本資料填寫!$D$1&amp;"-"&amp;ROW(L72),基本資料填寫!$D:$DU,COLUMN(基本資料填寫!S72),0),"")</f>
        <v/>
      </c>
      <c r="E75" s="115" t="str">
        <f>IFERROR(VLOOKUP(基本資料填寫!$D$1&amp;"-"&amp;ROW(N72),基本資料填寫!$D:$DU,COLUMN(基本資料填寫!U72),0),"")</f>
        <v/>
      </c>
      <c r="F75" s="208"/>
      <c r="G75" s="208"/>
      <c r="H75" s="208"/>
      <c r="I75" s="208"/>
      <c r="J75" s="208"/>
      <c r="K75" s="208"/>
      <c r="W75" s="115" t="str">
        <f>IFERROR(VLOOKUP(基本資料填寫!$D$1&amp;"-"&amp;ROW(P72),基本資料填寫!$D:$DU,COLUMN(基本資料填寫!W72),0),"")</f>
        <v/>
      </c>
    </row>
    <row r="76" spans="2:23" x14ac:dyDescent="0.3">
      <c r="B76" s="115" t="str">
        <f>IF(C76="","",COUNTA($C$4:C76))</f>
        <v/>
      </c>
      <c r="C76" s="115" t="str">
        <f>IFERROR(VLOOKUP(基本資料填寫!$D$1&amp;"-"&amp;ROW(AP73),基本資料填寫!$D:$DU,COLUMN(基本資料填寫!CM73),0),"")</f>
        <v/>
      </c>
      <c r="D76" s="115" t="str">
        <f>IFERROR(VLOOKUP(基本資料填寫!$D$1&amp;"-"&amp;ROW(L73),基本資料填寫!$D:$DU,COLUMN(基本資料填寫!S73),0),"")</f>
        <v/>
      </c>
      <c r="E76" s="115" t="str">
        <f>IFERROR(VLOOKUP(基本資料填寫!$D$1&amp;"-"&amp;ROW(N73),基本資料填寫!$D:$DU,COLUMN(基本資料填寫!U73),0),"")</f>
        <v/>
      </c>
      <c r="F76" s="208"/>
      <c r="G76" s="208"/>
      <c r="H76" s="208"/>
      <c r="I76" s="208"/>
      <c r="J76" s="208"/>
      <c r="K76" s="208"/>
      <c r="W76" s="115" t="str">
        <f>IFERROR(VLOOKUP(基本資料填寫!$D$1&amp;"-"&amp;ROW(P73),基本資料填寫!$D:$DU,COLUMN(基本資料填寫!W73),0),"")</f>
        <v/>
      </c>
    </row>
    <row r="77" spans="2:23" x14ac:dyDescent="0.3">
      <c r="B77" s="115" t="str">
        <f>IF(C77="","",COUNTA($C$4:C77))</f>
        <v/>
      </c>
      <c r="C77" s="115" t="str">
        <f>IFERROR(VLOOKUP(基本資料填寫!$D$1&amp;"-"&amp;ROW(AP74),基本資料填寫!$D:$DU,COLUMN(基本資料填寫!CM74),0),"")</f>
        <v/>
      </c>
      <c r="D77" s="115" t="str">
        <f>IFERROR(VLOOKUP(基本資料填寫!$D$1&amp;"-"&amp;ROW(L74),基本資料填寫!$D:$DU,COLUMN(基本資料填寫!S74),0),"")</f>
        <v/>
      </c>
      <c r="E77" s="115" t="str">
        <f>IFERROR(VLOOKUP(基本資料填寫!$D$1&amp;"-"&amp;ROW(N74),基本資料填寫!$D:$DU,COLUMN(基本資料填寫!U74),0),"")</f>
        <v/>
      </c>
      <c r="F77" s="208"/>
      <c r="G77" s="208"/>
      <c r="H77" s="208"/>
      <c r="I77" s="208"/>
      <c r="J77" s="208"/>
      <c r="K77" s="208"/>
      <c r="W77" s="115" t="str">
        <f>IFERROR(VLOOKUP(基本資料填寫!$D$1&amp;"-"&amp;ROW(P74),基本資料填寫!$D:$DU,COLUMN(基本資料填寫!W74),0),"")</f>
        <v/>
      </c>
    </row>
    <row r="78" spans="2:23" x14ac:dyDescent="0.3">
      <c r="B78" s="115" t="str">
        <f>IF(C78="","",COUNTA($C$4:C78))</f>
        <v/>
      </c>
      <c r="C78" s="115" t="str">
        <f>IFERROR(VLOOKUP(基本資料填寫!$D$1&amp;"-"&amp;ROW(AP75),基本資料填寫!$D:$DU,COLUMN(基本資料填寫!CM75),0),"")</f>
        <v/>
      </c>
      <c r="D78" s="115" t="str">
        <f>IFERROR(VLOOKUP(基本資料填寫!$D$1&amp;"-"&amp;ROW(L75),基本資料填寫!$D:$DU,COLUMN(基本資料填寫!S75),0),"")</f>
        <v/>
      </c>
      <c r="E78" s="115" t="str">
        <f>IFERROR(VLOOKUP(基本資料填寫!$D$1&amp;"-"&amp;ROW(N75),基本資料填寫!$D:$DU,COLUMN(基本資料填寫!U75),0),"")</f>
        <v/>
      </c>
      <c r="F78" s="208"/>
      <c r="G78" s="208"/>
      <c r="H78" s="208"/>
      <c r="I78" s="208"/>
      <c r="J78" s="208"/>
      <c r="K78" s="208"/>
      <c r="W78" s="115" t="str">
        <f>IFERROR(VLOOKUP(基本資料填寫!$D$1&amp;"-"&amp;ROW(P75),基本資料填寫!$D:$DU,COLUMN(基本資料填寫!W75),0),"")</f>
        <v/>
      </c>
    </row>
    <row r="79" spans="2:23" x14ac:dyDescent="0.3">
      <c r="B79" s="115" t="str">
        <f>IF(C79="","",COUNTA($C$4:C79))</f>
        <v/>
      </c>
      <c r="C79" s="115" t="str">
        <f>IFERROR(VLOOKUP(基本資料填寫!$D$1&amp;"-"&amp;ROW(AP76),基本資料填寫!$D:$DU,COLUMN(基本資料填寫!CM76),0),"")</f>
        <v/>
      </c>
      <c r="D79" s="115" t="str">
        <f>IFERROR(VLOOKUP(基本資料填寫!$D$1&amp;"-"&amp;ROW(L76),基本資料填寫!$D:$DU,COLUMN(基本資料填寫!S76),0),"")</f>
        <v/>
      </c>
      <c r="E79" s="115" t="str">
        <f>IFERROR(VLOOKUP(基本資料填寫!$D$1&amp;"-"&amp;ROW(N76),基本資料填寫!$D:$DU,COLUMN(基本資料填寫!U76),0),"")</f>
        <v/>
      </c>
      <c r="F79" s="208"/>
      <c r="G79" s="208"/>
      <c r="H79" s="208"/>
      <c r="I79" s="208"/>
      <c r="J79" s="208"/>
      <c r="K79" s="208"/>
      <c r="W79" s="115" t="str">
        <f>IFERROR(VLOOKUP(基本資料填寫!$D$1&amp;"-"&amp;ROW(P76),基本資料填寫!$D:$DU,COLUMN(基本資料填寫!W76),0),"")</f>
        <v/>
      </c>
    </row>
    <row r="80" spans="2:23" x14ac:dyDescent="0.3">
      <c r="B80" s="115" t="str">
        <f>IF(C80="","",COUNTA($C$4:C80))</f>
        <v/>
      </c>
      <c r="C80" s="115" t="str">
        <f>IFERROR(VLOOKUP(基本資料填寫!$D$1&amp;"-"&amp;ROW(AP77),基本資料填寫!$D:$DU,COLUMN(基本資料填寫!CM77),0),"")</f>
        <v/>
      </c>
      <c r="D80" s="115" t="str">
        <f>IFERROR(VLOOKUP(基本資料填寫!$D$1&amp;"-"&amp;ROW(L77),基本資料填寫!$D:$DU,COLUMN(基本資料填寫!S77),0),"")</f>
        <v/>
      </c>
      <c r="E80" s="115" t="str">
        <f>IFERROR(VLOOKUP(基本資料填寫!$D$1&amp;"-"&amp;ROW(N77),基本資料填寫!$D:$DU,COLUMN(基本資料填寫!U77),0),"")</f>
        <v/>
      </c>
      <c r="F80" s="208"/>
      <c r="G80" s="208"/>
      <c r="H80" s="208"/>
      <c r="I80" s="208"/>
      <c r="J80" s="208"/>
      <c r="K80" s="208"/>
      <c r="W80" s="115" t="str">
        <f>IFERROR(VLOOKUP(基本資料填寫!$D$1&amp;"-"&amp;ROW(P77),基本資料填寫!$D:$DU,COLUMN(基本資料填寫!W77),0),"")</f>
        <v/>
      </c>
    </row>
    <row r="81" spans="2:23" x14ac:dyDescent="0.3">
      <c r="B81" s="115" t="str">
        <f>IF(C81="","",COUNTA($C$4:C81))</f>
        <v/>
      </c>
      <c r="C81" s="115" t="str">
        <f>IFERROR(VLOOKUP(基本資料填寫!$D$1&amp;"-"&amp;ROW(AP78),基本資料填寫!$D:$DU,COLUMN(基本資料填寫!CM78),0),"")</f>
        <v/>
      </c>
      <c r="D81" s="115" t="str">
        <f>IFERROR(VLOOKUP(基本資料填寫!$D$1&amp;"-"&amp;ROW(L78),基本資料填寫!$D:$DU,COLUMN(基本資料填寫!S78),0),"")</f>
        <v/>
      </c>
      <c r="E81" s="115" t="str">
        <f>IFERROR(VLOOKUP(基本資料填寫!$D$1&amp;"-"&amp;ROW(N78),基本資料填寫!$D:$DU,COLUMN(基本資料填寫!U78),0),"")</f>
        <v/>
      </c>
      <c r="F81" s="208"/>
      <c r="G81" s="208"/>
      <c r="H81" s="208"/>
      <c r="I81" s="208"/>
      <c r="J81" s="208"/>
      <c r="K81" s="208"/>
      <c r="W81" s="115" t="str">
        <f>IFERROR(VLOOKUP(基本資料填寫!$D$1&amp;"-"&amp;ROW(P78),基本資料填寫!$D:$DU,COLUMN(基本資料填寫!W78),0),"")</f>
        <v/>
      </c>
    </row>
    <row r="82" spans="2:23" x14ac:dyDescent="0.3">
      <c r="B82" s="115" t="str">
        <f>IF(C82="","",COUNTA($C$4:C82))</f>
        <v/>
      </c>
      <c r="C82" s="115" t="str">
        <f>IFERROR(VLOOKUP(基本資料填寫!$D$1&amp;"-"&amp;ROW(AP79),基本資料填寫!$D:$DU,COLUMN(基本資料填寫!CM79),0),"")</f>
        <v/>
      </c>
      <c r="D82" s="115" t="str">
        <f>IFERROR(VLOOKUP(基本資料填寫!$D$1&amp;"-"&amp;ROW(L79),基本資料填寫!$D:$DU,COLUMN(基本資料填寫!S79),0),"")</f>
        <v/>
      </c>
      <c r="E82" s="115" t="str">
        <f>IFERROR(VLOOKUP(基本資料填寫!$D$1&amp;"-"&amp;ROW(N79),基本資料填寫!$D:$DU,COLUMN(基本資料填寫!U79),0),"")</f>
        <v/>
      </c>
      <c r="F82" s="208"/>
      <c r="G82" s="208"/>
      <c r="H82" s="208"/>
      <c r="I82" s="208"/>
      <c r="J82" s="208"/>
      <c r="K82" s="208"/>
      <c r="W82" s="115" t="str">
        <f>IFERROR(VLOOKUP(基本資料填寫!$D$1&amp;"-"&amp;ROW(P79),基本資料填寫!$D:$DU,COLUMN(基本資料填寫!W79),0),"")</f>
        <v/>
      </c>
    </row>
    <row r="83" spans="2:23" x14ac:dyDescent="0.3">
      <c r="B83" s="115" t="str">
        <f>IF(C83="","",COUNTA($C$4:C83))</f>
        <v/>
      </c>
      <c r="C83" s="115" t="str">
        <f>IFERROR(VLOOKUP(基本資料填寫!$D$1&amp;"-"&amp;ROW(AP80),基本資料填寫!$D:$DU,COLUMN(基本資料填寫!CM80),0),"")</f>
        <v/>
      </c>
      <c r="D83" s="115" t="str">
        <f>IFERROR(VLOOKUP(基本資料填寫!$D$1&amp;"-"&amp;ROW(L80),基本資料填寫!$D:$DU,COLUMN(基本資料填寫!S80),0),"")</f>
        <v/>
      </c>
      <c r="E83" s="115" t="str">
        <f>IFERROR(VLOOKUP(基本資料填寫!$D$1&amp;"-"&amp;ROW(N80),基本資料填寫!$D:$DU,COLUMN(基本資料填寫!U80),0),"")</f>
        <v/>
      </c>
      <c r="F83" s="208"/>
      <c r="G83" s="208"/>
      <c r="H83" s="208"/>
      <c r="I83" s="208"/>
      <c r="J83" s="208"/>
      <c r="K83" s="208"/>
      <c r="W83" s="115" t="str">
        <f>IFERROR(VLOOKUP(基本資料填寫!$D$1&amp;"-"&amp;ROW(P80),基本資料填寫!$D:$DU,COLUMN(基本資料填寫!W80),0),"")</f>
        <v/>
      </c>
    </row>
    <row r="84" spans="2:23" x14ac:dyDescent="0.3">
      <c r="B84" s="115" t="str">
        <f>IF(C84="","",COUNTA($C$4:C84))</f>
        <v/>
      </c>
      <c r="C84" s="115" t="str">
        <f>IFERROR(VLOOKUP(基本資料填寫!$D$1&amp;"-"&amp;ROW(AP81),基本資料填寫!$D:$DU,COLUMN(基本資料填寫!CM81),0),"")</f>
        <v/>
      </c>
      <c r="D84" s="115" t="str">
        <f>IFERROR(VLOOKUP(基本資料填寫!$D$1&amp;"-"&amp;ROW(L81),基本資料填寫!$D:$DU,COLUMN(基本資料填寫!S81),0),"")</f>
        <v/>
      </c>
      <c r="E84" s="115" t="str">
        <f>IFERROR(VLOOKUP(基本資料填寫!$D$1&amp;"-"&amp;ROW(N81),基本資料填寫!$D:$DU,COLUMN(基本資料填寫!U81),0),"")</f>
        <v/>
      </c>
      <c r="F84" s="208"/>
      <c r="G84" s="208"/>
      <c r="H84" s="208"/>
      <c r="I84" s="208"/>
      <c r="J84" s="208"/>
      <c r="K84" s="208"/>
      <c r="W84" s="115" t="str">
        <f>IFERROR(VLOOKUP(基本資料填寫!$D$1&amp;"-"&amp;ROW(P81),基本資料填寫!$D:$DU,COLUMN(基本資料填寫!W81),0),"")</f>
        <v/>
      </c>
    </row>
    <row r="85" spans="2:23" x14ac:dyDescent="0.3">
      <c r="B85" s="115" t="str">
        <f>IF(C85="","",COUNTA($C$4:C85))</f>
        <v/>
      </c>
      <c r="C85" s="115" t="str">
        <f>IFERROR(VLOOKUP(基本資料填寫!$D$1&amp;"-"&amp;ROW(AP82),基本資料填寫!$D:$DU,COLUMN(基本資料填寫!CM82),0),"")</f>
        <v/>
      </c>
      <c r="D85" s="115" t="str">
        <f>IFERROR(VLOOKUP(基本資料填寫!$D$1&amp;"-"&amp;ROW(L82),基本資料填寫!$D:$DU,COLUMN(基本資料填寫!S82),0),"")</f>
        <v/>
      </c>
      <c r="E85" s="115" t="str">
        <f>IFERROR(VLOOKUP(基本資料填寫!$D$1&amp;"-"&amp;ROW(N82),基本資料填寫!$D:$DU,COLUMN(基本資料填寫!U82),0),"")</f>
        <v/>
      </c>
      <c r="F85" s="208"/>
      <c r="G85" s="208"/>
      <c r="H85" s="208"/>
      <c r="I85" s="208"/>
      <c r="J85" s="208"/>
      <c r="K85" s="208"/>
      <c r="W85" s="115" t="str">
        <f>IFERROR(VLOOKUP(基本資料填寫!$D$1&amp;"-"&amp;ROW(P82),基本資料填寫!$D:$DU,COLUMN(基本資料填寫!W82),0),"")</f>
        <v/>
      </c>
    </row>
    <row r="86" spans="2:23" x14ac:dyDescent="0.3">
      <c r="B86" s="115" t="str">
        <f>IF(C86="","",COUNTA($C$4:C86))</f>
        <v/>
      </c>
      <c r="C86" s="115" t="str">
        <f>IFERROR(VLOOKUP(基本資料填寫!$D$1&amp;"-"&amp;ROW(AP83),基本資料填寫!$D:$DU,COLUMN(基本資料填寫!CM83),0),"")</f>
        <v/>
      </c>
      <c r="D86" s="115" t="str">
        <f>IFERROR(VLOOKUP(基本資料填寫!$D$1&amp;"-"&amp;ROW(L83),基本資料填寫!$D:$DU,COLUMN(基本資料填寫!S83),0),"")</f>
        <v/>
      </c>
      <c r="E86" s="115" t="str">
        <f>IFERROR(VLOOKUP(基本資料填寫!$D$1&amp;"-"&amp;ROW(N83),基本資料填寫!$D:$DU,COLUMN(基本資料填寫!U83),0),"")</f>
        <v/>
      </c>
      <c r="F86" s="208"/>
      <c r="G86" s="208"/>
      <c r="H86" s="208"/>
      <c r="I86" s="208"/>
      <c r="J86" s="208"/>
      <c r="K86" s="208"/>
      <c r="W86" s="115" t="str">
        <f>IFERROR(VLOOKUP(基本資料填寫!$D$1&amp;"-"&amp;ROW(P83),基本資料填寫!$D:$DU,COLUMN(基本資料填寫!W83),0),"")</f>
        <v/>
      </c>
    </row>
    <row r="87" spans="2:23" x14ac:dyDescent="0.3">
      <c r="B87" s="115" t="str">
        <f>IF(C87="","",COUNTA($C$4:C87))</f>
        <v/>
      </c>
      <c r="C87" s="115" t="str">
        <f>IFERROR(VLOOKUP(基本資料填寫!$D$1&amp;"-"&amp;ROW(AP84),基本資料填寫!$D:$DU,COLUMN(基本資料填寫!CM84),0),"")</f>
        <v/>
      </c>
      <c r="D87" s="115" t="str">
        <f>IFERROR(VLOOKUP(基本資料填寫!$D$1&amp;"-"&amp;ROW(L84),基本資料填寫!$D:$DU,COLUMN(基本資料填寫!S84),0),"")</f>
        <v/>
      </c>
      <c r="E87" s="115" t="str">
        <f>IFERROR(VLOOKUP(基本資料填寫!$D$1&amp;"-"&amp;ROW(N84),基本資料填寫!$D:$DU,COLUMN(基本資料填寫!U84),0),"")</f>
        <v/>
      </c>
      <c r="F87" s="208"/>
      <c r="G87" s="208"/>
      <c r="H87" s="208"/>
      <c r="I87" s="208"/>
      <c r="J87" s="208"/>
      <c r="K87" s="208"/>
      <c r="W87" s="115" t="str">
        <f>IFERROR(VLOOKUP(基本資料填寫!$D$1&amp;"-"&amp;ROW(P84),基本資料填寫!$D:$DU,COLUMN(基本資料填寫!W84),0),"")</f>
        <v/>
      </c>
    </row>
    <row r="88" spans="2:23" x14ac:dyDescent="0.3">
      <c r="B88" s="115" t="str">
        <f>IF(C88="","",COUNTA($C$4:C88))</f>
        <v/>
      </c>
      <c r="C88" s="115" t="str">
        <f>IFERROR(VLOOKUP(基本資料填寫!$D$1&amp;"-"&amp;ROW(AP85),基本資料填寫!$D:$DU,COLUMN(基本資料填寫!CM85),0),"")</f>
        <v/>
      </c>
      <c r="D88" s="115" t="str">
        <f>IFERROR(VLOOKUP(基本資料填寫!$D$1&amp;"-"&amp;ROW(L85),基本資料填寫!$D:$DU,COLUMN(基本資料填寫!S85),0),"")</f>
        <v/>
      </c>
      <c r="E88" s="115" t="str">
        <f>IFERROR(VLOOKUP(基本資料填寫!$D$1&amp;"-"&amp;ROW(N85),基本資料填寫!$D:$DU,COLUMN(基本資料填寫!U85),0),"")</f>
        <v/>
      </c>
      <c r="F88" s="208"/>
      <c r="G88" s="208"/>
      <c r="H88" s="208"/>
      <c r="I88" s="208"/>
      <c r="J88" s="208"/>
      <c r="K88" s="208"/>
      <c r="W88" s="115" t="str">
        <f>IFERROR(VLOOKUP(基本資料填寫!$D$1&amp;"-"&amp;ROW(P85),基本資料填寫!$D:$DU,COLUMN(基本資料填寫!W85),0),"")</f>
        <v/>
      </c>
    </row>
    <row r="89" spans="2:23" x14ac:dyDescent="0.3">
      <c r="B89" s="115" t="str">
        <f>IF(C89="","",COUNTA($C$4:C89))</f>
        <v/>
      </c>
      <c r="C89" s="115" t="str">
        <f>IFERROR(VLOOKUP(基本資料填寫!$D$1&amp;"-"&amp;ROW(AP86),基本資料填寫!$D:$DU,COLUMN(基本資料填寫!CM86),0),"")</f>
        <v/>
      </c>
      <c r="D89" s="115" t="str">
        <f>IFERROR(VLOOKUP(基本資料填寫!$D$1&amp;"-"&amp;ROW(L86),基本資料填寫!$D:$DU,COLUMN(基本資料填寫!S86),0),"")</f>
        <v/>
      </c>
      <c r="E89" s="115" t="str">
        <f>IFERROR(VLOOKUP(基本資料填寫!$D$1&amp;"-"&amp;ROW(N86),基本資料填寫!$D:$DU,COLUMN(基本資料填寫!U86),0),"")</f>
        <v/>
      </c>
      <c r="F89" s="208"/>
      <c r="G89" s="208"/>
      <c r="H89" s="208"/>
      <c r="I89" s="208"/>
      <c r="J89" s="208"/>
      <c r="K89" s="208"/>
      <c r="W89" s="115" t="str">
        <f>IFERROR(VLOOKUP(基本資料填寫!$D$1&amp;"-"&amp;ROW(P86),基本資料填寫!$D:$DU,COLUMN(基本資料填寫!W86),0),"")</f>
        <v/>
      </c>
    </row>
    <row r="90" spans="2:23" x14ac:dyDescent="0.3">
      <c r="B90" s="115" t="str">
        <f>IF(C90="","",COUNTA($C$4:C90))</f>
        <v/>
      </c>
      <c r="C90" s="115" t="str">
        <f>IFERROR(VLOOKUP(基本資料填寫!$D$1&amp;"-"&amp;ROW(AP87),基本資料填寫!$D:$DU,COLUMN(基本資料填寫!CM87),0),"")</f>
        <v/>
      </c>
      <c r="D90" s="115" t="str">
        <f>IFERROR(VLOOKUP(基本資料填寫!$D$1&amp;"-"&amp;ROW(L87),基本資料填寫!$D:$DU,COLUMN(基本資料填寫!S87),0),"")</f>
        <v/>
      </c>
      <c r="E90" s="115" t="str">
        <f>IFERROR(VLOOKUP(基本資料填寫!$D$1&amp;"-"&amp;ROW(N87),基本資料填寫!$D:$DU,COLUMN(基本資料填寫!U87),0),"")</f>
        <v/>
      </c>
      <c r="F90" s="208"/>
      <c r="G90" s="208"/>
      <c r="H90" s="208"/>
      <c r="I90" s="208"/>
      <c r="J90" s="208"/>
      <c r="K90" s="208"/>
      <c r="W90" s="115" t="str">
        <f>IFERROR(VLOOKUP(基本資料填寫!$D$1&amp;"-"&amp;ROW(P87),基本資料填寫!$D:$DU,COLUMN(基本資料填寫!W87),0),"")</f>
        <v/>
      </c>
    </row>
    <row r="91" spans="2:23" x14ac:dyDescent="0.3">
      <c r="B91" s="115" t="str">
        <f>IF(C91="","",COUNTA($C$4:C91))</f>
        <v/>
      </c>
      <c r="C91" s="115" t="str">
        <f>IFERROR(VLOOKUP(基本資料填寫!$D$1&amp;"-"&amp;ROW(AP88),基本資料填寫!$D:$DU,COLUMN(基本資料填寫!CM88),0),"")</f>
        <v/>
      </c>
      <c r="D91" s="115" t="str">
        <f>IFERROR(VLOOKUP(基本資料填寫!$D$1&amp;"-"&amp;ROW(L88),基本資料填寫!$D:$DU,COLUMN(基本資料填寫!S88),0),"")</f>
        <v/>
      </c>
      <c r="E91" s="115" t="str">
        <f>IFERROR(VLOOKUP(基本資料填寫!$D$1&amp;"-"&amp;ROW(N88),基本資料填寫!$D:$DU,COLUMN(基本資料填寫!U88),0),"")</f>
        <v/>
      </c>
      <c r="F91" s="208"/>
      <c r="G91" s="208"/>
      <c r="H91" s="208"/>
      <c r="I91" s="208"/>
      <c r="J91" s="208"/>
      <c r="K91" s="208"/>
      <c r="W91" s="115" t="str">
        <f>IFERROR(VLOOKUP(基本資料填寫!$D$1&amp;"-"&amp;ROW(P88),基本資料填寫!$D:$DU,COLUMN(基本資料填寫!W88),0),"")</f>
        <v/>
      </c>
    </row>
    <row r="92" spans="2:23" x14ac:dyDescent="0.3">
      <c r="B92" s="115" t="str">
        <f>IF(C92="","",COUNTA($C$4:C92))</f>
        <v/>
      </c>
      <c r="C92" s="115" t="str">
        <f>IFERROR(VLOOKUP(基本資料填寫!$D$1&amp;"-"&amp;ROW(AP89),基本資料填寫!$D:$DU,COLUMN(基本資料填寫!CM89),0),"")</f>
        <v/>
      </c>
      <c r="D92" s="115" t="str">
        <f>IFERROR(VLOOKUP(基本資料填寫!$D$1&amp;"-"&amp;ROW(L89),基本資料填寫!$D:$DU,COLUMN(基本資料填寫!S89),0),"")</f>
        <v/>
      </c>
      <c r="E92" s="115" t="str">
        <f>IFERROR(VLOOKUP(基本資料填寫!$D$1&amp;"-"&amp;ROW(N89),基本資料填寫!$D:$DU,COLUMN(基本資料填寫!U89),0),"")</f>
        <v/>
      </c>
      <c r="F92" s="208"/>
      <c r="G92" s="208"/>
      <c r="H92" s="208"/>
      <c r="I92" s="208"/>
      <c r="J92" s="208"/>
      <c r="K92" s="208"/>
      <c r="W92" s="115" t="str">
        <f>IFERROR(VLOOKUP(基本資料填寫!$D$1&amp;"-"&amp;ROW(P89),基本資料填寫!$D:$DU,COLUMN(基本資料填寫!W89),0),"")</f>
        <v/>
      </c>
    </row>
    <row r="93" spans="2:23" x14ac:dyDescent="0.3">
      <c r="B93" s="115" t="str">
        <f>IF(C93="","",COUNTA($C$4:C93))</f>
        <v/>
      </c>
      <c r="C93" s="115" t="str">
        <f>IFERROR(VLOOKUP(基本資料填寫!$D$1&amp;"-"&amp;ROW(AP90),基本資料填寫!$D:$DU,COLUMN(基本資料填寫!CM90),0),"")</f>
        <v/>
      </c>
      <c r="D93" s="115" t="str">
        <f>IFERROR(VLOOKUP(基本資料填寫!$D$1&amp;"-"&amp;ROW(L90),基本資料填寫!$D:$DU,COLUMN(基本資料填寫!S90),0),"")</f>
        <v/>
      </c>
      <c r="E93" s="115" t="str">
        <f>IFERROR(VLOOKUP(基本資料填寫!$D$1&amp;"-"&amp;ROW(N90),基本資料填寫!$D:$DU,COLUMN(基本資料填寫!U90),0),"")</f>
        <v/>
      </c>
      <c r="F93" s="208"/>
      <c r="G93" s="208"/>
      <c r="H93" s="208"/>
      <c r="I93" s="208"/>
      <c r="J93" s="208"/>
      <c r="K93" s="208"/>
      <c r="W93" s="115" t="str">
        <f>IFERROR(VLOOKUP(基本資料填寫!$D$1&amp;"-"&amp;ROW(P90),基本資料填寫!$D:$DU,COLUMN(基本資料填寫!W90),0),"")</f>
        <v/>
      </c>
    </row>
    <row r="94" spans="2:23" x14ac:dyDescent="0.3">
      <c r="B94" s="115" t="str">
        <f>IF(C94="","",COUNTA($C$4:C94))</f>
        <v/>
      </c>
      <c r="C94" s="115" t="str">
        <f>IFERROR(VLOOKUP(基本資料填寫!$D$1&amp;"-"&amp;ROW(AP91),基本資料填寫!$D:$DU,COLUMN(基本資料填寫!CM91),0),"")</f>
        <v/>
      </c>
      <c r="D94" s="115" t="str">
        <f>IFERROR(VLOOKUP(基本資料填寫!$D$1&amp;"-"&amp;ROW(L91),基本資料填寫!$D:$DU,COLUMN(基本資料填寫!S91),0),"")</f>
        <v/>
      </c>
      <c r="E94" s="115" t="str">
        <f>IFERROR(VLOOKUP(基本資料填寫!$D$1&amp;"-"&amp;ROW(N91),基本資料填寫!$D:$DU,COLUMN(基本資料填寫!U91),0),"")</f>
        <v/>
      </c>
      <c r="F94" s="208"/>
      <c r="G94" s="208"/>
      <c r="H94" s="208"/>
      <c r="I94" s="208"/>
      <c r="J94" s="208"/>
      <c r="K94" s="208"/>
      <c r="W94" s="115" t="str">
        <f>IFERROR(VLOOKUP(基本資料填寫!$D$1&amp;"-"&amp;ROW(P91),基本資料填寫!$D:$DU,COLUMN(基本資料填寫!W91),0),"")</f>
        <v/>
      </c>
    </row>
    <row r="95" spans="2:23" x14ac:dyDescent="0.3">
      <c r="B95" s="115" t="str">
        <f>IF(C95="","",COUNTA($C$4:C95))</f>
        <v/>
      </c>
      <c r="C95" s="115" t="str">
        <f>IFERROR(VLOOKUP(基本資料填寫!$D$1&amp;"-"&amp;ROW(AP92),基本資料填寫!$D:$DU,COLUMN(基本資料填寫!CM92),0),"")</f>
        <v/>
      </c>
      <c r="D95" s="115" t="str">
        <f>IFERROR(VLOOKUP(基本資料填寫!$D$1&amp;"-"&amp;ROW(L92),基本資料填寫!$D:$DU,COLUMN(基本資料填寫!S92),0),"")</f>
        <v/>
      </c>
      <c r="E95" s="115" t="str">
        <f>IFERROR(VLOOKUP(基本資料填寫!$D$1&amp;"-"&amp;ROW(N92),基本資料填寫!$D:$DU,COLUMN(基本資料填寫!U92),0),"")</f>
        <v/>
      </c>
      <c r="F95" s="208"/>
      <c r="G95" s="208"/>
      <c r="H95" s="208"/>
      <c r="I95" s="208"/>
      <c r="J95" s="208"/>
      <c r="K95" s="208"/>
      <c r="W95" s="115" t="str">
        <f>IFERROR(VLOOKUP(基本資料填寫!$D$1&amp;"-"&amp;ROW(P92),基本資料填寫!$D:$DU,COLUMN(基本資料填寫!W92),0),"")</f>
        <v/>
      </c>
    </row>
    <row r="96" spans="2:23" x14ac:dyDescent="0.3">
      <c r="B96" s="115" t="str">
        <f>IF(C96="","",COUNTA($C$4:C96))</f>
        <v/>
      </c>
      <c r="C96" s="115" t="str">
        <f>IFERROR(VLOOKUP(基本資料填寫!$D$1&amp;"-"&amp;ROW(AP93),基本資料填寫!$D:$DU,COLUMN(基本資料填寫!CM93),0),"")</f>
        <v/>
      </c>
      <c r="D96" s="115" t="str">
        <f>IFERROR(VLOOKUP(基本資料填寫!$D$1&amp;"-"&amp;ROW(L93),基本資料填寫!$D:$DU,COLUMN(基本資料填寫!S93),0),"")</f>
        <v/>
      </c>
      <c r="E96" s="115" t="str">
        <f>IFERROR(VLOOKUP(基本資料填寫!$D$1&amp;"-"&amp;ROW(N93),基本資料填寫!$D:$DU,COLUMN(基本資料填寫!U93),0),"")</f>
        <v/>
      </c>
      <c r="F96" s="208"/>
      <c r="G96" s="208"/>
      <c r="H96" s="208"/>
      <c r="I96" s="208"/>
      <c r="J96" s="208"/>
      <c r="K96" s="208"/>
      <c r="W96" s="115" t="str">
        <f>IFERROR(VLOOKUP(基本資料填寫!$D$1&amp;"-"&amp;ROW(P93),基本資料填寫!$D:$DU,COLUMN(基本資料填寫!W93),0),"")</f>
        <v/>
      </c>
    </row>
    <row r="97" spans="1:23" x14ac:dyDescent="0.3">
      <c r="B97" s="115" t="str">
        <f>IF(C97="","",COUNTA($C$4:C97))</f>
        <v/>
      </c>
      <c r="C97" s="115" t="str">
        <f>IFERROR(VLOOKUP(基本資料填寫!$D$1&amp;"-"&amp;ROW(AP94),基本資料填寫!$D:$DU,COLUMN(基本資料填寫!CM94),0),"")</f>
        <v/>
      </c>
      <c r="D97" s="115" t="str">
        <f>IFERROR(VLOOKUP(基本資料填寫!$D$1&amp;"-"&amp;ROW(L94),基本資料填寫!$D:$DU,COLUMN(基本資料填寫!S94),0),"")</f>
        <v/>
      </c>
      <c r="E97" s="115" t="str">
        <f>IFERROR(VLOOKUP(基本資料填寫!$D$1&amp;"-"&amp;ROW(N94),基本資料填寫!$D:$DU,COLUMN(基本資料填寫!U94),0),"")</f>
        <v/>
      </c>
      <c r="F97" s="208"/>
      <c r="G97" s="208"/>
      <c r="H97" s="208"/>
      <c r="I97" s="208"/>
      <c r="J97" s="208"/>
      <c r="K97" s="208"/>
      <c r="W97" s="115" t="str">
        <f>IFERROR(VLOOKUP(基本資料填寫!$D$1&amp;"-"&amp;ROW(P94),基本資料填寫!$D:$DU,COLUMN(基本資料填寫!W94),0),"")</f>
        <v/>
      </c>
    </row>
    <row r="98" spans="1:23" x14ac:dyDescent="0.3">
      <c r="B98" s="115" t="str">
        <f>IF(C98="","",COUNTA($C$4:C98))</f>
        <v/>
      </c>
      <c r="C98" s="115" t="str">
        <f>IFERROR(VLOOKUP(基本資料填寫!$D$1&amp;"-"&amp;ROW(AP95),基本資料填寫!$D:$DU,COLUMN(基本資料填寫!CM95),0),"")</f>
        <v/>
      </c>
      <c r="D98" s="115" t="str">
        <f>IFERROR(VLOOKUP(基本資料填寫!$D$1&amp;"-"&amp;ROW(L95),基本資料填寫!$D:$DU,COLUMN(基本資料填寫!S95),0),"")</f>
        <v/>
      </c>
      <c r="E98" s="115" t="str">
        <f>IFERROR(VLOOKUP(基本資料填寫!$D$1&amp;"-"&amp;ROW(N95),基本資料填寫!$D:$DU,COLUMN(基本資料填寫!U95),0),"")</f>
        <v/>
      </c>
      <c r="F98" s="208"/>
      <c r="G98" s="208"/>
      <c r="H98" s="208"/>
      <c r="I98" s="208"/>
      <c r="J98" s="208"/>
      <c r="K98" s="208"/>
      <c r="W98" s="115" t="str">
        <f>IFERROR(VLOOKUP(基本資料填寫!$D$1&amp;"-"&amp;ROW(P95),基本資料填寫!$D:$DU,COLUMN(基本資料填寫!W95),0),"")</f>
        <v/>
      </c>
    </row>
    <row r="99" spans="1:23" x14ac:dyDescent="0.3">
      <c r="B99" s="115" t="str">
        <f>IF(C99="","",COUNTA($C$4:C99))</f>
        <v/>
      </c>
      <c r="C99" s="115" t="str">
        <f>IFERROR(VLOOKUP(基本資料填寫!$D$1&amp;"-"&amp;ROW(AP96),基本資料填寫!$D:$DU,COLUMN(基本資料填寫!CM96),0),"")</f>
        <v/>
      </c>
      <c r="D99" s="115" t="str">
        <f>IFERROR(VLOOKUP(基本資料填寫!$D$1&amp;"-"&amp;ROW(L96),基本資料填寫!$D:$DU,COLUMN(基本資料填寫!S96),0),"")</f>
        <v/>
      </c>
      <c r="E99" s="115" t="str">
        <f>IFERROR(VLOOKUP(基本資料填寫!$D$1&amp;"-"&amp;ROW(N96),基本資料填寫!$D:$DU,COLUMN(基本資料填寫!U96),0),"")</f>
        <v/>
      </c>
      <c r="F99" s="208"/>
      <c r="G99" s="208"/>
      <c r="H99" s="208"/>
      <c r="I99" s="208"/>
      <c r="J99" s="208"/>
      <c r="K99" s="208"/>
      <c r="W99" s="115" t="str">
        <f>IFERROR(VLOOKUP(基本資料填寫!$D$1&amp;"-"&amp;ROW(P96),基本資料填寫!$D:$DU,COLUMN(基本資料填寫!W96),0),"")</f>
        <v/>
      </c>
    </row>
    <row r="100" spans="1:23" x14ac:dyDescent="0.3">
      <c r="B100" s="115" t="str">
        <f>IF(C100="","",COUNTA($C$4:C100))</f>
        <v/>
      </c>
      <c r="C100" s="115" t="str">
        <f>IFERROR(VLOOKUP(基本資料填寫!$D$1&amp;"-"&amp;ROW(AP97),基本資料填寫!$D:$DU,COLUMN(基本資料填寫!CM97),0),"")</f>
        <v/>
      </c>
      <c r="D100" s="115" t="str">
        <f>IFERROR(VLOOKUP(基本資料填寫!$D$1&amp;"-"&amp;ROW(L97),基本資料填寫!$D:$DU,COLUMN(基本資料填寫!S97),0),"")</f>
        <v/>
      </c>
      <c r="E100" s="115" t="str">
        <f>IFERROR(VLOOKUP(基本資料填寫!$D$1&amp;"-"&amp;ROW(N97),基本資料填寫!$D:$DU,COLUMN(基本資料填寫!U97),0),"")</f>
        <v/>
      </c>
      <c r="F100" s="208"/>
      <c r="G100" s="208"/>
      <c r="H100" s="208"/>
      <c r="I100" s="208"/>
      <c r="J100" s="208"/>
      <c r="K100" s="208"/>
      <c r="W100" s="115" t="str">
        <f>IFERROR(VLOOKUP(基本資料填寫!$D$1&amp;"-"&amp;ROW(P97),基本資料填寫!$D:$DU,COLUMN(基本資料填寫!W97),0),"")</f>
        <v/>
      </c>
    </row>
    <row r="101" spans="1:23" x14ac:dyDescent="0.3">
      <c r="B101" s="115" t="str">
        <f>IF(C101="","",COUNTA($C$4:C101))</f>
        <v/>
      </c>
      <c r="C101" s="115" t="str">
        <f>IFERROR(VLOOKUP(基本資料填寫!$D$1&amp;"-"&amp;ROW(AP98),基本資料填寫!$D:$DU,COLUMN(基本資料填寫!CM98),0),"")</f>
        <v/>
      </c>
      <c r="D101" s="115" t="str">
        <f>IFERROR(VLOOKUP(基本資料填寫!$D$1&amp;"-"&amp;ROW(L98),基本資料填寫!$D:$DU,COLUMN(基本資料填寫!S98),0),"")</f>
        <v/>
      </c>
      <c r="E101" s="115" t="str">
        <f>IFERROR(VLOOKUP(基本資料填寫!$D$1&amp;"-"&amp;ROW(N98),基本資料填寫!$D:$DU,COLUMN(基本資料填寫!U98),0),"")</f>
        <v/>
      </c>
      <c r="F101" s="208"/>
      <c r="G101" s="208"/>
      <c r="H101" s="208"/>
      <c r="I101" s="208"/>
      <c r="J101" s="208"/>
      <c r="K101" s="208"/>
      <c r="W101" s="115" t="str">
        <f>IFERROR(VLOOKUP(基本資料填寫!$D$1&amp;"-"&amp;ROW(P98),基本資料填寫!$D:$DU,COLUMN(基本資料填寫!W98),0),"")</f>
        <v/>
      </c>
    </row>
    <row r="102" spans="1:23" x14ac:dyDescent="0.3">
      <c r="B102" s="115" t="str">
        <f>IF(C102="","",COUNTA($C$4:C102))</f>
        <v/>
      </c>
      <c r="C102" s="115" t="str">
        <f>IFERROR(VLOOKUP(基本資料填寫!$D$1&amp;"-"&amp;ROW(AP99),基本資料填寫!$D:$DU,COLUMN(基本資料填寫!CM99),0),"")</f>
        <v/>
      </c>
      <c r="D102" s="115" t="str">
        <f>IFERROR(VLOOKUP(基本資料填寫!$D$1&amp;"-"&amp;ROW(L99),基本資料填寫!$D:$DU,COLUMN(基本資料填寫!S99),0),"")</f>
        <v/>
      </c>
      <c r="E102" s="115" t="str">
        <f>IFERROR(VLOOKUP(基本資料填寫!$D$1&amp;"-"&amp;ROW(N99),基本資料填寫!$D:$DU,COLUMN(基本資料填寫!U99),0),"")</f>
        <v/>
      </c>
      <c r="F102" s="208"/>
      <c r="G102" s="208"/>
      <c r="H102" s="208"/>
      <c r="I102" s="208"/>
      <c r="J102" s="208"/>
      <c r="K102" s="208"/>
      <c r="W102" s="115" t="str">
        <f>IFERROR(VLOOKUP(基本資料填寫!$D$1&amp;"-"&amp;ROW(P99),基本資料填寫!$D:$DU,COLUMN(基本資料填寫!W99),0),"")</f>
        <v/>
      </c>
    </row>
    <row r="103" spans="1:23" s="122" customFormat="1" x14ac:dyDescent="0.3">
      <c r="A103" s="121"/>
      <c r="B103" s="119"/>
      <c r="C103" s="119"/>
      <c r="D103" s="119"/>
      <c r="E103" s="119"/>
      <c r="F103" s="159"/>
      <c r="G103" s="159"/>
      <c r="H103" s="159"/>
      <c r="I103" s="159"/>
      <c r="J103" s="159"/>
      <c r="K103" s="159"/>
      <c r="W103" s="11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0E75-BC88-44F4-B747-38E651A719EE}">
  <sheetPr codeName="工作表11"/>
  <dimension ref="A1:AO128"/>
  <sheetViews>
    <sheetView zoomScale="55" zoomScaleNormal="55" workbookViewId="0">
      <pane ySplit="3" topLeftCell="A22" activePane="bottomLeft" state="frozen"/>
      <selection pane="bottomLeft" activeCell="F93" sqref="F93"/>
    </sheetView>
  </sheetViews>
  <sheetFormatPr defaultColWidth="8.88671875" defaultRowHeight="16.2" x14ac:dyDescent="0.3"/>
  <cols>
    <col min="1" max="1" width="35.88671875" style="6" bestFit="1" customWidth="1"/>
    <col min="2" max="2" width="22.6640625" style="47" bestFit="1" customWidth="1"/>
    <col min="3" max="4" width="15.109375" style="47" bestFit="1" customWidth="1"/>
    <col min="5" max="5" width="23.44140625" style="180" bestFit="1" customWidth="1"/>
    <col min="6" max="6" width="17.33203125" style="180" bestFit="1" customWidth="1"/>
    <col min="7" max="7" width="19.77734375" style="47" bestFit="1" customWidth="1"/>
    <col min="8" max="8" width="13.33203125" style="47" bestFit="1" customWidth="1"/>
    <col min="9" max="9" width="15.109375" style="47" bestFit="1" customWidth="1"/>
    <col min="10" max="10" width="18.33203125" style="47" bestFit="1" customWidth="1"/>
    <col min="11" max="11" width="19.77734375" style="47" bestFit="1" customWidth="1"/>
    <col min="12" max="12" width="13.88671875" style="47" bestFit="1" customWidth="1"/>
    <col min="13" max="13" width="16.44140625" style="47" bestFit="1" customWidth="1"/>
    <col min="14" max="14" width="13.88671875" style="47" bestFit="1" customWidth="1"/>
    <col min="15" max="15" width="16.77734375" style="47" bestFit="1" customWidth="1"/>
    <col min="16" max="16" width="16" style="47" bestFit="1" customWidth="1"/>
    <col min="17" max="18" width="13.88671875" style="47" bestFit="1" customWidth="1"/>
    <col min="19" max="19" width="28.44140625" style="47" bestFit="1" customWidth="1"/>
    <col min="20" max="21" width="13.88671875" style="47" bestFit="1" customWidth="1"/>
    <col min="22" max="22" width="15.33203125" style="47" bestFit="1" customWidth="1"/>
    <col min="23" max="23" width="21.44140625" style="6" bestFit="1" customWidth="1"/>
    <col min="24" max="24" width="27.44140625" style="6" bestFit="1" customWidth="1"/>
    <col min="25" max="25" width="19" style="6" bestFit="1" customWidth="1"/>
    <col min="26" max="26" width="20.21875" style="6" bestFit="1" customWidth="1"/>
    <col min="27" max="27" width="20.21875" style="6" customWidth="1"/>
    <col min="28" max="28" width="19.77734375" style="6" bestFit="1" customWidth="1"/>
    <col min="29" max="29" width="13.88671875" style="47" bestFit="1" customWidth="1"/>
    <col min="30" max="30" width="12.44140625" style="47" bestFit="1" customWidth="1"/>
    <col min="31" max="31" width="19" style="6" bestFit="1" customWidth="1"/>
    <col min="32" max="32" width="31.21875" style="6" bestFit="1" customWidth="1"/>
    <col min="33" max="33" width="8.21875" style="6" bestFit="1" customWidth="1"/>
    <col min="34" max="34" width="18.33203125" style="47" bestFit="1" customWidth="1"/>
    <col min="35" max="35" width="23.88671875" style="47" bestFit="1" customWidth="1"/>
    <col min="36" max="36" width="20.21875" style="47" bestFit="1" customWidth="1"/>
    <col min="37" max="37" width="21.44140625" style="47" bestFit="1" customWidth="1"/>
    <col min="38" max="38" width="21.21875" style="47" bestFit="1" customWidth="1"/>
    <col min="39" max="39" width="24.109375" style="47" bestFit="1" customWidth="1"/>
    <col min="40" max="40" width="24.109375" style="151" customWidth="1"/>
    <col min="41" max="41" width="11.88671875" style="6" bestFit="1" customWidth="1"/>
    <col min="42" max="16384" width="8.88671875" style="6"/>
  </cols>
  <sheetData>
    <row r="1" spans="1:41" s="19" customFormat="1" ht="19.8" x14ac:dyDescent="0.4">
      <c r="A1" s="196" t="s">
        <v>549</v>
      </c>
      <c r="B1" s="125" t="s">
        <v>550</v>
      </c>
      <c r="C1" s="134" t="s">
        <v>553</v>
      </c>
      <c r="D1" s="134" t="s">
        <v>554</v>
      </c>
      <c r="E1" s="134" t="s">
        <v>555</v>
      </c>
      <c r="F1" s="134" t="s">
        <v>556</v>
      </c>
      <c r="G1" s="188" t="s">
        <v>785</v>
      </c>
      <c r="H1" s="134" t="s">
        <v>561</v>
      </c>
      <c r="I1" s="134" t="s">
        <v>562</v>
      </c>
      <c r="J1" s="135" t="s">
        <v>786</v>
      </c>
      <c r="K1" s="134" t="s">
        <v>569</v>
      </c>
      <c r="L1" s="135" t="s">
        <v>787</v>
      </c>
      <c r="M1" s="126" t="s">
        <v>788</v>
      </c>
      <c r="N1" s="134" t="s">
        <v>573</v>
      </c>
      <c r="O1" s="134" t="s">
        <v>574</v>
      </c>
      <c r="P1" s="135" t="s">
        <v>575</v>
      </c>
      <c r="Q1" s="134" t="s">
        <v>581</v>
      </c>
      <c r="R1" s="134" t="s">
        <v>582</v>
      </c>
      <c r="S1" s="134" t="s">
        <v>790</v>
      </c>
      <c r="T1" s="134" t="s">
        <v>583</v>
      </c>
      <c r="U1" s="134" t="s">
        <v>584</v>
      </c>
      <c r="V1" s="126" t="s">
        <v>410</v>
      </c>
      <c r="W1" s="202" t="s">
        <v>591</v>
      </c>
      <c r="X1" s="202" t="s">
        <v>592</v>
      </c>
      <c r="Y1" s="202" t="s">
        <v>593</v>
      </c>
      <c r="Z1" s="202" t="s">
        <v>594</v>
      </c>
      <c r="AA1" s="202" t="s">
        <v>792</v>
      </c>
      <c r="AB1" s="202" t="s">
        <v>604</v>
      </c>
      <c r="AC1" s="134" t="s">
        <v>605</v>
      </c>
      <c r="AD1" s="126" t="s">
        <v>606</v>
      </c>
      <c r="AE1" s="202" t="s">
        <v>607</v>
      </c>
      <c r="AF1" s="202" t="s">
        <v>608</v>
      </c>
      <c r="AG1" s="202" t="s">
        <v>386</v>
      </c>
      <c r="AH1" s="126" t="s">
        <v>772</v>
      </c>
      <c r="AI1" s="126" t="s">
        <v>793</v>
      </c>
      <c r="AJ1" s="126" t="s">
        <v>794</v>
      </c>
      <c r="AK1" s="126" t="s">
        <v>117</v>
      </c>
      <c r="AL1" s="126" t="s">
        <v>118</v>
      </c>
      <c r="AM1" s="135" t="s">
        <v>609</v>
      </c>
      <c r="AN1" s="201" t="s">
        <v>802</v>
      </c>
      <c r="AO1" s="202" t="s">
        <v>423</v>
      </c>
    </row>
    <row r="2" spans="1:41" x14ac:dyDescent="0.3">
      <c r="A2" s="197" t="s">
        <v>388</v>
      </c>
      <c r="B2" s="198" t="s">
        <v>551</v>
      </c>
      <c r="C2" s="199" t="s">
        <v>190</v>
      </c>
      <c r="D2" s="199" t="s">
        <v>191</v>
      </c>
      <c r="E2" s="199" t="s">
        <v>557</v>
      </c>
      <c r="F2" s="199" t="s">
        <v>558</v>
      </c>
      <c r="G2" s="199" t="s">
        <v>559</v>
      </c>
      <c r="H2" s="199" t="s">
        <v>563</v>
      </c>
      <c r="I2" s="199" t="s">
        <v>564</v>
      </c>
      <c r="J2" s="199" t="s">
        <v>565</v>
      </c>
      <c r="K2" s="199" t="s">
        <v>570</v>
      </c>
      <c r="L2" s="199" t="s">
        <v>571</v>
      </c>
      <c r="M2" s="198" t="s">
        <v>789</v>
      </c>
      <c r="N2" s="199" t="s">
        <v>576</v>
      </c>
      <c r="O2" s="199" t="s">
        <v>403</v>
      </c>
      <c r="P2" s="199" t="s">
        <v>577</v>
      </c>
      <c r="Q2" s="199" t="s">
        <v>585</v>
      </c>
      <c r="R2" s="199" t="s">
        <v>586</v>
      </c>
      <c r="S2" s="199" t="s">
        <v>587</v>
      </c>
      <c r="T2" s="199" t="s">
        <v>588</v>
      </c>
      <c r="U2" s="199" t="s">
        <v>589</v>
      </c>
      <c r="V2" s="198" t="s">
        <v>595</v>
      </c>
      <c r="W2" s="197" t="s">
        <v>596</v>
      </c>
      <c r="X2" s="197" t="s">
        <v>597</v>
      </c>
      <c r="Y2" s="197" t="s">
        <v>598</v>
      </c>
      <c r="Z2" s="197" t="s">
        <v>599</v>
      </c>
      <c r="AA2" s="197" t="s">
        <v>551</v>
      </c>
      <c r="AB2" s="197" t="s">
        <v>610</v>
      </c>
      <c r="AC2" s="199" t="s">
        <v>611</v>
      </c>
      <c r="AD2" s="198" t="s">
        <v>612</v>
      </c>
      <c r="AE2" s="197" t="s">
        <v>613</v>
      </c>
      <c r="AF2" s="197" t="s">
        <v>614</v>
      </c>
      <c r="AG2" s="197" t="s">
        <v>406</v>
      </c>
      <c r="AH2" s="198" t="s">
        <v>402</v>
      </c>
      <c r="AI2" s="198" t="s">
        <v>393</v>
      </c>
      <c r="AJ2" s="198" t="s">
        <v>342</v>
      </c>
      <c r="AK2" s="198" t="s">
        <v>795</v>
      </c>
      <c r="AL2" s="198" t="s">
        <v>796</v>
      </c>
      <c r="AM2" s="199" t="s">
        <v>183</v>
      </c>
      <c r="AN2" s="200" t="s">
        <v>800</v>
      </c>
      <c r="AO2" s="197" t="s">
        <v>615</v>
      </c>
    </row>
    <row r="3" spans="1:41" x14ac:dyDescent="0.3">
      <c r="A3" s="197" t="s">
        <v>411</v>
      </c>
      <c r="B3" s="198" t="s">
        <v>552</v>
      </c>
      <c r="C3" s="199" t="s">
        <v>193</v>
      </c>
      <c r="D3" s="199" t="s">
        <v>194</v>
      </c>
      <c r="E3" s="199" t="s">
        <v>197</v>
      </c>
      <c r="F3" s="199" t="s">
        <v>198</v>
      </c>
      <c r="G3" s="199" t="s">
        <v>560</v>
      </c>
      <c r="H3" s="199" t="s">
        <v>566</v>
      </c>
      <c r="I3" s="199" t="s">
        <v>567</v>
      </c>
      <c r="J3" s="199" t="s">
        <v>568</v>
      </c>
      <c r="K3" s="199" t="s">
        <v>572</v>
      </c>
      <c r="L3" s="199" t="s">
        <v>571</v>
      </c>
      <c r="M3" s="198" t="s">
        <v>578</v>
      </c>
      <c r="N3" s="199" t="s">
        <v>576</v>
      </c>
      <c r="O3" s="199" t="s">
        <v>579</v>
      </c>
      <c r="P3" s="199" t="s">
        <v>580</v>
      </c>
      <c r="Q3" s="199" t="s">
        <v>585</v>
      </c>
      <c r="R3" s="199" t="s">
        <v>586</v>
      </c>
      <c r="S3" s="199" t="s">
        <v>590</v>
      </c>
      <c r="T3" s="199" t="s">
        <v>588</v>
      </c>
      <c r="U3" s="199" t="s">
        <v>589</v>
      </c>
      <c r="V3" s="198" t="s">
        <v>415</v>
      </c>
      <c r="W3" s="197" t="s">
        <v>600</v>
      </c>
      <c r="X3" s="197" t="s">
        <v>601</v>
      </c>
      <c r="Y3" s="197" t="s">
        <v>602</v>
      </c>
      <c r="Z3" s="197" t="s">
        <v>603</v>
      </c>
      <c r="AA3" s="197" t="s">
        <v>791</v>
      </c>
      <c r="AB3" s="197" t="s">
        <v>616</v>
      </c>
      <c r="AC3" s="199" t="s">
        <v>617</v>
      </c>
      <c r="AD3" s="198" t="s">
        <v>618</v>
      </c>
      <c r="AE3" s="197" t="s">
        <v>619</v>
      </c>
      <c r="AF3" s="197" t="s">
        <v>620</v>
      </c>
      <c r="AG3" s="197" t="s">
        <v>386</v>
      </c>
      <c r="AH3" s="198" t="s">
        <v>476</v>
      </c>
      <c r="AI3" s="198" t="s">
        <v>797</v>
      </c>
      <c r="AJ3" s="198" t="s">
        <v>347</v>
      </c>
      <c r="AK3" s="198" t="s">
        <v>798</v>
      </c>
      <c r="AL3" s="198" t="s">
        <v>799</v>
      </c>
      <c r="AM3" s="199" t="s">
        <v>621</v>
      </c>
      <c r="AN3" s="200" t="s">
        <v>801</v>
      </c>
      <c r="AO3" s="197" t="s">
        <v>622</v>
      </c>
    </row>
    <row r="4" spans="1:41" s="117" customFormat="1" x14ac:dyDescent="0.3">
      <c r="A4" s="117" t="s">
        <v>629</v>
      </c>
      <c r="B4" s="47">
        <f>IF(F4="","",COUNTA($F$4:F4))</f>
        <v>1</v>
      </c>
      <c r="C4" s="314" t="str">
        <f>IFERROR(VLOOKUP(基本資料填寫!$E$1&amp;"-"&amp;ROW(書籍檔建置!K1),基本資料填寫!$E:$EU,COLUMN(基本資料填寫!O1),0),"")</f>
        <v>5805</v>
      </c>
      <c r="D4" s="314" t="str">
        <f>IFERROR(VLOOKUP(基本資料填寫!$E$1&amp;"-"&amp;ROW(書籍檔建置!N1),基本資料填寫!$E:$EU,COLUMN(基本資料填寫!R1),0),"")</f>
        <v>YETL22090</v>
      </c>
      <c r="E4" s="314" t="str">
        <f>IFERROR(VLOOKUP(基本資料填寫!$E$1&amp;"-"&amp;ROW(書籍檔建置!AF1),基本資料填寫!$E:$EU,COLUMN(基本資料填寫!AJ1),0),"")</f>
        <v>TELEPHONE SYSTEM</v>
      </c>
      <c r="F4" s="314" t="str">
        <f>IFERROR(VLOOKUP(基本資料填寫!$E$1&amp;"-"&amp;ROW(書籍檔建置!J1),基本資料填寫!$E:$EU,COLUMN(基本資料填寫!N1),0),"")</f>
        <v>聲力電話系統</v>
      </c>
      <c r="G4" s="314" t="str">
        <f>IFERROR(VLOOKUP(基本資料填寫!$E$1&amp;"-"&amp;ROW(書籍檔建置!BO1),基本資料填寫!$E:$EU,COLUMN(基本資料填寫!BS1),0),"")</f>
        <v>C35</v>
      </c>
      <c r="H4" s="314" t="str">
        <f>IFERROR(VLOOKUP(基本資料填寫!$E$1&amp;"-"&amp;ROW(書籍檔建置!R1),基本資料填寫!$E:$EU,COLUMN(基本資料填寫!V1),0),"")</f>
        <v>EA</v>
      </c>
      <c r="I4" s="315" t="str">
        <f>IFERROR(VLOOKUP(基本資料填寫!$E$1&amp;"-"&amp;ROW(書籍檔建置!BQ1),基本資料填寫!$E:$EU,COLUMN(基本資料填寫!BU1),0),"")</f>
        <v>1</v>
      </c>
      <c r="J4" s="314" t="str">
        <f>IFERROR(VLOOKUP(基本資料填寫!$E$1&amp;"-"&amp;ROW(書籍檔建置!BW1),基本資料填寫!$E:$EU,COLUMN(基本資料填寫!CA1),0),"")</f>
        <v>C</v>
      </c>
      <c r="K4" s="314" t="str">
        <f>IFERROR(VLOOKUP(基本資料填寫!$E$1&amp;"-"&amp;ROW(書籍檔建置!BR1),基本資料填寫!$E:$EU,COLUMN(基本資料填寫!BV1),0),"")</f>
        <v>0</v>
      </c>
      <c r="L4" s="314" t="str">
        <f>IFERROR(VLOOKUP(基本資料填寫!$E$1&amp;"-"&amp;ROW(書籍檔建置!BS1),基本資料填寫!$E:$EU,COLUMN(基本資料填寫!BW1),0),"")</f>
        <v>E</v>
      </c>
      <c r="M4" s="166" t="str">
        <f>IFERROR(VLOOKUP(基本資料填寫!$E$1&amp;"-"&amp;ROW(書籍檔建置!BK1),基本資料填寫!$E:$EU,COLUMN(基本資料填寫!BO1),0),"")</f>
        <v>C</v>
      </c>
      <c r="N4" s="314" t="str">
        <f>IFERROR(VLOOKUP(基本資料填寫!$E$1&amp;"-"&amp;ROW(書籍檔建置!AG1),基本資料填寫!$E:$EU,COLUMN(基本資料填寫!AK1),0),"")</f>
        <v>35522</v>
      </c>
      <c r="O4" s="314" t="str">
        <f>IFERROR(VLOOKUP(基本資料填寫!$E$1&amp;"-"&amp;ROW(書籍檔建置!BT1),基本資料填寫!$E:$EU,COLUMN(基本資料填寫!BX1),0),"")</f>
        <v>U</v>
      </c>
      <c r="P4" s="314" t="str">
        <f>IFERROR(VLOOKUP(基本資料填寫!$E$1&amp;"-"&amp;ROW(書籍檔建置!BU1),基本資料填寫!$E:$EU,COLUMN(基本資料填寫!BY1),0),"")</f>
        <v>M</v>
      </c>
      <c r="Q4" s="314" t="str">
        <f>IFERROR(VLOOKUP(基本資料填寫!$E$1&amp;"-"&amp;ROW(書籍檔建置!BV1),基本資料填寫!$E:$EU,COLUMN(基本資料填寫!BZ1),0),"")</f>
        <v>E</v>
      </c>
      <c r="R4" s="314" t="str">
        <f>IFERROR(VLOOKUP(基本資料填寫!$E$1&amp;"-"&amp;ROW(書籍檔建置!BX1),基本資料填寫!$E:$EU,COLUMN(基本資料填寫!CB1),0),"")</f>
        <v>A</v>
      </c>
      <c r="S4" s="314" t="str">
        <f>IFERROR(VLOOKUP(基本資料填寫!$E$1&amp;"-"&amp;ROW(書籍檔建置!BY1),基本資料填寫!$E:$EU,COLUMN(基本資料填寫!CC1),0),"")</f>
        <v>00</v>
      </c>
      <c r="T4" s="314" t="str">
        <f>IFERROR(VLOOKUP(基本資料填寫!$E$1&amp;"-"&amp;ROW(書籍檔建置!BZ1),基本資料填寫!$E:$EU,COLUMN(基本資料填寫!CD1),0),"")</f>
        <v>E</v>
      </c>
      <c r="U4" s="314" t="str">
        <f>IFERROR(VLOOKUP(基本資料填寫!$E$1&amp;"-"&amp;ROW(書籍檔建置!CA1),基本資料填寫!$E:$EU,COLUMN(基本資料填寫!CE1),0),"")</f>
        <v>0</v>
      </c>
      <c r="V4" s="166">
        <f>IFERROR(VLOOKUP(基本資料填寫!$E$1&amp;"-"&amp;ROW(書籍檔建置!BL1),基本資料填寫!$E:$EU,COLUMN(基本資料填寫!BP1),0),"")</f>
        <v>4</v>
      </c>
      <c r="W4" s="178"/>
      <c r="X4" s="178"/>
      <c r="Y4" s="178"/>
      <c r="Z4" s="178"/>
      <c r="AA4" s="178"/>
      <c r="AB4" s="178"/>
      <c r="AC4" s="314">
        <f>IFERROR(VLOOKUP(基本資料填寫!$E$1&amp;"-"&amp;ROW(書籍檔建置!S1),基本資料填寫!$E:$EU,COLUMN(基本資料填寫!W1),0),"")</f>
        <v>530000</v>
      </c>
      <c r="AD4" s="166">
        <f>IFERROR(VLOOKUP(基本資料填寫!$E$1&amp;"-"&amp;ROW(書籍檔建置!BM1),基本資料填寫!$E:$EU,COLUMN(基本資料填寫!BQ1),0),"")</f>
        <v>0</v>
      </c>
      <c r="AE4" s="178"/>
      <c r="AF4" s="178"/>
      <c r="AG4" s="178"/>
      <c r="AH4" s="314" t="str">
        <f>IFERROR(VLOOKUP(基本資料填寫!$E$1&amp;"-"&amp;ROW(書籍檔建置!CB1),基本資料填寫!$E:$EU,COLUMN(基本資料填寫!CF1),0),"")</f>
        <v>A</v>
      </c>
      <c r="AI4" s="314" t="str">
        <f>IFERROR(VLOOKUP(基本資料填寫!$E$1&amp;"-"&amp;ROW(書籍檔建置!CC1),基本資料填寫!$E:$EU,COLUMN(基本資料填寫!CG1),0),"")</f>
        <v>1973B</v>
      </c>
      <c r="AJ4" s="314" t="str">
        <f>IFERROR(VLOOKUP(基本資料填寫!$E$1&amp;"-"&amp;ROW(書籍檔建置!H1),基本資料填寫!$E:$EU,COLUMN(基本資料填寫!K1),0),"")</f>
        <v>TA-4CI</v>
      </c>
      <c r="AK4" s="314" t="str">
        <f>IFERROR(VLOOKUP(基本資料填寫!$E$1&amp;"-"&amp;ROW(書籍檔建置!CF1),基本資料填寫!$E:$EU,COLUMN(基本資料填寫!CJ1),0),"")</f>
        <v>2</v>
      </c>
      <c r="AL4" s="314">
        <f>IFERROR(VLOOKUP(基本資料填寫!$E$1&amp;"-"&amp;ROW(書籍檔建置!CG1),基本資料填寫!$E:$EU,COLUMN(基本資料填寫!CK1),0),"")</f>
        <v>3</v>
      </c>
      <c r="AM4" s="314" t="str">
        <f>IFERROR(VLOOKUP(基本資料填寫!$E$1&amp;"-"&amp;ROW(書籍檔建置!BP1),基本資料填寫!$E:$EU,COLUMN(基本資料填寫!BT1),0),"")</f>
        <v>B21317</v>
      </c>
      <c r="AN4" s="153"/>
      <c r="AO4" s="178"/>
    </row>
    <row r="5" spans="1:41" s="117" customFormat="1" ht="32.4" x14ac:dyDescent="0.3">
      <c r="A5" s="117" t="s">
        <v>629</v>
      </c>
      <c r="B5" s="47">
        <f>IF(F5="","",COUNTA($F$4:F5))</f>
        <v>2</v>
      </c>
      <c r="C5" s="314" t="str">
        <f>IFERROR(VLOOKUP(基本資料填寫!$E$1&amp;"-"&amp;ROW(書籍檔建置!K2),基本資料填寫!$E:$EU,COLUMN(基本資料填寫!O2),0),"")</f>
        <v>5805</v>
      </c>
      <c r="D5" s="314" t="str">
        <f>IFERROR(VLOOKUP(基本資料填寫!$E$1&amp;"-"&amp;ROW(書籍檔建置!N2),基本資料填寫!$E:$EU,COLUMN(基本資料填寫!R2),0),"")</f>
        <v>YETL22088</v>
      </c>
      <c r="E5" s="314" t="str">
        <f>IFERROR(VLOOKUP(基本資料填寫!$E$1&amp;"-"&amp;ROW(書籍檔建置!AF2),基本資料填寫!$E:$EU,COLUMN(基本資料填寫!AJ2),0),"")</f>
        <v>TELEPHONE SET</v>
      </c>
      <c r="F5" s="314" t="str">
        <f>IFERROR(VLOOKUP(基本資料填寫!$E$1&amp;"-"&amp;ROW(書籍檔建置!J2),基本資料填寫!$E:$EU,COLUMN(基本資料填寫!N2),0),"")</f>
        <v>12站壁掛式聲力電話</v>
      </c>
      <c r="G5" s="314" t="str">
        <f>IFERROR(VLOOKUP(基本資料填寫!$E$1&amp;"-"&amp;ROW(書籍檔建置!BO2),基本資料填寫!$E:$EU,COLUMN(基本資料填寫!BS2),0),"")</f>
        <v>C35</v>
      </c>
      <c r="H5" s="314" t="str">
        <f>IFERROR(VLOOKUP(基本資料填寫!$E$1&amp;"-"&amp;ROW(書籍檔建置!R2),基本資料填寫!$E:$EU,COLUMN(基本資料填寫!V2),0),"")</f>
        <v>EA</v>
      </c>
      <c r="I5" s="315" t="str">
        <f>IFERROR(VLOOKUP(基本資料填寫!$E$1&amp;"-"&amp;ROW(書籍檔建置!BQ2),基本資料填寫!$E:$EU,COLUMN(基本資料填寫!BU2),0),"")</f>
        <v>1</v>
      </c>
      <c r="J5" s="314" t="str">
        <f>IFERROR(VLOOKUP(基本資料填寫!$E$1&amp;"-"&amp;ROW(書籍檔建置!BW2),基本資料填寫!$E:$EU,COLUMN(基本資料填寫!CA2),0),"")</f>
        <v>C</v>
      </c>
      <c r="K5" s="314" t="str">
        <f>IFERROR(VLOOKUP(基本資料填寫!$E$1&amp;"-"&amp;ROW(書籍檔建置!BR2),基本資料填寫!$E:$EU,COLUMN(基本資料填寫!BV2),0),"")</f>
        <v>0</v>
      </c>
      <c r="L5" s="314" t="str">
        <f>IFERROR(VLOOKUP(基本資料填寫!$E$1&amp;"-"&amp;ROW(書籍檔建置!BS2),基本資料填寫!$E:$EU,COLUMN(基本資料填寫!BW2),0),"")</f>
        <v>C</v>
      </c>
      <c r="M5" s="166" t="str">
        <f>IFERROR(VLOOKUP(基本資料填寫!$E$1&amp;"-"&amp;ROW(書籍檔建置!BK2),基本資料填寫!$E:$EU,COLUMN(基本資料填寫!BO2),0),"")</f>
        <v>C</v>
      </c>
      <c r="N5" s="314" t="str">
        <f>IFERROR(VLOOKUP(基本資料填寫!$E$1&amp;"-"&amp;ROW(書籍檔建置!AG2),基本資料填寫!$E:$EU,COLUMN(基本資料填寫!AK2),0),"")</f>
        <v>00307</v>
      </c>
      <c r="O5" s="314" t="str">
        <f>IFERROR(VLOOKUP(基本資料填寫!$E$1&amp;"-"&amp;ROW(書籍檔建置!BT2),基本資料填寫!$E:$EU,COLUMN(基本資料填寫!BX2),0),"")</f>
        <v>U</v>
      </c>
      <c r="P5" s="314" t="str">
        <f>IFERROR(VLOOKUP(基本資料填寫!$E$1&amp;"-"&amp;ROW(書籍檔建置!BU2),基本資料填寫!$E:$EU,COLUMN(基本資料填寫!BY2),0),"")</f>
        <v>M</v>
      </c>
      <c r="Q5" s="314" t="str">
        <f>IFERROR(VLOOKUP(基本資料填寫!$E$1&amp;"-"&amp;ROW(書籍檔建置!BV2),基本資料填寫!$E:$EU,COLUMN(基本資料填寫!BZ2),0),"")</f>
        <v>E</v>
      </c>
      <c r="R5" s="314" t="str">
        <f>IFERROR(VLOOKUP(基本資料填寫!$E$1&amp;"-"&amp;ROW(書籍檔建置!BX2),基本資料填寫!$E:$EU,COLUMN(基本資料填寫!CB2),0),"")</f>
        <v>A</v>
      </c>
      <c r="S5" s="314" t="str">
        <f>IFERROR(VLOOKUP(基本資料填寫!$E$1&amp;"-"&amp;ROW(書籍檔建置!BY2),基本資料填寫!$E:$EU,COLUMN(基本資料填寫!CC2),0),"")</f>
        <v>00</v>
      </c>
      <c r="T5" s="314" t="str">
        <f>IFERROR(VLOOKUP(基本資料填寫!$E$1&amp;"-"&amp;ROW(書籍檔建置!BZ2),基本資料填寫!$E:$EU,COLUMN(基本資料填寫!CD2),0),"")</f>
        <v>E</v>
      </c>
      <c r="U5" s="314" t="str">
        <f>IFERROR(VLOOKUP(基本資料填寫!$E$1&amp;"-"&amp;ROW(書籍檔建置!CA2),基本資料填寫!$E:$EU,COLUMN(基本資料填寫!CE2),0),"")</f>
        <v>0</v>
      </c>
      <c r="V5" s="166">
        <f>IFERROR(VLOOKUP(基本資料填寫!$E$1&amp;"-"&amp;ROW(書籍檔建置!BL2),基本資料填寫!$E:$EU,COLUMN(基本資料填寫!BP2),0),"")</f>
        <v>4</v>
      </c>
      <c r="W5" s="178"/>
      <c r="X5" s="178"/>
      <c r="Y5" s="178"/>
      <c r="Z5" s="178"/>
      <c r="AA5" s="178"/>
      <c r="AB5" s="178"/>
      <c r="AC5" s="314">
        <f>IFERROR(VLOOKUP(基本資料填寫!$E$1&amp;"-"&amp;ROW(書籍檔建置!S2),基本資料填寫!$E:$EU,COLUMN(基本資料填寫!W2),0),"")</f>
        <v>1200</v>
      </c>
      <c r="AD5" s="166">
        <f>IFERROR(VLOOKUP(基本資料填寫!$E$1&amp;"-"&amp;ROW(書籍檔建置!BM2),基本資料填寫!$E:$EU,COLUMN(基本資料填寫!BQ2),0),"")</f>
        <v>0</v>
      </c>
      <c r="AE5" s="178"/>
      <c r="AF5" s="178"/>
      <c r="AG5" s="178"/>
      <c r="AH5" s="314" t="str">
        <f>IFERROR(VLOOKUP(基本資料填寫!$E$1&amp;"-"&amp;ROW(書籍檔建置!CB2),基本資料填寫!$E:$EU,COLUMN(基本資料填寫!CF2),0),"")</f>
        <v>A</v>
      </c>
      <c r="AI5" s="314" t="str">
        <f>IFERROR(VLOOKUP(基本資料填寫!$E$1&amp;"-"&amp;ROW(書籍檔建置!CC2),基本資料填寫!$E:$EU,COLUMN(基本資料填寫!CG2),0),"")</f>
        <v>1973B</v>
      </c>
      <c r="AJ5" s="314" t="str">
        <f>IFERROR(VLOOKUP(基本資料填寫!$E$1&amp;"-"&amp;ROW(書籍檔建置!H2),基本資料填寫!$E:$EU,COLUMN(基本資料填寫!K2),0),"")</f>
        <v>455.029.4.21H</v>
      </c>
      <c r="AK5" s="314" t="str">
        <f>IFERROR(VLOOKUP(基本資料填寫!$E$1&amp;"-"&amp;ROW(書籍檔建置!CF2),基本資料填寫!$E:$EU,COLUMN(基本資料填寫!CJ2),0),"")</f>
        <v>2</v>
      </c>
      <c r="AL5" s="314">
        <f>IFERROR(VLOOKUP(基本資料填寫!$E$1&amp;"-"&amp;ROW(書籍檔建置!CG2),基本資料填寫!$E:$EU,COLUMN(基本資料填寫!CK2),0),"")</f>
        <v>3</v>
      </c>
      <c r="AM5" s="314" t="str">
        <f>IFERROR(VLOOKUP(基本資料填寫!$E$1&amp;"-"&amp;ROW(書籍檔建置!BP2),基本資料填寫!$E:$EU,COLUMN(基本資料填寫!BT2),0),"")</f>
        <v>B21317</v>
      </c>
      <c r="AN5" s="153"/>
      <c r="AO5" s="178"/>
    </row>
    <row r="6" spans="1:41" s="117" customFormat="1" ht="32.4" x14ac:dyDescent="0.3">
      <c r="A6" s="117" t="s">
        <v>157</v>
      </c>
      <c r="B6" s="47">
        <f>IF(F6="","",COUNTA($F$4:F6))</f>
        <v>3</v>
      </c>
      <c r="C6" s="314" t="str">
        <f>IFERROR(VLOOKUP(基本資料填寫!$E$1&amp;"-"&amp;ROW(書籍檔建置!K3),基本資料填寫!$E:$EU,COLUMN(基本資料填寫!O3),0),"")</f>
        <v>5805</v>
      </c>
      <c r="D6" s="314" t="str">
        <f>IFERROR(VLOOKUP(基本資料填寫!$E$1&amp;"-"&amp;ROW(書籍檔建置!N3),基本資料填寫!$E:$EU,COLUMN(基本資料填寫!R3),0),"")</f>
        <v>YETL22087</v>
      </c>
      <c r="E6" s="314" t="str">
        <f>IFERROR(VLOOKUP(基本資料填寫!$E$1&amp;"-"&amp;ROW(書籍檔建置!AF3),基本資料填寫!$E:$EU,COLUMN(基本資料填寫!AJ3),0),"")</f>
        <v>TELEPHONE SET</v>
      </c>
      <c r="F6" s="314" t="str">
        <f>IFERROR(VLOOKUP(基本資料填寫!$E$1&amp;"-"&amp;ROW(書籍檔建置!J3),基本資料填寫!$E:$EU,COLUMN(基本資料填寫!N3),0),"")</f>
        <v>24站壁掛式聲力電話</v>
      </c>
      <c r="G6" s="314" t="str">
        <f>IFERROR(VLOOKUP(基本資料填寫!$E$1&amp;"-"&amp;ROW(書籍檔建置!BO3),基本資料填寫!$E:$EU,COLUMN(基本資料填寫!BS3),0),"")</f>
        <v>C35</v>
      </c>
      <c r="H6" s="314" t="str">
        <f>IFERROR(VLOOKUP(基本資料填寫!$E$1&amp;"-"&amp;ROW(書籍檔建置!R3),基本資料填寫!$E:$EU,COLUMN(基本資料填寫!V3),0),"")</f>
        <v>EA</v>
      </c>
      <c r="I6" s="315" t="str">
        <f>IFERROR(VLOOKUP(基本資料填寫!$E$1&amp;"-"&amp;ROW(書籍檔建置!BQ3),基本資料填寫!$E:$EU,COLUMN(基本資料填寫!BU3),0),"")</f>
        <v>1</v>
      </c>
      <c r="J6" s="314" t="str">
        <f>IFERROR(VLOOKUP(基本資料填寫!$E$1&amp;"-"&amp;ROW(書籍檔建置!BW3),基本資料填寫!$E:$EU,COLUMN(基本資料填寫!CA3),0),"")</f>
        <v>C</v>
      </c>
      <c r="K6" s="314" t="str">
        <f>IFERROR(VLOOKUP(基本資料填寫!$E$1&amp;"-"&amp;ROW(書籍檔建置!BR3),基本資料填寫!$E:$EU,COLUMN(基本資料填寫!BV3),0),"")</f>
        <v>0</v>
      </c>
      <c r="L6" s="314" t="str">
        <f>IFERROR(VLOOKUP(基本資料填寫!$E$1&amp;"-"&amp;ROW(書籍檔建置!BS3),基本資料填寫!$E:$EU,COLUMN(基本資料填寫!BW3),0),"")</f>
        <v>C</v>
      </c>
      <c r="M6" s="166" t="str">
        <f>IFERROR(VLOOKUP(基本資料填寫!$E$1&amp;"-"&amp;ROW(書籍檔建置!BK3),基本資料填寫!$E:$EU,COLUMN(基本資料填寫!BO3),0),"")</f>
        <v>C</v>
      </c>
      <c r="N6" s="314" t="str">
        <f>IFERROR(VLOOKUP(基本資料填寫!$E$1&amp;"-"&amp;ROW(書籍檔建置!AG3),基本資料填寫!$E:$EU,COLUMN(基本資料填寫!AK3),0),"")</f>
        <v>00307</v>
      </c>
      <c r="O6" s="314" t="str">
        <f>IFERROR(VLOOKUP(基本資料填寫!$E$1&amp;"-"&amp;ROW(書籍檔建置!BT3),基本資料填寫!$E:$EU,COLUMN(基本資料填寫!BX3),0),"")</f>
        <v>U</v>
      </c>
      <c r="P6" s="314" t="str">
        <f>IFERROR(VLOOKUP(基本資料填寫!$E$1&amp;"-"&amp;ROW(書籍檔建置!BU3),基本資料填寫!$E:$EU,COLUMN(基本資料填寫!BY3),0),"")</f>
        <v>M</v>
      </c>
      <c r="Q6" s="314" t="str">
        <f>IFERROR(VLOOKUP(基本資料填寫!$E$1&amp;"-"&amp;ROW(書籍檔建置!BV3),基本資料填寫!$E:$EU,COLUMN(基本資料填寫!BZ3),0),"")</f>
        <v>E</v>
      </c>
      <c r="R6" s="314" t="str">
        <f>IFERROR(VLOOKUP(基本資料填寫!$E$1&amp;"-"&amp;ROW(書籍檔建置!BX3),基本資料填寫!$E:$EU,COLUMN(基本資料填寫!CB3),0),"")</f>
        <v>A</v>
      </c>
      <c r="S6" s="314" t="str">
        <f>IFERROR(VLOOKUP(基本資料填寫!$E$1&amp;"-"&amp;ROW(書籍檔建置!BY3),基本資料填寫!$E:$EU,COLUMN(基本資料填寫!CC3),0),"")</f>
        <v>00</v>
      </c>
      <c r="T6" s="314" t="str">
        <f>IFERROR(VLOOKUP(基本資料填寫!$E$1&amp;"-"&amp;ROW(書籍檔建置!BZ3),基本資料填寫!$E:$EU,COLUMN(基本資料填寫!CD3),0),"")</f>
        <v>E</v>
      </c>
      <c r="U6" s="314" t="str">
        <f>IFERROR(VLOOKUP(基本資料填寫!$E$1&amp;"-"&amp;ROW(書籍檔建置!CA3),基本資料填寫!$E:$EU,COLUMN(基本資料填寫!CE3),0),"")</f>
        <v>0</v>
      </c>
      <c r="V6" s="166">
        <f>IFERROR(VLOOKUP(基本資料填寫!$E$1&amp;"-"&amp;ROW(書籍檔建置!BL3),基本資料填寫!$E:$EU,COLUMN(基本資料填寫!BP3),0),"")</f>
        <v>4</v>
      </c>
      <c r="W6" s="178"/>
      <c r="X6" s="178"/>
      <c r="Y6" s="178"/>
      <c r="Z6" s="178"/>
      <c r="AA6" s="178"/>
      <c r="AB6" s="178"/>
      <c r="AC6" s="314">
        <f>IFERROR(VLOOKUP(基本資料填寫!$E$1&amp;"-"&amp;ROW(書籍檔建置!S3),基本資料填寫!$E:$EU,COLUMN(基本資料填寫!W3),0),"")</f>
        <v>1200</v>
      </c>
      <c r="AD6" s="166">
        <f>IFERROR(VLOOKUP(基本資料填寫!$E$1&amp;"-"&amp;ROW(書籍檔建置!BM3),基本資料填寫!$E:$EU,COLUMN(基本資料填寫!BQ3),0),"")</f>
        <v>0</v>
      </c>
      <c r="AE6" s="178"/>
      <c r="AF6" s="178"/>
      <c r="AG6" s="178"/>
      <c r="AH6" s="314" t="str">
        <f>IFERROR(VLOOKUP(基本資料填寫!$E$1&amp;"-"&amp;ROW(書籍檔建置!CB3),基本資料填寫!$E:$EU,COLUMN(基本資料填寫!CF3),0),"")</f>
        <v>A</v>
      </c>
      <c r="AI6" s="314" t="str">
        <f>IFERROR(VLOOKUP(基本資料填寫!$E$1&amp;"-"&amp;ROW(書籍檔建置!CC3),基本資料填寫!$E:$EU,COLUMN(基本資料填寫!CG3),0),"")</f>
        <v>1973B</v>
      </c>
      <c r="AJ6" s="314" t="str">
        <f>IFERROR(VLOOKUP(基本資料填寫!$E$1&amp;"-"&amp;ROW(書籍檔建置!H3),基本資料填寫!$E:$EU,COLUMN(基本資料填寫!K3),0),"")</f>
        <v>455.031.4.16H</v>
      </c>
      <c r="AK6" s="314" t="str">
        <f>IFERROR(VLOOKUP(基本資料填寫!$E$1&amp;"-"&amp;ROW(書籍檔建置!CF3),基本資料填寫!$E:$EU,COLUMN(基本資料填寫!CJ3),0),"")</f>
        <v>2</v>
      </c>
      <c r="AL6" s="314">
        <f>IFERROR(VLOOKUP(基本資料填寫!$E$1&amp;"-"&amp;ROW(書籍檔建置!CG3),基本資料填寫!$E:$EU,COLUMN(基本資料填寫!CK3),0),"")</f>
        <v>3</v>
      </c>
      <c r="AM6" s="314" t="str">
        <f>IFERROR(VLOOKUP(基本資料填寫!$E$1&amp;"-"&amp;ROW(書籍檔建置!BP3),基本資料填寫!$E:$EU,COLUMN(基本資料填寫!BT3),0),"")</f>
        <v>B21317</v>
      </c>
      <c r="AN6" s="153"/>
      <c r="AO6" s="178"/>
    </row>
    <row r="7" spans="1:41" s="117" customFormat="1" x14ac:dyDescent="0.3">
      <c r="B7" s="47">
        <f>IF(F7="","",COUNTA($F$4:F7))</f>
        <v>4</v>
      </c>
      <c r="C7" s="314" t="str">
        <f>IFERROR(VLOOKUP(基本資料填寫!$E$1&amp;"-"&amp;ROW(書籍檔建置!K4),基本資料填寫!$E:$EU,COLUMN(基本資料填寫!O4),0),"")</f>
        <v>5805</v>
      </c>
      <c r="D7" s="314" t="str">
        <f>IFERROR(VLOOKUP(基本資料填寫!$E$1&amp;"-"&amp;ROW(書籍檔建置!N4),基本資料填寫!$E:$EU,COLUMN(基本資料填寫!R4),0),"")</f>
        <v>YETL22086</v>
      </c>
      <c r="E7" s="314" t="str">
        <f>IFERROR(VLOOKUP(基本資料填寫!$E$1&amp;"-"&amp;ROW(書籍檔建置!AF4),基本資料填寫!$E:$EU,COLUMN(基本資料填寫!AJ4),0),"")</f>
        <v>TELEPHONE SET</v>
      </c>
      <c r="F7" s="314" t="str">
        <f>IFERROR(VLOOKUP(基本資料填寫!$E$1&amp;"-"&amp;ROW(書籍檔建置!J4),基本資料填寫!$E:$EU,COLUMN(基本資料填寫!N4),0),"")</f>
        <v>12站埋入式聲力電話</v>
      </c>
      <c r="G7" s="314" t="str">
        <f>IFERROR(VLOOKUP(基本資料填寫!$E$1&amp;"-"&amp;ROW(書籍檔建置!BO4),基本資料填寫!$E:$EU,COLUMN(基本資料填寫!BS4),0),"")</f>
        <v>C35</v>
      </c>
      <c r="H7" s="314" t="str">
        <f>IFERROR(VLOOKUP(基本資料填寫!$E$1&amp;"-"&amp;ROW(書籍檔建置!R4),基本資料填寫!$E:$EU,COLUMN(基本資料填寫!V4),0),"")</f>
        <v>EA</v>
      </c>
      <c r="I7" s="315" t="str">
        <f>IFERROR(VLOOKUP(基本資料填寫!$E$1&amp;"-"&amp;ROW(書籍檔建置!BQ4),基本資料填寫!$E:$EU,COLUMN(基本資料填寫!BU4),0),"")</f>
        <v>1</v>
      </c>
      <c r="J7" s="314" t="str">
        <f>IFERROR(VLOOKUP(基本資料填寫!$E$1&amp;"-"&amp;ROW(書籍檔建置!BW4),基本資料填寫!$E:$EU,COLUMN(基本資料填寫!CA4),0),"")</f>
        <v>C</v>
      </c>
      <c r="K7" s="314" t="str">
        <f>IFERROR(VLOOKUP(基本資料填寫!$E$1&amp;"-"&amp;ROW(書籍檔建置!BR4),基本資料填寫!$E:$EU,COLUMN(基本資料填寫!BV4),0),"")</f>
        <v>0</v>
      </c>
      <c r="L7" s="314" t="str">
        <f>IFERROR(VLOOKUP(基本資料填寫!$E$1&amp;"-"&amp;ROW(書籍檔建置!BS4),基本資料填寫!$E:$EU,COLUMN(基本資料填寫!BW4),0),"")</f>
        <v>C</v>
      </c>
      <c r="M7" s="166" t="str">
        <f>IFERROR(VLOOKUP(基本資料填寫!$E$1&amp;"-"&amp;ROW(書籍檔建置!BK4),基本資料填寫!$E:$EU,COLUMN(基本資料填寫!BO4),0),"")</f>
        <v>C</v>
      </c>
      <c r="N7" s="314" t="str">
        <f>IFERROR(VLOOKUP(基本資料填寫!$E$1&amp;"-"&amp;ROW(書籍檔建置!AG4),基本資料填寫!$E:$EU,COLUMN(基本資料填寫!AK4),0),"")</f>
        <v>00307</v>
      </c>
      <c r="O7" s="314" t="str">
        <f>IFERROR(VLOOKUP(基本資料填寫!$E$1&amp;"-"&amp;ROW(書籍檔建置!BT4),基本資料填寫!$E:$EU,COLUMN(基本資料填寫!BX4),0),"")</f>
        <v>U</v>
      </c>
      <c r="P7" s="314" t="str">
        <f>IFERROR(VLOOKUP(基本資料填寫!$E$1&amp;"-"&amp;ROW(書籍檔建置!BU4),基本資料填寫!$E:$EU,COLUMN(基本資料填寫!BY4),0),"")</f>
        <v>M</v>
      </c>
      <c r="Q7" s="314" t="str">
        <f>IFERROR(VLOOKUP(基本資料填寫!$E$1&amp;"-"&amp;ROW(書籍檔建置!BV4),基本資料填寫!$E:$EU,COLUMN(基本資料填寫!BZ4),0),"")</f>
        <v>E</v>
      </c>
      <c r="R7" s="314" t="str">
        <f>IFERROR(VLOOKUP(基本資料填寫!$E$1&amp;"-"&amp;ROW(書籍檔建置!BX4),基本資料填寫!$E:$EU,COLUMN(基本資料填寫!CB4),0),"")</f>
        <v>A</v>
      </c>
      <c r="S7" s="314" t="str">
        <f>IFERROR(VLOOKUP(基本資料填寫!$E$1&amp;"-"&amp;ROW(書籍檔建置!BY4),基本資料填寫!$E:$EU,COLUMN(基本資料填寫!CC4),0),"")</f>
        <v>00</v>
      </c>
      <c r="T7" s="314" t="str">
        <f>IFERROR(VLOOKUP(基本資料填寫!$E$1&amp;"-"&amp;ROW(書籍檔建置!BZ4),基本資料填寫!$E:$EU,COLUMN(基本資料填寫!CD4),0),"")</f>
        <v>E</v>
      </c>
      <c r="U7" s="314" t="str">
        <f>IFERROR(VLOOKUP(基本資料填寫!$E$1&amp;"-"&amp;ROW(書籍檔建置!CA4),基本資料填寫!$E:$EU,COLUMN(基本資料填寫!CE4),0),"")</f>
        <v>0</v>
      </c>
      <c r="V7" s="166">
        <f>IFERROR(VLOOKUP(基本資料填寫!$E$1&amp;"-"&amp;ROW(書籍檔建置!BL4),基本資料填寫!$E:$EU,COLUMN(基本資料填寫!BP4),0),"")</f>
        <v>4</v>
      </c>
      <c r="W7" s="178"/>
      <c r="X7" s="178"/>
      <c r="Y7" s="178"/>
      <c r="Z7" s="178"/>
      <c r="AA7" s="178"/>
      <c r="AB7" s="178"/>
      <c r="AC7" s="314">
        <f>IFERROR(VLOOKUP(基本資料填寫!$E$1&amp;"-"&amp;ROW(書籍檔建置!S4),基本資料填寫!$E:$EU,COLUMN(基本資料填寫!W4),0),"")</f>
        <v>1200</v>
      </c>
      <c r="AD7" s="166">
        <f>IFERROR(VLOOKUP(基本資料填寫!$E$1&amp;"-"&amp;ROW(書籍檔建置!BM4),基本資料填寫!$E:$EU,COLUMN(基本資料填寫!BQ4),0),"")</f>
        <v>0</v>
      </c>
      <c r="AE7" s="178"/>
      <c r="AF7" s="178"/>
      <c r="AG7" s="178"/>
      <c r="AH7" s="314" t="str">
        <f>IFERROR(VLOOKUP(基本資料填寫!$E$1&amp;"-"&amp;ROW(書籍檔建置!CB4),基本資料填寫!$E:$EU,COLUMN(基本資料填寫!CF4),0),"")</f>
        <v>A</v>
      </c>
      <c r="AI7" s="314" t="str">
        <f>IFERROR(VLOOKUP(基本資料填寫!$E$1&amp;"-"&amp;ROW(書籍檔建置!CC4),基本資料填寫!$E:$EU,COLUMN(基本資料填寫!CG4),0),"")</f>
        <v>1973B</v>
      </c>
      <c r="AJ7" s="314" t="str">
        <f>IFERROR(VLOOKUP(基本資料填寫!$E$1&amp;"-"&amp;ROW(書籍檔建置!H4),基本資料填寫!$E:$EU,COLUMN(基本資料填寫!K4),0),"")</f>
        <v xml:space="preserve"> 455.005.7H</v>
      </c>
      <c r="AK7" s="314" t="str">
        <f>IFERROR(VLOOKUP(基本資料填寫!$E$1&amp;"-"&amp;ROW(書籍檔建置!CF4),基本資料填寫!$E:$EU,COLUMN(基本資料填寫!CJ4),0),"")</f>
        <v>2</v>
      </c>
      <c r="AL7" s="314">
        <f>IFERROR(VLOOKUP(基本資料填寫!$E$1&amp;"-"&amp;ROW(書籍檔建置!CG4),基本資料填寫!$E:$EU,COLUMN(基本資料填寫!CK4),0),"")</f>
        <v>3</v>
      </c>
      <c r="AM7" s="314" t="str">
        <f>IFERROR(VLOOKUP(基本資料填寫!$E$1&amp;"-"&amp;ROW(書籍檔建置!BP4),基本資料填寫!$E:$EU,COLUMN(基本資料填寫!BT4),0),"")</f>
        <v>B21317</v>
      </c>
      <c r="AN7" s="153"/>
      <c r="AO7" s="178"/>
    </row>
    <row r="8" spans="1:41" s="117" customFormat="1" x14ac:dyDescent="0.3">
      <c r="B8" s="47">
        <f>IF(F8="","",COUNTA($F$4:F8))</f>
        <v>5</v>
      </c>
      <c r="C8" s="314" t="str">
        <f>IFERROR(VLOOKUP(基本資料填寫!$E$1&amp;"-"&amp;ROW(書籍檔建置!K5),基本資料填寫!$E:$EU,COLUMN(基本資料填寫!O5),0),"")</f>
        <v>5805</v>
      </c>
      <c r="D8" s="314" t="str">
        <f>IFERROR(VLOOKUP(基本資料填寫!$E$1&amp;"-"&amp;ROW(書籍檔建置!N5),基本資料填寫!$E:$EU,COLUMN(基本資料填寫!R5),0),"")</f>
        <v>YETL22085</v>
      </c>
      <c r="E8" s="314" t="str">
        <f>IFERROR(VLOOKUP(基本資料填寫!$E$1&amp;"-"&amp;ROW(書籍檔建置!AF5),基本資料填寫!$E:$EU,COLUMN(基本資料填寫!AJ5),0),"")</f>
        <v>TELEPHONE SET</v>
      </c>
      <c r="F8" s="314" t="str">
        <f>IFERROR(VLOOKUP(基本資料填寫!$E$1&amp;"-"&amp;ROW(書籍檔建置!J5),基本資料填寫!$E:$EU,COLUMN(基本資料填寫!N5),0),"")</f>
        <v>24站埋入式聲力電話</v>
      </c>
      <c r="G8" s="314" t="str">
        <f>IFERROR(VLOOKUP(基本資料填寫!$E$1&amp;"-"&amp;ROW(書籍檔建置!BO5),基本資料填寫!$E:$EU,COLUMN(基本資料填寫!BS5),0),"")</f>
        <v>C35</v>
      </c>
      <c r="H8" s="314" t="str">
        <f>IFERROR(VLOOKUP(基本資料填寫!$E$1&amp;"-"&amp;ROW(書籍檔建置!R5),基本資料填寫!$E:$EU,COLUMN(基本資料填寫!V5),0),"")</f>
        <v>EA</v>
      </c>
      <c r="I8" s="315" t="str">
        <f>IFERROR(VLOOKUP(基本資料填寫!$E$1&amp;"-"&amp;ROW(書籍檔建置!BQ5),基本資料填寫!$E:$EU,COLUMN(基本資料填寫!BU5),0),"")</f>
        <v>1</v>
      </c>
      <c r="J8" s="314" t="str">
        <f>IFERROR(VLOOKUP(基本資料填寫!$E$1&amp;"-"&amp;ROW(書籍檔建置!BW5),基本資料填寫!$E:$EU,COLUMN(基本資料填寫!CA5),0),"")</f>
        <v>C</v>
      </c>
      <c r="K8" s="314" t="str">
        <f>IFERROR(VLOOKUP(基本資料填寫!$E$1&amp;"-"&amp;ROW(書籍檔建置!BR5),基本資料填寫!$E:$EU,COLUMN(基本資料填寫!BV5),0),"")</f>
        <v>0</v>
      </c>
      <c r="L8" s="314" t="str">
        <f>IFERROR(VLOOKUP(基本資料填寫!$E$1&amp;"-"&amp;ROW(書籍檔建置!BS5),基本資料填寫!$E:$EU,COLUMN(基本資料填寫!BW5),0),"")</f>
        <v>C</v>
      </c>
      <c r="M8" s="166" t="str">
        <f>IFERROR(VLOOKUP(基本資料填寫!$E$1&amp;"-"&amp;ROW(書籍檔建置!BK5),基本資料填寫!$E:$EU,COLUMN(基本資料填寫!BO5),0),"")</f>
        <v>C</v>
      </c>
      <c r="N8" s="314" t="str">
        <f>IFERROR(VLOOKUP(基本資料填寫!$E$1&amp;"-"&amp;ROW(書籍檔建置!AG5),基本資料填寫!$E:$EU,COLUMN(基本資料填寫!AK5),0),"")</f>
        <v>00307</v>
      </c>
      <c r="O8" s="314" t="str">
        <f>IFERROR(VLOOKUP(基本資料填寫!$E$1&amp;"-"&amp;ROW(書籍檔建置!BT5),基本資料填寫!$E:$EU,COLUMN(基本資料填寫!BX5),0),"")</f>
        <v>U</v>
      </c>
      <c r="P8" s="314" t="str">
        <f>IFERROR(VLOOKUP(基本資料填寫!$E$1&amp;"-"&amp;ROW(書籍檔建置!BU5),基本資料填寫!$E:$EU,COLUMN(基本資料填寫!BY5),0),"")</f>
        <v>M</v>
      </c>
      <c r="Q8" s="314" t="str">
        <f>IFERROR(VLOOKUP(基本資料填寫!$E$1&amp;"-"&amp;ROW(書籍檔建置!BV5),基本資料填寫!$E:$EU,COLUMN(基本資料填寫!BZ5),0),"")</f>
        <v>E</v>
      </c>
      <c r="R8" s="314" t="str">
        <f>IFERROR(VLOOKUP(基本資料填寫!$E$1&amp;"-"&amp;ROW(書籍檔建置!BX5),基本資料填寫!$E:$EU,COLUMN(基本資料填寫!CB5),0),"")</f>
        <v>A</v>
      </c>
      <c r="S8" s="314" t="str">
        <f>IFERROR(VLOOKUP(基本資料填寫!$E$1&amp;"-"&amp;ROW(書籍檔建置!BY5),基本資料填寫!$E:$EU,COLUMN(基本資料填寫!CC5),0),"")</f>
        <v>00</v>
      </c>
      <c r="T8" s="314" t="str">
        <f>IFERROR(VLOOKUP(基本資料填寫!$E$1&amp;"-"&amp;ROW(書籍檔建置!BZ5),基本資料填寫!$E:$EU,COLUMN(基本資料填寫!CD5),0),"")</f>
        <v>E</v>
      </c>
      <c r="U8" s="314" t="str">
        <f>IFERROR(VLOOKUP(基本資料填寫!$E$1&amp;"-"&amp;ROW(書籍檔建置!CA5),基本資料填寫!$E:$EU,COLUMN(基本資料填寫!CE5),0),"")</f>
        <v>0</v>
      </c>
      <c r="V8" s="166">
        <f>IFERROR(VLOOKUP(基本資料填寫!$E$1&amp;"-"&amp;ROW(書籍檔建置!BL5),基本資料填寫!$E:$EU,COLUMN(基本資料填寫!BP5),0),"")</f>
        <v>4</v>
      </c>
      <c r="W8" s="178"/>
      <c r="X8" s="178"/>
      <c r="Y8" s="178"/>
      <c r="Z8" s="178"/>
      <c r="AA8" s="178"/>
      <c r="AB8" s="178"/>
      <c r="AC8" s="314">
        <f>IFERROR(VLOOKUP(基本資料填寫!$E$1&amp;"-"&amp;ROW(書籍檔建置!S5),基本資料填寫!$E:$EU,COLUMN(基本資料填寫!W5),0),"")</f>
        <v>1200</v>
      </c>
      <c r="AD8" s="166">
        <f>IFERROR(VLOOKUP(基本資料填寫!$E$1&amp;"-"&amp;ROW(書籍檔建置!BM5),基本資料填寫!$E:$EU,COLUMN(基本資料填寫!BQ5),0),"")</f>
        <v>0</v>
      </c>
      <c r="AE8" s="178"/>
      <c r="AF8" s="178"/>
      <c r="AG8" s="178"/>
      <c r="AH8" s="314" t="str">
        <f>IFERROR(VLOOKUP(基本資料填寫!$E$1&amp;"-"&amp;ROW(書籍檔建置!CB5),基本資料填寫!$E:$EU,COLUMN(基本資料填寫!CF5),0),"")</f>
        <v>A</v>
      </c>
      <c r="AI8" s="314" t="str">
        <f>IFERROR(VLOOKUP(基本資料填寫!$E$1&amp;"-"&amp;ROW(書籍檔建置!CC5),基本資料填寫!$E:$EU,COLUMN(基本資料填寫!CG5),0),"")</f>
        <v>1973B</v>
      </c>
      <c r="AJ8" s="314" t="str">
        <f>IFERROR(VLOOKUP(基本資料填寫!$E$1&amp;"-"&amp;ROW(書籍檔建置!H5),基本資料填寫!$E:$EU,COLUMN(基本資料填寫!K5),0),"")</f>
        <v>455.029.4.12H</v>
      </c>
      <c r="AK8" s="314" t="str">
        <f>IFERROR(VLOOKUP(基本資料填寫!$E$1&amp;"-"&amp;ROW(書籍檔建置!CF5),基本資料填寫!$E:$EU,COLUMN(基本資料填寫!CJ5),0),"")</f>
        <v>2</v>
      </c>
      <c r="AL8" s="314">
        <f>IFERROR(VLOOKUP(基本資料填寫!$E$1&amp;"-"&amp;ROW(書籍檔建置!CG5),基本資料填寫!$E:$EU,COLUMN(基本資料填寫!CK5),0),"")</f>
        <v>3</v>
      </c>
      <c r="AM8" s="314" t="str">
        <f>IFERROR(VLOOKUP(基本資料填寫!$E$1&amp;"-"&amp;ROW(書籍檔建置!BP5),基本資料填寫!$E:$EU,COLUMN(基本資料填寫!BT5),0),"")</f>
        <v>B21317</v>
      </c>
      <c r="AN8" s="153"/>
      <c r="AO8" s="178"/>
    </row>
    <row r="9" spans="1:41" s="117" customFormat="1" x14ac:dyDescent="0.3">
      <c r="B9" s="47">
        <f>IF(F9="","",COUNTA($F$4:F9))</f>
        <v>6</v>
      </c>
      <c r="C9" s="314" t="str">
        <f>IFERROR(VLOOKUP(基本資料填寫!$E$1&amp;"-"&amp;ROW(書籍檔建置!K6),基本資料填寫!$E:$EU,COLUMN(基本資料填寫!O6),0),"")</f>
        <v>5965</v>
      </c>
      <c r="D9" s="314" t="str">
        <f>IFERROR(VLOOKUP(基本資料填寫!$E$1&amp;"-"&amp;ROW(書籍檔建置!N6),基本資料填寫!$E:$EU,COLUMN(基本資料填寫!R6),0),"")</f>
        <v>YETL申請中</v>
      </c>
      <c r="E9" s="314" t="str">
        <f>IFERROR(VLOOKUP(基本資料填寫!$E$1&amp;"-"&amp;ROW(書籍檔建置!AF6),基本資料填寫!$E:$EU,COLUMN(基本資料填寫!AJ6),0),"")</f>
        <v xml:space="preserve">	HEADSET-CHEST SET,ELECTRICAL</v>
      </c>
      <c r="F9" s="314" t="str">
        <f>IFERROR(VLOOKUP(基本資料填寫!$E$1&amp;"-"&amp;ROW(書籍檔建置!J6),基本資料填寫!$E:$EU,COLUMN(基本資料填寫!N6),0),"")</f>
        <v>頭戴式聲力電話</v>
      </c>
      <c r="G9" s="314" t="str">
        <f>IFERROR(VLOOKUP(基本資料填寫!$E$1&amp;"-"&amp;ROW(書籍檔建置!BO6),基本資料填寫!$E:$EU,COLUMN(基本資料填寫!BS6),0),"")</f>
        <v>C35</v>
      </c>
      <c r="H9" s="314" t="str">
        <f>IFERROR(VLOOKUP(基本資料填寫!$E$1&amp;"-"&amp;ROW(書籍檔建置!R6),基本資料填寫!$E:$EU,COLUMN(基本資料填寫!V6),0),"")</f>
        <v>EA</v>
      </c>
      <c r="I9" s="315" t="str">
        <f>IFERROR(VLOOKUP(基本資料填寫!$E$1&amp;"-"&amp;ROW(書籍檔建置!BQ6),基本資料填寫!$E:$EU,COLUMN(基本資料填寫!BU6),0),"")</f>
        <v>1</v>
      </c>
      <c r="J9" s="314" t="str">
        <f>IFERROR(VLOOKUP(基本資料填寫!$E$1&amp;"-"&amp;ROW(書籍檔建置!BW6),基本資料填寫!$E:$EU,COLUMN(基本資料填寫!CA6),0),"")</f>
        <v>C</v>
      </c>
      <c r="K9" s="314" t="str">
        <f>IFERROR(VLOOKUP(基本資料填寫!$E$1&amp;"-"&amp;ROW(書籍檔建置!BR6),基本資料填寫!$E:$EU,COLUMN(基本資料填寫!BV6),0),"")</f>
        <v>0</v>
      </c>
      <c r="L9" s="314" t="str">
        <f>IFERROR(VLOOKUP(基本資料填寫!$E$1&amp;"-"&amp;ROW(書籍檔建置!BS6),基本資料填寫!$E:$EU,COLUMN(基本資料填寫!BW6),0),"")</f>
        <v>C</v>
      </c>
      <c r="M9" s="166" t="str">
        <f>IFERROR(VLOOKUP(基本資料填寫!$E$1&amp;"-"&amp;ROW(書籍檔建置!BK6),基本資料填寫!$E:$EU,COLUMN(基本資料填寫!BO6),0),"")</f>
        <v>C</v>
      </c>
      <c r="N9" s="314" t="str">
        <f>IFERROR(VLOOKUP(基本資料填寫!$E$1&amp;"-"&amp;ROW(書籍檔建置!AG6),基本資料填寫!$E:$EU,COLUMN(基本資料填寫!AK6),0),"")</f>
        <v>00710</v>
      </c>
      <c r="O9" s="314" t="str">
        <f>IFERROR(VLOOKUP(基本資料填寫!$E$1&amp;"-"&amp;ROW(書籍檔建置!BT6),基本資料填寫!$E:$EU,COLUMN(基本資料填寫!BX6),0),"")</f>
        <v>U</v>
      </c>
      <c r="P9" s="314" t="str">
        <f>IFERROR(VLOOKUP(基本資料填寫!$E$1&amp;"-"&amp;ROW(書籍檔建置!BU6),基本資料填寫!$E:$EU,COLUMN(基本資料填寫!BY6),0),"")</f>
        <v>M</v>
      </c>
      <c r="Q9" s="314" t="str">
        <f>IFERROR(VLOOKUP(基本資料填寫!$E$1&amp;"-"&amp;ROW(書籍檔建置!BV6),基本資料填寫!$E:$EU,COLUMN(基本資料填寫!BZ6),0),"")</f>
        <v>E</v>
      </c>
      <c r="R9" s="314" t="str">
        <f>IFERROR(VLOOKUP(基本資料填寫!$E$1&amp;"-"&amp;ROW(書籍檔建置!BX6),基本資料填寫!$E:$EU,COLUMN(基本資料填寫!CB6),0),"")</f>
        <v>A</v>
      </c>
      <c r="S9" s="314" t="str">
        <f>IFERROR(VLOOKUP(基本資料填寫!$E$1&amp;"-"&amp;ROW(書籍檔建置!BY6),基本資料填寫!$E:$EU,COLUMN(基本資料填寫!CC6),0),"")</f>
        <v>00</v>
      </c>
      <c r="T9" s="314" t="str">
        <f>IFERROR(VLOOKUP(基本資料填寫!$E$1&amp;"-"&amp;ROW(書籍檔建置!BZ6),基本資料填寫!$E:$EU,COLUMN(基本資料填寫!CD6),0),"")</f>
        <v>E</v>
      </c>
      <c r="U9" s="314" t="str">
        <f>IFERROR(VLOOKUP(基本資料填寫!$E$1&amp;"-"&amp;ROW(書籍檔建置!CA6),基本資料填寫!$E:$EU,COLUMN(基本資料填寫!CE6),0),"")</f>
        <v>0</v>
      </c>
      <c r="V9" s="166">
        <f>IFERROR(VLOOKUP(基本資料填寫!$E$1&amp;"-"&amp;ROW(書籍檔建置!BL6),基本資料填寫!$E:$EU,COLUMN(基本資料填寫!BP6),0),"")</f>
        <v>4</v>
      </c>
      <c r="W9" s="178"/>
      <c r="X9" s="178"/>
      <c r="Y9" s="178"/>
      <c r="Z9" s="178"/>
      <c r="AA9" s="178"/>
      <c r="AB9" s="178"/>
      <c r="AC9" s="314">
        <f>IFERROR(VLOOKUP(基本資料填寫!$E$1&amp;"-"&amp;ROW(書籍檔建置!S6),基本資料填寫!$E:$EU,COLUMN(基本資料填寫!W6),0),"")</f>
        <v>1200</v>
      </c>
      <c r="AD9" s="166" t="str">
        <f>IFERROR(VLOOKUP(基本資料填寫!$E$1&amp;"-"&amp;ROW(書籍檔建置!BM6),基本資料填寫!$E:$EU,COLUMN(基本資料填寫!BQ6),0),"")</f>
        <v>1.5-1.8</v>
      </c>
      <c r="AE9" s="178"/>
      <c r="AF9" s="178"/>
      <c r="AG9" s="178"/>
      <c r="AH9" s="314" t="str">
        <f>IFERROR(VLOOKUP(基本資料填寫!$E$1&amp;"-"&amp;ROW(書籍檔建置!CB6),基本資料填寫!$E:$EU,COLUMN(基本資料填寫!CF6),0),"")</f>
        <v>A</v>
      </c>
      <c r="AI9" s="314" t="str">
        <f>IFERROR(VLOOKUP(基本資料填寫!$E$1&amp;"-"&amp;ROW(書籍檔建置!CC6),基本資料填寫!$E:$EU,COLUMN(基本資料填寫!CG6),0),"")</f>
        <v>1973B</v>
      </c>
      <c r="AJ9" s="314" t="str">
        <f>IFERROR(VLOOKUP(基本資料填寫!$E$1&amp;"-"&amp;ROW(書籍檔建置!H6),基本資料填寫!$E:$EU,COLUMN(基本資料填寫!K6),0),"")</f>
        <v>350.500</v>
      </c>
      <c r="AK9" s="314" t="str">
        <f>IFERROR(VLOOKUP(基本資料填寫!$E$1&amp;"-"&amp;ROW(書籍檔建置!CF6),基本資料填寫!$E:$EU,COLUMN(基本資料填寫!CJ6),0),"")</f>
        <v>2</v>
      </c>
      <c r="AL9" s="314">
        <f>IFERROR(VLOOKUP(基本資料填寫!$E$1&amp;"-"&amp;ROW(書籍檔建置!CG6),基本資料填寫!$E:$EU,COLUMN(基本資料填寫!CK6),0),"")</f>
        <v>3</v>
      </c>
      <c r="AM9" s="314" t="str">
        <f>IFERROR(VLOOKUP(基本資料填寫!$E$1&amp;"-"&amp;ROW(書籍檔建置!BP6),基本資料填寫!$E:$EU,COLUMN(基本資料填寫!BT6),0),"")</f>
        <v>B21317</v>
      </c>
      <c r="AN9" s="153"/>
      <c r="AO9" s="178"/>
    </row>
    <row r="10" spans="1:41" s="117" customFormat="1" x14ac:dyDescent="0.3">
      <c r="B10" s="47">
        <f>IF(F10="","",COUNTA($F$4:F10))</f>
        <v>7</v>
      </c>
      <c r="C10" s="314" t="str">
        <f>IFERROR(VLOOKUP(基本資料填寫!$E$1&amp;"-"&amp;ROW(書籍檔建置!K7),基本資料填寫!$E:$EU,COLUMN(基本資料填寫!O7),0),"")</f>
        <v>5935</v>
      </c>
      <c r="D10" s="314" t="str">
        <f>IFERROR(VLOOKUP(基本資料填寫!$E$1&amp;"-"&amp;ROW(書籍檔建置!N7),基本資料填寫!$E:$EU,COLUMN(基本資料填寫!R7),0),"")</f>
        <v>YETL22089</v>
      </c>
      <c r="E10" s="314" t="str">
        <f>IFERROR(VLOOKUP(基本資料填寫!$E$1&amp;"-"&amp;ROW(書籍檔建置!AF7),基本資料填寫!$E:$EU,COLUMN(基本資料填寫!AJ7),0),"")</f>
        <v>JACK BOX</v>
      </c>
      <c r="F10" s="314" t="str">
        <f>IFERROR(VLOOKUP(基本資料填寫!$E$1&amp;"-"&amp;ROW(書籍檔建置!J7),基本資料填寫!$E:$EU,COLUMN(基本資料填寫!N7),0),"")</f>
        <v xml:space="preserve">聲力電話插座/埋入 </v>
      </c>
      <c r="G10" s="314" t="str">
        <f>IFERROR(VLOOKUP(基本資料填寫!$E$1&amp;"-"&amp;ROW(書籍檔建置!BO7),基本資料填寫!$E:$EU,COLUMN(基本資料填寫!BS7),0),"")</f>
        <v>C35</v>
      </c>
      <c r="H10" s="314" t="str">
        <f>IFERROR(VLOOKUP(基本資料填寫!$E$1&amp;"-"&amp;ROW(書籍檔建置!R7),基本資料填寫!$E:$EU,COLUMN(基本資料填寫!V7),0),"")</f>
        <v>EA</v>
      </c>
      <c r="I10" s="315" t="str">
        <f>IFERROR(VLOOKUP(基本資料填寫!$E$1&amp;"-"&amp;ROW(書籍檔建置!BQ7),基本資料填寫!$E:$EU,COLUMN(基本資料填寫!BU7),0),"")</f>
        <v>1</v>
      </c>
      <c r="J10" s="314" t="str">
        <f>IFERROR(VLOOKUP(基本資料填寫!$E$1&amp;"-"&amp;ROW(書籍檔建置!BW7),基本資料填寫!$E:$EU,COLUMN(基本資料填寫!CA7),0),"")</f>
        <v>C</v>
      </c>
      <c r="K10" s="314" t="str">
        <f>IFERROR(VLOOKUP(基本資料填寫!$E$1&amp;"-"&amp;ROW(書籍檔建置!BR7),基本資料填寫!$E:$EU,COLUMN(基本資料填寫!BV7),0),"")</f>
        <v>0</v>
      </c>
      <c r="L10" s="314" t="str">
        <f>IFERROR(VLOOKUP(基本資料填寫!$E$1&amp;"-"&amp;ROW(書籍檔建置!BS7),基本資料填寫!$E:$EU,COLUMN(基本資料填寫!BW7),0),"")</f>
        <v>C</v>
      </c>
      <c r="M10" s="166" t="str">
        <f>IFERROR(VLOOKUP(基本資料填寫!$E$1&amp;"-"&amp;ROW(書籍檔建置!BK7),基本資料填寫!$E:$EU,COLUMN(基本資料填寫!BO7),0),"")</f>
        <v>C</v>
      </c>
      <c r="N10" s="314" t="str">
        <f>IFERROR(VLOOKUP(基本資料填寫!$E$1&amp;"-"&amp;ROW(書籍檔建置!AG7),基本資料填寫!$E:$EU,COLUMN(基本資料填寫!AK7),0),"")</f>
        <v>16136</v>
      </c>
      <c r="O10" s="314" t="str">
        <f>IFERROR(VLOOKUP(基本資料填寫!$E$1&amp;"-"&amp;ROW(書籍檔建置!BT7),基本資料填寫!$E:$EU,COLUMN(基本資料填寫!BX7),0),"")</f>
        <v>U</v>
      </c>
      <c r="P10" s="314" t="str">
        <f>IFERROR(VLOOKUP(基本資料填寫!$E$1&amp;"-"&amp;ROW(書籍檔建置!BU7),基本資料填寫!$E:$EU,COLUMN(基本資料填寫!BY7),0),"")</f>
        <v>M</v>
      </c>
      <c r="Q10" s="314" t="str">
        <f>IFERROR(VLOOKUP(基本資料填寫!$E$1&amp;"-"&amp;ROW(書籍檔建置!BV7),基本資料填寫!$E:$EU,COLUMN(基本資料填寫!BZ7),0),"")</f>
        <v>E</v>
      </c>
      <c r="R10" s="314" t="str">
        <f>IFERROR(VLOOKUP(基本資料填寫!$E$1&amp;"-"&amp;ROW(書籍檔建置!BX7),基本資料填寫!$E:$EU,COLUMN(基本資料填寫!CB7),0),"")</f>
        <v>A</v>
      </c>
      <c r="S10" s="314" t="str">
        <f>IFERROR(VLOOKUP(基本資料填寫!$E$1&amp;"-"&amp;ROW(書籍檔建置!BY7),基本資料填寫!$E:$EU,COLUMN(基本資料填寫!CC7),0),"")</f>
        <v>00</v>
      </c>
      <c r="T10" s="314" t="str">
        <f>IFERROR(VLOOKUP(基本資料填寫!$E$1&amp;"-"&amp;ROW(書籍檔建置!BZ7),基本資料填寫!$E:$EU,COLUMN(基本資料填寫!CD7),0),"")</f>
        <v>E</v>
      </c>
      <c r="U10" s="314" t="str">
        <f>IFERROR(VLOOKUP(基本資料填寫!$E$1&amp;"-"&amp;ROW(書籍檔建置!CA7),基本資料填寫!$E:$EU,COLUMN(基本資料填寫!CE7),0),"")</f>
        <v>0</v>
      </c>
      <c r="V10" s="166">
        <f>IFERROR(VLOOKUP(基本資料填寫!$E$1&amp;"-"&amp;ROW(書籍檔建置!BL7),基本資料填寫!$E:$EU,COLUMN(基本資料填寫!BP7),0),"")</f>
        <v>4</v>
      </c>
      <c r="W10" s="178"/>
      <c r="X10" s="178"/>
      <c r="Y10" s="178"/>
      <c r="Z10" s="178"/>
      <c r="AA10" s="178"/>
      <c r="AB10" s="178"/>
      <c r="AC10" s="314">
        <f>IFERROR(VLOOKUP(基本資料填寫!$E$1&amp;"-"&amp;ROW(書籍檔建置!S7),基本資料填寫!$E:$EU,COLUMN(基本資料填寫!W7),0),"")</f>
        <v>120</v>
      </c>
      <c r="AD10" s="166">
        <f>IFERROR(VLOOKUP(基本資料填寫!$E$1&amp;"-"&amp;ROW(書籍檔建置!BM7),基本資料填寫!$E:$EU,COLUMN(基本資料填寫!BQ7),0),"")</f>
        <v>0</v>
      </c>
      <c r="AE10" s="178"/>
      <c r="AF10" s="178"/>
      <c r="AG10" s="178"/>
      <c r="AH10" s="314" t="str">
        <f>IFERROR(VLOOKUP(基本資料填寫!$E$1&amp;"-"&amp;ROW(書籍檔建置!CB7),基本資料填寫!$E:$EU,COLUMN(基本資料填寫!CF7),0),"")</f>
        <v>A</v>
      </c>
      <c r="AI10" s="314" t="str">
        <f>IFERROR(VLOOKUP(基本資料填寫!$E$1&amp;"-"&amp;ROW(書籍檔建置!CC7),基本資料填寫!$E:$EU,COLUMN(基本資料填寫!CG7),0),"")</f>
        <v>1973B</v>
      </c>
      <c r="AJ10" s="314" t="str">
        <f>IFERROR(VLOOKUP(基本資料填寫!$E$1&amp;"-"&amp;ROW(書籍檔建置!H7),基本資料填寫!$E:$EU,COLUMN(基本資料填寫!K7),0),"")</f>
        <v>149.015 SCM</v>
      </c>
      <c r="AK10" s="314" t="str">
        <f>IFERROR(VLOOKUP(基本資料填寫!$E$1&amp;"-"&amp;ROW(書籍檔建置!CF7),基本資料填寫!$E:$EU,COLUMN(基本資料填寫!CJ7),0),"")</f>
        <v>2</v>
      </c>
      <c r="AL10" s="314">
        <f>IFERROR(VLOOKUP(基本資料填寫!$E$1&amp;"-"&amp;ROW(書籍檔建置!CG7),基本資料填寫!$E:$EU,COLUMN(基本資料填寫!CK7),0),"")</f>
        <v>3</v>
      </c>
      <c r="AM10" s="314" t="str">
        <f>IFERROR(VLOOKUP(基本資料填寫!$E$1&amp;"-"&amp;ROW(書籍檔建置!BP7),基本資料填寫!$E:$EU,COLUMN(基本資料填寫!BT7),0),"")</f>
        <v>B21317</v>
      </c>
      <c r="AN10" s="153"/>
      <c r="AO10" s="178"/>
    </row>
    <row r="11" spans="1:41" s="117" customFormat="1" ht="20.25" customHeight="1" x14ac:dyDescent="0.3">
      <c r="B11" s="47">
        <f>IF(F11="","",COUNTA($F$4:F11))</f>
        <v>8</v>
      </c>
      <c r="C11" s="314" t="str">
        <f>IFERROR(VLOOKUP(基本資料填寫!$E$1&amp;"-"&amp;ROW(書籍檔建置!K8),基本資料填寫!$E:$EU,COLUMN(基本資料填寫!O8),0),"")</f>
        <v>5935</v>
      </c>
      <c r="D11" s="314" t="str">
        <f>IFERROR(VLOOKUP(基本資料填寫!$E$1&amp;"-"&amp;ROW(書籍檔建置!N8),基本資料填寫!$E:$EU,COLUMN(基本資料填寫!R8),0),"")</f>
        <v>YETL22119</v>
      </c>
      <c r="E11" s="314" t="str">
        <f>IFERROR(VLOOKUP(基本資料填寫!$E$1&amp;"-"&amp;ROW(書籍檔建置!AF8),基本資料填寫!$E:$EU,COLUMN(基本資料填寫!AJ8),0),"")</f>
        <v>JACK BOX</v>
      </c>
      <c r="F11" s="314" t="str">
        <f>IFERROR(VLOOKUP(基本資料填寫!$E$1&amp;"-"&amp;ROW(書籍檔建置!J8),基本資料填寫!$E:$EU,COLUMN(基本資料填寫!N8),0),"")</f>
        <v>聲力電話插座/壁掛</v>
      </c>
      <c r="G11" s="314" t="str">
        <f>IFERROR(VLOOKUP(基本資料填寫!$E$1&amp;"-"&amp;ROW(書籍檔建置!BO8),基本資料填寫!$E:$EU,COLUMN(基本資料填寫!BS8),0),"")</f>
        <v>C35</v>
      </c>
      <c r="H11" s="314" t="str">
        <f>IFERROR(VLOOKUP(基本資料填寫!$E$1&amp;"-"&amp;ROW(書籍檔建置!R8),基本資料填寫!$E:$EU,COLUMN(基本資料填寫!V8),0),"")</f>
        <v>EA</v>
      </c>
      <c r="I11" s="315" t="str">
        <f>IFERROR(VLOOKUP(基本資料填寫!$E$1&amp;"-"&amp;ROW(書籍檔建置!BQ8),基本資料填寫!$E:$EU,COLUMN(基本資料填寫!BU8),0),"")</f>
        <v>1</v>
      </c>
      <c r="J11" s="314" t="str">
        <f>IFERROR(VLOOKUP(基本資料填寫!$E$1&amp;"-"&amp;ROW(書籍檔建置!BW8),基本資料填寫!$E:$EU,COLUMN(基本資料填寫!CA8),0),"")</f>
        <v>C</v>
      </c>
      <c r="K11" s="314" t="str">
        <f>IFERROR(VLOOKUP(基本資料填寫!$E$1&amp;"-"&amp;ROW(書籍檔建置!BR8),基本資料填寫!$E:$EU,COLUMN(基本資料填寫!BV8),0),"")</f>
        <v>0</v>
      </c>
      <c r="L11" s="314" t="str">
        <f>IFERROR(VLOOKUP(基本資料填寫!$E$1&amp;"-"&amp;ROW(書籍檔建置!BS8),基本資料填寫!$E:$EU,COLUMN(基本資料填寫!BW8),0),"")</f>
        <v>C</v>
      </c>
      <c r="M11" s="166" t="str">
        <f>IFERROR(VLOOKUP(基本資料填寫!$E$1&amp;"-"&amp;ROW(書籍檔建置!BK8),基本資料填寫!$E:$EU,COLUMN(基本資料填寫!BO8),0),"")</f>
        <v>C</v>
      </c>
      <c r="N11" s="314" t="str">
        <f>IFERROR(VLOOKUP(基本資料填寫!$E$1&amp;"-"&amp;ROW(書籍檔建置!AG8),基本資料填寫!$E:$EU,COLUMN(基本資料填寫!AK8),0),"")</f>
        <v>16136</v>
      </c>
      <c r="O11" s="314" t="str">
        <f>IFERROR(VLOOKUP(基本資料填寫!$E$1&amp;"-"&amp;ROW(書籍檔建置!BT8),基本資料填寫!$E:$EU,COLUMN(基本資料填寫!BX8),0),"")</f>
        <v>U</v>
      </c>
      <c r="P11" s="314" t="str">
        <f>IFERROR(VLOOKUP(基本資料填寫!$E$1&amp;"-"&amp;ROW(書籍檔建置!BU8),基本資料填寫!$E:$EU,COLUMN(基本資料填寫!BY8),0),"")</f>
        <v>M</v>
      </c>
      <c r="Q11" s="314" t="str">
        <f>IFERROR(VLOOKUP(基本資料填寫!$E$1&amp;"-"&amp;ROW(書籍檔建置!BV8),基本資料填寫!$E:$EU,COLUMN(基本資料填寫!BZ8),0),"")</f>
        <v>E</v>
      </c>
      <c r="R11" s="314" t="str">
        <f>IFERROR(VLOOKUP(基本資料填寫!$E$1&amp;"-"&amp;ROW(書籍檔建置!BX8),基本資料填寫!$E:$EU,COLUMN(基本資料填寫!CB8),0),"")</f>
        <v>A</v>
      </c>
      <c r="S11" s="314" t="str">
        <f>IFERROR(VLOOKUP(基本資料填寫!$E$1&amp;"-"&amp;ROW(書籍檔建置!BY8),基本資料填寫!$E:$EU,COLUMN(基本資料填寫!CC8),0),"")</f>
        <v>00</v>
      </c>
      <c r="T11" s="314" t="str">
        <f>IFERROR(VLOOKUP(基本資料填寫!$E$1&amp;"-"&amp;ROW(書籍檔建置!BZ8),基本資料填寫!$E:$EU,COLUMN(基本資料填寫!CD8),0),"")</f>
        <v>E</v>
      </c>
      <c r="U11" s="314" t="str">
        <f>IFERROR(VLOOKUP(基本資料填寫!$E$1&amp;"-"&amp;ROW(書籍檔建置!CA8),基本資料填寫!$E:$EU,COLUMN(基本資料填寫!CE8),0),"")</f>
        <v>0</v>
      </c>
      <c r="V11" s="166">
        <f>IFERROR(VLOOKUP(基本資料填寫!$E$1&amp;"-"&amp;ROW(書籍檔建置!BL8),基本資料填寫!$E:$EU,COLUMN(基本資料填寫!BP8),0),"")</f>
        <v>4</v>
      </c>
      <c r="W11" s="178"/>
      <c r="X11" s="178"/>
      <c r="Y11" s="178"/>
      <c r="Z11" s="178"/>
      <c r="AA11" s="178"/>
      <c r="AB11" s="178"/>
      <c r="AC11" s="314">
        <f>IFERROR(VLOOKUP(基本資料填寫!$E$1&amp;"-"&amp;ROW(書籍檔建置!S8),基本資料填寫!$E:$EU,COLUMN(基本資料填寫!W8),0),"")</f>
        <v>120</v>
      </c>
      <c r="AD11" s="166">
        <f>IFERROR(VLOOKUP(基本資料填寫!$E$1&amp;"-"&amp;ROW(書籍檔建置!BM8),基本資料填寫!$E:$EU,COLUMN(基本資料填寫!BQ8),0),"")</f>
        <v>0</v>
      </c>
      <c r="AE11" s="178"/>
      <c r="AF11" s="178"/>
      <c r="AG11" s="178"/>
      <c r="AH11" s="314" t="str">
        <f>IFERROR(VLOOKUP(基本資料填寫!$E$1&amp;"-"&amp;ROW(書籍檔建置!CB8),基本資料填寫!$E:$EU,COLUMN(基本資料填寫!CF8),0),"")</f>
        <v>A</v>
      </c>
      <c r="AI11" s="314" t="str">
        <f>IFERROR(VLOOKUP(基本資料填寫!$E$1&amp;"-"&amp;ROW(書籍檔建置!CC8),基本資料填寫!$E:$EU,COLUMN(基本資料填寫!CG8),0),"")</f>
        <v>1973B</v>
      </c>
      <c r="AJ11" s="314" t="str">
        <f>IFERROR(VLOOKUP(基本資料填寫!$E$1&amp;"-"&amp;ROW(書籍檔建置!H8),基本資料填寫!$E:$EU,COLUMN(基本資料填寫!K8),0),"")</f>
        <v>350.501 SCM</v>
      </c>
      <c r="AK11" s="314" t="str">
        <f>IFERROR(VLOOKUP(基本資料填寫!$E$1&amp;"-"&amp;ROW(書籍檔建置!CF8),基本資料填寫!$E:$EU,COLUMN(基本資料填寫!CJ8),0),"")</f>
        <v>2</v>
      </c>
      <c r="AL11" s="314">
        <f>IFERROR(VLOOKUP(基本資料填寫!$E$1&amp;"-"&amp;ROW(書籍檔建置!CG8),基本資料填寫!$E:$EU,COLUMN(基本資料填寫!CK8),0),"")</f>
        <v>3</v>
      </c>
      <c r="AM11" s="314" t="str">
        <f>IFERROR(VLOOKUP(基本資料填寫!$E$1&amp;"-"&amp;ROW(書籍檔建置!BP8),基本資料填寫!$E:$EU,COLUMN(基本資料填寫!BT8),0),"")</f>
        <v>B21317</v>
      </c>
      <c r="AN11" s="153"/>
      <c r="AO11" s="178"/>
    </row>
    <row r="12" spans="1:41" s="117" customFormat="1" x14ac:dyDescent="0.3">
      <c r="B12" s="47">
        <f>IF(F12="","",COUNTA($F$4:F12))</f>
        <v>9</v>
      </c>
      <c r="C12" s="314" t="str">
        <f>IFERROR(VLOOKUP(基本資料填寫!$E$1&amp;"-"&amp;ROW(書籍檔建置!K9),基本資料填寫!$E:$EU,COLUMN(基本資料填寫!O9),0),"")</f>
        <v>5965</v>
      </c>
      <c r="D12" s="314" t="str">
        <f>IFERROR(VLOOKUP(基本資料填寫!$E$1&amp;"-"&amp;ROW(書籍檔建置!N9),基本資料填寫!$E:$EU,COLUMN(基本資料填寫!R9),0),"")</f>
        <v>YETL申請中</v>
      </c>
      <c r="E12" s="314" t="str">
        <f>IFERROR(VLOOKUP(基本資料填寫!$E$1&amp;"-"&amp;ROW(書籍檔建置!AF9),基本資料填寫!$E:$EU,COLUMN(基本資料填寫!AJ9),0),"")</f>
        <v>LOUDSPEAKER-AMPLIFIER</v>
      </c>
      <c r="F12" s="314" t="str">
        <f>IFERROR(VLOOKUP(基本資料填寫!$E$1&amp;"-"&amp;ROW(書籍檔建置!J9),基本資料填寫!$E:$EU,COLUMN(基本資料填寫!N9),0),"")</f>
        <v>聲力電話放大器</v>
      </c>
      <c r="G12" s="314" t="str">
        <f>IFERROR(VLOOKUP(基本資料填寫!$E$1&amp;"-"&amp;ROW(書籍檔建置!BO9),基本資料填寫!$E:$EU,COLUMN(基本資料填寫!BS9),0),"")</f>
        <v>C35</v>
      </c>
      <c r="H12" s="314" t="str">
        <f>IFERROR(VLOOKUP(基本資料填寫!$E$1&amp;"-"&amp;ROW(書籍檔建置!R9),基本資料填寫!$E:$EU,COLUMN(基本資料填寫!V9),0),"")</f>
        <v>EA</v>
      </c>
      <c r="I12" s="315" t="str">
        <f>IFERROR(VLOOKUP(基本資料填寫!$E$1&amp;"-"&amp;ROW(書籍檔建置!BQ9),基本資料填寫!$E:$EU,COLUMN(基本資料填寫!BU9),0),"")</f>
        <v>1</v>
      </c>
      <c r="J12" s="314" t="str">
        <f>IFERROR(VLOOKUP(基本資料填寫!$E$1&amp;"-"&amp;ROW(書籍檔建置!BW9),基本資料填寫!$E:$EU,COLUMN(基本資料填寫!CA9),0),"")</f>
        <v>C</v>
      </c>
      <c r="K12" s="314" t="str">
        <f>IFERROR(VLOOKUP(基本資料填寫!$E$1&amp;"-"&amp;ROW(書籍檔建置!BR9),基本資料填寫!$E:$EU,COLUMN(基本資料填寫!BV9),0),"")</f>
        <v>0</v>
      </c>
      <c r="L12" s="314" t="str">
        <f>IFERROR(VLOOKUP(基本資料填寫!$E$1&amp;"-"&amp;ROW(書籍檔建置!BS9),基本資料填寫!$E:$EU,COLUMN(基本資料填寫!BW9),0),"")</f>
        <v>C</v>
      </c>
      <c r="M12" s="166" t="str">
        <f>IFERROR(VLOOKUP(基本資料填寫!$E$1&amp;"-"&amp;ROW(書籍檔建置!BK9),基本資料填寫!$E:$EU,COLUMN(基本資料填寫!BO9),0),"")</f>
        <v>C</v>
      </c>
      <c r="N12" s="314" t="str">
        <f>IFERROR(VLOOKUP(基本資料填寫!$E$1&amp;"-"&amp;ROW(書籍檔建置!AG9),基本資料填寫!$E:$EU,COLUMN(基本資料填寫!AK9),0),"")</f>
        <v>52110</v>
      </c>
      <c r="O12" s="314" t="str">
        <f>IFERROR(VLOOKUP(基本資料填寫!$E$1&amp;"-"&amp;ROW(書籍檔建置!BT9),基本資料填寫!$E:$EU,COLUMN(基本資料填寫!BX9),0),"")</f>
        <v>U</v>
      </c>
      <c r="P12" s="314" t="str">
        <f>IFERROR(VLOOKUP(基本資料填寫!$E$1&amp;"-"&amp;ROW(書籍檔建置!BU9),基本資料填寫!$E:$EU,COLUMN(基本資料填寫!BY9),0),"")</f>
        <v>M</v>
      </c>
      <c r="Q12" s="314" t="str">
        <f>IFERROR(VLOOKUP(基本資料填寫!$E$1&amp;"-"&amp;ROW(書籍檔建置!BV9),基本資料填寫!$E:$EU,COLUMN(基本資料填寫!BZ9),0),"")</f>
        <v>E</v>
      </c>
      <c r="R12" s="314" t="str">
        <f>IFERROR(VLOOKUP(基本資料填寫!$E$1&amp;"-"&amp;ROW(書籍檔建置!BX9),基本資料填寫!$E:$EU,COLUMN(基本資料填寫!CB9),0),"")</f>
        <v>A</v>
      </c>
      <c r="S12" s="314" t="str">
        <f>IFERROR(VLOOKUP(基本資料填寫!$E$1&amp;"-"&amp;ROW(書籍檔建置!BY9),基本資料填寫!$E:$EU,COLUMN(基本資料填寫!CC9),0),"")</f>
        <v>00</v>
      </c>
      <c r="T12" s="314" t="str">
        <f>IFERROR(VLOOKUP(基本資料填寫!$E$1&amp;"-"&amp;ROW(書籍檔建置!BZ9),基本資料填寫!$E:$EU,COLUMN(基本資料填寫!CD9),0),"")</f>
        <v>E</v>
      </c>
      <c r="U12" s="314" t="str">
        <f>IFERROR(VLOOKUP(基本資料填寫!$E$1&amp;"-"&amp;ROW(書籍檔建置!CA9),基本資料填寫!$E:$EU,COLUMN(基本資料填寫!CE9),0),"")</f>
        <v>0</v>
      </c>
      <c r="V12" s="166">
        <f>IFERROR(VLOOKUP(基本資料填寫!$E$1&amp;"-"&amp;ROW(書籍檔建置!BL9),基本資料填寫!$E:$EU,COLUMN(基本資料填寫!BP9),0),"")</f>
        <v>4</v>
      </c>
      <c r="W12" s="178"/>
      <c r="X12" s="178"/>
      <c r="Y12" s="178"/>
      <c r="Z12" s="178"/>
      <c r="AA12" s="178"/>
      <c r="AB12" s="178"/>
      <c r="AC12" s="314">
        <f>IFERROR(VLOOKUP(基本資料填寫!$E$1&amp;"-"&amp;ROW(書籍檔建置!S9),基本資料填寫!$E:$EU,COLUMN(基本資料填寫!W9),0),"")</f>
        <v>650</v>
      </c>
      <c r="AD12" s="166">
        <f>IFERROR(VLOOKUP(基本資料填寫!$E$1&amp;"-"&amp;ROW(書籍檔建置!BM9),基本資料填寫!$E:$EU,COLUMN(基本資料填寫!BQ9),0),"")</f>
        <v>0</v>
      </c>
      <c r="AE12" s="178"/>
      <c r="AF12" s="178"/>
      <c r="AG12" s="178"/>
      <c r="AH12" s="314" t="str">
        <f>IFERROR(VLOOKUP(基本資料填寫!$E$1&amp;"-"&amp;ROW(書籍檔建置!CB9),基本資料填寫!$E:$EU,COLUMN(基本資料填寫!CF9),0),"")</f>
        <v>A</v>
      </c>
      <c r="AI12" s="314" t="str">
        <f>IFERROR(VLOOKUP(基本資料填寫!$E$1&amp;"-"&amp;ROW(書籍檔建置!CC9),基本資料填寫!$E:$EU,COLUMN(基本資料填寫!CG9),0),"")</f>
        <v>1973B</v>
      </c>
      <c r="AJ12" s="314" t="str">
        <f>IFERROR(VLOOKUP(基本資料填寫!$E$1&amp;"-"&amp;ROW(書籍檔建置!H9),基本資料填寫!$E:$EU,COLUMN(基本資料填寫!K9),0),"")</f>
        <v>455.805</v>
      </c>
      <c r="AK12" s="314" t="str">
        <f>IFERROR(VLOOKUP(基本資料填寫!$E$1&amp;"-"&amp;ROW(書籍檔建置!CF9),基本資料填寫!$E:$EU,COLUMN(基本資料填寫!CJ9),0),"")</f>
        <v>2</v>
      </c>
      <c r="AL12" s="314">
        <f>IFERROR(VLOOKUP(基本資料填寫!$E$1&amp;"-"&amp;ROW(書籍檔建置!CG9),基本資料填寫!$E:$EU,COLUMN(基本資料填寫!CK9),0),"")</f>
        <v>3</v>
      </c>
      <c r="AM12" s="314" t="str">
        <f>IFERROR(VLOOKUP(基本資料填寫!$E$1&amp;"-"&amp;ROW(書籍檔建置!BP9),基本資料填寫!$E:$EU,COLUMN(基本資料填寫!BT9),0),"")</f>
        <v>B21317</v>
      </c>
      <c r="AN12" s="153"/>
      <c r="AO12" s="178"/>
    </row>
    <row r="13" spans="1:41" s="117" customFormat="1" x14ac:dyDescent="0.3">
      <c r="B13" s="47">
        <f>IF(F13="","",COUNTA($F$4:F13))</f>
        <v>10</v>
      </c>
      <c r="C13" s="314" t="str">
        <f>IFERROR(VLOOKUP(基本資料填寫!$E$1&amp;"-"&amp;ROW(書籍檔建置!K10),基本資料填寫!$E:$EU,COLUMN(基本資料填寫!O10),0),"")</f>
        <v>5965</v>
      </c>
      <c r="D13" s="314" t="str">
        <f>IFERROR(VLOOKUP(基本資料填寫!$E$1&amp;"-"&amp;ROW(書籍檔建置!N10),基本資料填寫!$E:$EU,COLUMN(基本資料填寫!R10),0),"")</f>
        <v>YETL申請中</v>
      </c>
      <c r="E13" s="314" t="str">
        <f>IFERROR(VLOOKUP(基本資料填寫!$E$1&amp;"-"&amp;ROW(書籍檔建置!AF10),基本資料填寫!$E:$EU,COLUMN(基本資料填寫!AJ10),0),"")</f>
        <v xml:space="preserve">Loudspeaker, Electromagnetic	</v>
      </c>
      <c r="F13" s="314" t="str">
        <f>IFERROR(VLOOKUP(基本資料填寫!$E$1&amp;"-"&amp;ROW(書籍檔建置!J10),基本資料填寫!$E:$EU,COLUMN(基本資料填寫!N10),0),"")</f>
        <v>揚聲防水喇叭</v>
      </c>
      <c r="G13" s="314" t="str">
        <f>IFERROR(VLOOKUP(基本資料填寫!$E$1&amp;"-"&amp;ROW(書籍檔建置!BO10),基本資料填寫!$E:$EU,COLUMN(基本資料填寫!BS10),0),"")</f>
        <v>C35</v>
      </c>
      <c r="H13" s="314" t="str">
        <f>IFERROR(VLOOKUP(基本資料填寫!$E$1&amp;"-"&amp;ROW(書籍檔建置!R10),基本資料填寫!$E:$EU,COLUMN(基本資料填寫!V10),0),"")</f>
        <v>EA</v>
      </c>
      <c r="I13" s="315" t="str">
        <f>IFERROR(VLOOKUP(基本資料填寫!$E$1&amp;"-"&amp;ROW(書籍檔建置!BQ10),基本資料填寫!$E:$EU,COLUMN(基本資料填寫!BU10),0),"")</f>
        <v>1</v>
      </c>
      <c r="J13" s="314" t="str">
        <f>IFERROR(VLOOKUP(基本資料填寫!$E$1&amp;"-"&amp;ROW(書籍檔建置!BW10),基本資料填寫!$E:$EU,COLUMN(基本資料填寫!CA10),0),"")</f>
        <v>C</v>
      </c>
      <c r="K13" s="314" t="str">
        <f>IFERROR(VLOOKUP(基本資料填寫!$E$1&amp;"-"&amp;ROW(書籍檔建置!BR10),基本資料填寫!$E:$EU,COLUMN(基本資料填寫!BV10),0),"")</f>
        <v>0</v>
      </c>
      <c r="L13" s="314" t="str">
        <f>IFERROR(VLOOKUP(基本資料填寫!$E$1&amp;"-"&amp;ROW(書籍檔建置!BS10),基本資料填寫!$E:$EU,COLUMN(基本資料填寫!BW10),0),"")</f>
        <v>C</v>
      </c>
      <c r="M13" s="166" t="str">
        <f>IFERROR(VLOOKUP(基本資料填寫!$E$1&amp;"-"&amp;ROW(書籍檔建置!BK10),基本資料填寫!$E:$EU,COLUMN(基本資料填寫!BO10),0),"")</f>
        <v>C</v>
      </c>
      <c r="N13" s="314" t="str">
        <f>IFERROR(VLOOKUP(基本資料填寫!$E$1&amp;"-"&amp;ROW(書籍檔建置!AG10),基本資料填寫!$E:$EU,COLUMN(基本資料填寫!AK10),0),"")</f>
        <v>00714</v>
      </c>
      <c r="O13" s="314" t="str">
        <f>IFERROR(VLOOKUP(基本資料填寫!$E$1&amp;"-"&amp;ROW(書籍檔建置!BT10),基本資料填寫!$E:$EU,COLUMN(基本資料填寫!BX10),0),"")</f>
        <v>U</v>
      </c>
      <c r="P13" s="314" t="str">
        <f>IFERROR(VLOOKUP(基本資料填寫!$E$1&amp;"-"&amp;ROW(書籍檔建置!BU10),基本資料填寫!$E:$EU,COLUMN(基本資料填寫!BY10),0),"")</f>
        <v>M</v>
      </c>
      <c r="Q13" s="314" t="str">
        <f>IFERROR(VLOOKUP(基本資料填寫!$E$1&amp;"-"&amp;ROW(書籍檔建置!BV10),基本資料填寫!$E:$EU,COLUMN(基本資料填寫!BZ10),0),"")</f>
        <v>E</v>
      </c>
      <c r="R13" s="314" t="str">
        <f>IFERROR(VLOOKUP(基本資料填寫!$E$1&amp;"-"&amp;ROW(書籍檔建置!BX10),基本資料填寫!$E:$EU,COLUMN(基本資料填寫!CB10),0),"")</f>
        <v>A</v>
      </c>
      <c r="S13" s="314" t="str">
        <f>IFERROR(VLOOKUP(基本資料填寫!$E$1&amp;"-"&amp;ROW(書籍檔建置!BY10),基本資料填寫!$E:$EU,COLUMN(基本資料填寫!CC10),0),"")</f>
        <v>00</v>
      </c>
      <c r="T13" s="314" t="str">
        <f>IFERROR(VLOOKUP(基本資料填寫!$E$1&amp;"-"&amp;ROW(書籍檔建置!BZ10),基本資料填寫!$E:$EU,COLUMN(基本資料填寫!CD10),0),"")</f>
        <v>E</v>
      </c>
      <c r="U13" s="314" t="str">
        <f>IFERROR(VLOOKUP(基本資料填寫!$E$1&amp;"-"&amp;ROW(書籍檔建置!CA10),基本資料填寫!$E:$EU,COLUMN(基本資料填寫!CE10),0),"")</f>
        <v>0</v>
      </c>
      <c r="V13" s="166">
        <f>IFERROR(VLOOKUP(基本資料填寫!$E$1&amp;"-"&amp;ROW(書籍檔建置!BL10),基本資料填寫!$E:$EU,COLUMN(基本資料填寫!BP10),0),"")</f>
        <v>4</v>
      </c>
      <c r="W13" s="178"/>
      <c r="X13" s="178"/>
      <c r="Y13" s="178"/>
      <c r="Z13" s="178"/>
      <c r="AA13" s="178"/>
      <c r="AB13" s="178"/>
      <c r="AC13" s="314">
        <f>IFERROR(VLOOKUP(基本資料填寫!$E$1&amp;"-"&amp;ROW(書籍檔建置!S10),基本資料填寫!$E:$EU,COLUMN(基本資料填寫!W10),0),"")</f>
        <v>150</v>
      </c>
      <c r="AD13" s="166">
        <f>IFERROR(VLOOKUP(基本資料填寫!$E$1&amp;"-"&amp;ROW(書籍檔建置!BM10),基本資料填寫!$E:$EU,COLUMN(基本資料填寫!BQ10),0),"")</f>
        <v>0</v>
      </c>
      <c r="AE13" s="178"/>
      <c r="AF13" s="178"/>
      <c r="AG13" s="178"/>
      <c r="AH13" s="314" t="str">
        <f>IFERROR(VLOOKUP(基本資料填寫!$E$1&amp;"-"&amp;ROW(書籍檔建置!CB10),基本資料填寫!$E:$EU,COLUMN(基本資料填寫!CF10),0),"")</f>
        <v>A</v>
      </c>
      <c r="AI13" s="314" t="str">
        <f>IFERROR(VLOOKUP(基本資料填寫!$E$1&amp;"-"&amp;ROW(書籍檔建置!CC10),基本資料填寫!$E:$EU,COLUMN(基本資料填寫!CG10),0),"")</f>
        <v>1973B</v>
      </c>
      <c r="AJ13" s="314" t="str">
        <f>IFERROR(VLOOKUP(基本資料填寫!$E$1&amp;"-"&amp;ROW(書籍檔建置!H10),基本資料填寫!$E:$EU,COLUMN(基本資料填寫!K10),0),"")</f>
        <v>149.907</v>
      </c>
      <c r="AK13" s="314" t="str">
        <f>IFERROR(VLOOKUP(基本資料填寫!$E$1&amp;"-"&amp;ROW(書籍檔建置!CF10),基本資料填寫!$E:$EU,COLUMN(基本資料填寫!CJ10),0),"")</f>
        <v>2</v>
      </c>
      <c r="AL13" s="314">
        <f>IFERROR(VLOOKUP(基本資料填寫!$E$1&amp;"-"&amp;ROW(書籍檔建置!CG10),基本資料填寫!$E:$EU,COLUMN(基本資料填寫!CK10),0),"")</f>
        <v>3</v>
      </c>
      <c r="AM13" s="314" t="str">
        <f>IFERROR(VLOOKUP(基本資料填寫!$E$1&amp;"-"&amp;ROW(書籍檔建置!BP10),基本資料填寫!$E:$EU,COLUMN(基本資料填寫!BT10),0),"")</f>
        <v>B21317</v>
      </c>
      <c r="AN13" s="153"/>
      <c r="AO13" s="178"/>
    </row>
    <row r="14" spans="1:41" s="117" customFormat="1" x14ac:dyDescent="0.3">
      <c r="B14" s="47">
        <f>IF(F14="","",COUNTA($F$4:F14))</f>
        <v>11</v>
      </c>
      <c r="C14" s="314" t="str">
        <f>IFERROR(VLOOKUP(基本資料填寫!$E$1&amp;"-"&amp;ROW(書籍檔建置!K11),基本資料填寫!$E:$EU,COLUMN(基本資料填寫!O11),0),"")</f>
        <v>6350</v>
      </c>
      <c r="D14" s="314" t="str">
        <f>IFERROR(VLOOKUP(基本資料填寫!$E$1&amp;"-"&amp;ROW(書籍檔建置!N11),基本資料填寫!$E:$EU,COLUMN(基本資料填寫!R11),0),"")</f>
        <v>YETL22084</v>
      </c>
      <c r="E14" s="314" t="str">
        <f>IFERROR(VLOOKUP(基本資料填寫!$E$1&amp;"-"&amp;ROW(書籍檔建置!AF11),基本資料填寫!$E:$EU,COLUMN(基本資料填寫!AJ11),0),"")</f>
        <v>ALARM,AUDIBLE-VISUAL</v>
      </c>
      <c r="F14" s="314" t="str">
        <f>IFERROR(VLOOKUP(基本資料填寫!$E$1&amp;"-"&amp;ROW(書籍檔建置!J11),基本資料填寫!$E:$EU,COLUMN(基本資料填寫!N11),0),"")</f>
        <v>白光警示燈</v>
      </c>
      <c r="G14" s="314" t="str">
        <f>IFERROR(VLOOKUP(基本資料填寫!$E$1&amp;"-"&amp;ROW(書籍檔建置!BO11),基本資料填寫!$E:$EU,COLUMN(基本資料填寫!BS11),0),"")</f>
        <v>C35</v>
      </c>
      <c r="H14" s="314" t="str">
        <f>IFERROR(VLOOKUP(基本資料填寫!$E$1&amp;"-"&amp;ROW(書籍檔建置!R11),基本資料填寫!$E:$EU,COLUMN(基本資料填寫!V11),0),"")</f>
        <v>EA</v>
      </c>
      <c r="I14" s="315" t="str">
        <f>IFERROR(VLOOKUP(基本資料填寫!$E$1&amp;"-"&amp;ROW(書籍檔建置!BQ11),基本資料填寫!$E:$EU,COLUMN(基本資料填寫!BU11),0),"")</f>
        <v>1</v>
      </c>
      <c r="J14" s="314" t="str">
        <f>IFERROR(VLOOKUP(基本資料填寫!$E$1&amp;"-"&amp;ROW(書籍檔建置!BW11),基本資料填寫!$E:$EU,COLUMN(基本資料填寫!CA11),0),"")</f>
        <v>C</v>
      </c>
      <c r="K14" s="314" t="str">
        <f>IFERROR(VLOOKUP(基本資料填寫!$E$1&amp;"-"&amp;ROW(書籍檔建置!BR11),基本資料填寫!$E:$EU,COLUMN(基本資料填寫!BV11),0),"")</f>
        <v>0</v>
      </c>
      <c r="L14" s="314" t="str">
        <f>IFERROR(VLOOKUP(基本資料填寫!$E$1&amp;"-"&amp;ROW(書籍檔建置!BS11),基本資料填寫!$E:$EU,COLUMN(基本資料填寫!BW11),0),"")</f>
        <v>C</v>
      </c>
      <c r="M14" s="166" t="str">
        <f>IFERROR(VLOOKUP(基本資料填寫!$E$1&amp;"-"&amp;ROW(書籍檔建置!BK11),基本資料填寫!$E:$EU,COLUMN(基本資料填寫!BO11),0),"")</f>
        <v>C</v>
      </c>
      <c r="N14" s="314" t="str">
        <f>IFERROR(VLOOKUP(基本資料填寫!$E$1&amp;"-"&amp;ROW(書籍檔建置!AG11),基本資料填寫!$E:$EU,COLUMN(基本資料填寫!AK11),0),"")</f>
        <v>49541</v>
      </c>
      <c r="O14" s="314" t="str">
        <f>IFERROR(VLOOKUP(基本資料填寫!$E$1&amp;"-"&amp;ROW(書籍檔建置!BT11),基本資料填寫!$E:$EU,COLUMN(基本資料填寫!BX11),0),"")</f>
        <v>U</v>
      </c>
      <c r="P14" s="314" t="str">
        <f>IFERROR(VLOOKUP(基本資料填寫!$E$1&amp;"-"&amp;ROW(書籍檔建置!BU11),基本資料填寫!$E:$EU,COLUMN(基本資料填寫!BY11),0),"")</f>
        <v>M</v>
      </c>
      <c r="Q14" s="314" t="str">
        <f>IFERROR(VLOOKUP(基本資料填寫!$E$1&amp;"-"&amp;ROW(書籍檔建置!BV11),基本資料填寫!$E:$EU,COLUMN(基本資料填寫!BZ11),0),"")</f>
        <v>E</v>
      </c>
      <c r="R14" s="314" t="str">
        <f>IFERROR(VLOOKUP(基本資料填寫!$E$1&amp;"-"&amp;ROW(書籍檔建置!BX11),基本資料填寫!$E:$EU,COLUMN(基本資料填寫!CB11),0),"")</f>
        <v>A</v>
      </c>
      <c r="S14" s="314" t="str">
        <f>IFERROR(VLOOKUP(基本資料填寫!$E$1&amp;"-"&amp;ROW(書籍檔建置!BY11),基本資料填寫!$E:$EU,COLUMN(基本資料填寫!CC11),0),"")</f>
        <v>00</v>
      </c>
      <c r="T14" s="314" t="str">
        <f>IFERROR(VLOOKUP(基本資料填寫!$E$1&amp;"-"&amp;ROW(書籍檔建置!BZ11),基本資料填寫!$E:$EU,COLUMN(基本資料填寫!CD11),0),"")</f>
        <v>E</v>
      </c>
      <c r="U14" s="314" t="str">
        <f>IFERROR(VLOOKUP(基本資料填寫!$E$1&amp;"-"&amp;ROW(書籍檔建置!CA11),基本資料填寫!$E:$EU,COLUMN(基本資料填寫!CE11),0),"")</f>
        <v>0</v>
      </c>
      <c r="V14" s="166">
        <f>IFERROR(VLOOKUP(基本資料填寫!$E$1&amp;"-"&amp;ROW(書籍檔建置!BL11),基本資料填寫!$E:$EU,COLUMN(基本資料填寫!BP11),0),"")</f>
        <v>4</v>
      </c>
      <c r="W14" s="178"/>
      <c r="X14" s="178"/>
      <c r="Y14" s="178"/>
      <c r="Z14" s="178"/>
      <c r="AA14" s="178"/>
      <c r="AB14" s="178"/>
      <c r="AC14" s="314">
        <f>IFERROR(VLOOKUP(基本資料填寫!$E$1&amp;"-"&amp;ROW(書籍檔建置!S11),基本資料填寫!$E:$EU,COLUMN(基本資料填寫!W11),0),"")</f>
        <v>40</v>
      </c>
      <c r="AD14" s="166">
        <f>IFERROR(VLOOKUP(基本資料填寫!$E$1&amp;"-"&amp;ROW(書籍檔建置!BM11),基本資料填寫!$E:$EU,COLUMN(基本資料填寫!BQ11),0),"")</f>
        <v>0</v>
      </c>
      <c r="AE14" s="178"/>
      <c r="AF14" s="178"/>
      <c r="AG14" s="178"/>
      <c r="AH14" s="314" t="str">
        <f>IFERROR(VLOOKUP(基本資料填寫!$E$1&amp;"-"&amp;ROW(書籍檔建置!CB11),基本資料填寫!$E:$EU,COLUMN(基本資料填寫!CF11),0),"")</f>
        <v>A</v>
      </c>
      <c r="AI14" s="314" t="str">
        <f>IFERROR(VLOOKUP(基本資料填寫!$E$1&amp;"-"&amp;ROW(書籍檔建置!CC11),基本資料填寫!$E:$EU,COLUMN(基本資料填寫!CG11),0),"")</f>
        <v>1973B</v>
      </c>
      <c r="AJ14" s="314" t="str">
        <f>IFERROR(VLOOKUP(基本資料填寫!$E$1&amp;"-"&amp;ROW(書籍檔建置!H11),基本資料填寫!$E:$EU,COLUMN(基本資料填寫!K11),0),"")</f>
        <v>455.010 SCM</v>
      </c>
      <c r="AK14" s="314" t="str">
        <f>IFERROR(VLOOKUP(基本資料填寫!$E$1&amp;"-"&amp;ROW(書籍檔建置!CF11),基本資料填寫!$E:$EU,COLUMN(基本資料填寫!CJ11),0),"")</f>
        <v>2</v>
      </c>
      <c r="AL14" s="314">
        <f>IFERROR(VLOOKUP(基本資料填寫!$E$1&amp;"-"&amp;ROW(書籍檔建置!CG11),基本資料填寫!$E:$EU,COLUMN(基本資料填寫!CK11),0),"")</f>
        <v>3</v>
      </c>
      <c r="AM14" s="314" t="str">
        <f>IFERROR(VLOOKUP(基本資料填寫!$E$1&amp;"-"&amp;ROW(書籍檔建置!BP11),基本資料填寫!$E:$EU,COLUMN(基本資料填寫!BT11),0),"")</f>
        <v>B21317</v>
      </c>
      <c r="AN14" s="153"/>
      <c r="AO14" s="178"/>
    </row>
    <row r="15" spans="1:41" s="117" customFormat="1" ht="20.25" customHeight="1" x14ac:dyDescent="0.3">
      <c r="B15" s="47">
        <f>IF(F15="","",COUNTA($F$4:F15))</f>
        <v>12</v>
      </c>
      <c r="C15" s="314" t="str">
        <f>IFERROR(VLOOKUP(基本資料填寫!$E$1&amp;"-"&amp;ROW(書籍檔建置!K12),基本資料填寫!$E:$EU,COLUMN(基本資料填寫!O12),0),"")</f>
        <v>5965</v>
      </c>
      <c r="D15" s="314" t="str">
        <f>IFERROR(VLOOKUP(基本資料填寫!$E$1&amp;"-"&amp;ROW(書籍檔建置!N12),基本資料填寫!$E:$EU,COLUMN(基本資料填寫!R12),0),"")</f>
        <v>YETL22083</v>
      </c>
      <c r="E15" s="314" t="str">
        <f>IFERROR(VLOOKUP(基本資料填寫!$E$1&amp;"-"&amp;ROW(書籍檔建置!AF12),基本資料填寫!$E:$EU,COLUMN(基本資料填寫!AJ12),0),"")</f>
        <v>BOX,HANDSET STORAGE</v>
      </c>
      <c r="F15" s="314" t="str">
        <f>IFERROR(VLOOKUP(基本資料填寫!$E$1&amp;"-"&amp;ROW(書籍檔建置!J12),基本資料填寫!$E:$EU,COLUMN(基本資料填寫!N12),0),"")</f>
        <v>聲力電話放置箱-單</v>
      </c>
      <c r="G15" s="314" t="str">
        <f>IFERROR(VLOOKUP(基本資料填寫!$E$1&amp;"-"&amp;ROW(書籍檔建置!BO12),基本資料填寫!$E:$EU,COLUMN(基本資料填寫!BS12),0),"")</f>
        <v>C35</v>
      </c>
      <c r="H15" s="314" t="str">
        <f>IFERROR(VLOOKUP(基本資料填寫!$E$1&amp;"-"&amp;ROW(書籍檔建置!R12),基本資料填寫!$E:$EU,COLUMN(基本資料填寫!V12),0),"")</f>
        <v>EA</v>
      </c>
      <c r="I15" s="315" t="str">
        <f>IFERROR(VLOOKUP(基本資料填寫!$E$1&amp;"-"&amp;ROW(書籍檔建置!BQ12),基本資料填寫!$E:$EU,COLUMN(基本資料填寫!BU12),0),"")</f>
        <v>1</v>
      </c>
      <c r="J15" s="314" t="str">
        <f>IFERROR(VLOOKUP(基本資料填寫!$E$1&amp;"-"&amp;ROW(書籍檔建置!BW12),基本資料填寫!$E:$EU,COLUMN(基本資料填寫!CA12),0),"")</f>
        <v>C</v>
      </c>
      <c r="K15" s="314" t="str">
        <f>IFERROR(VLOOKUP(基本資料填寫!$E$1&amp;"-"&amp;ROW(書籍檔建置!BR12),基本資料填寫!$E:$EU,COLUMN(基本資料填寫!BV12),0),"")</f>
        <v>0</v>
      </c>
      <c r="L15" s="314" t="str">
        <f>IFERROR(VLOOKUP(基本資料填寫!$E$1&amp;"-"&amp;ROW(書籍檔建置!BS12),基本資料填寫!$E:$EU,COLUMN(基本資料填寫!BW12),0),"")</f>
        <v>C</v>
      </c>
      <c r="M15" s="166" t="str">
        <f>IFERROR(VLOOKUP(基本資料填寫!$E$1&amp;"-"&amp;ROW(書籍檔建置!BK12),基本資料填寫!$E:$EU,COLUMN(基本資料填寫!BO12),0),"")</f>
        <v>C</v>
      </c>
      <c r="N15" s="314" t="str">
        <f>IFERROR(VLOOKUP(基本資料填寫!$E$1&amp;"-"&amp;ROW(書籍檔建置!AG12),基本資料填寫!$E:$EU,COLUMN(基本資料填寫!AK12),0),"")</f>
        <v>41713</v>
      </c>
      <c r="O15" s="314" t="str">
        <f>IFERROR(VLOOKUP(基本資料填寫!$E$1&amp;"-"&amp;ROW(書籍檔建置!BT12),基本資料填寫!$E:$EU,COLUMN(基本資料填寫!BX12),0),"")</f>
        <v>U</v>
      </c>
      <c r="P15" s="314" t="str">
        <f>IFERROR(VLOOKUP(基本資料填寫!$E$1&amp;"-"&amp;ROW(書籍檔建置!BU12),基本資料填寫!$E:$EU,COLUMN(基本資料填寫!BY12),0),"")</f>
        <v>M</v>
      </c>
      <c r="Q15" s="314" t="str">
        <f>IFERROR(VLOOKUP(基本資料填寫!$E$1&amp;"-"&amp;ROW(書籍檔建置!BV12),基本資料填寫!$E:$EU,COLUMN(基本資料填寫!BZ12),0),"")</f>
        <v>E</v>
      </c>
      <c r="R15" s="314" t="str">
        <f>IFERROR(VLOOKUP(基本資料填寫!$E$1&amp;"-"&amp;ROW(書籍檔建置!BX12),基本資料填寫!$E:$EU,COLUMN(基本資料填寫!CB12),0),"")</f>
        <v>A</v>
      </c>
      <c r="S15" s="314" t="str">
        <f>IFERROR(VLOOKUP(基本資料填寫!$E$1&amp;"-"&amp;ROW(書籍檔建置!BY12),基本資料填寫!$E:$EU,COLUMN(基本資料填寫!CC12),0),"")</f>
        <v>00</v>
      </c>
      <c r="T15" s="314" t="str">
        <f>IFERROR(VLOOKUP(基本資料填寫!$E$1&amp;"-"&amp;ROW(書籍檔建置!BZ12),基本資料填寫!$E:$EU,COLUMN(基本資料填寫!CD12),0),"")</f>
        <v>E</v>
      </c>
      <c r="U15" s="314" t="str">
        <f>IFERROR(VLOOKUP(基本資料填寫!$E$1&amp;"-"&amp;ROW(書籍檔建置!CA12),基本資料填寫!$E:$EU,COLUMN(基本資料填寫!CE12),0),"")</f>
        <v>0</v>
      </c>
      <c r="V15" s="166">
        <f>IFERROR(VLOOKUP(基本資料填寫!$E$1&amp;"-"&amp;ROW(書籍檔建置!BL12),基本資料填寫!$E:$EU,COLUMN(基本資料填寫!BP12),0),"")</f>
        <v>4</v>
      </c>
      <c r="W15" s="178"/>
      <c r="X15" s="178"/>
      <c r="Y15" s="178"/>
      <c r="Z15" s="178"/>
      <c r="AA15" s="178"/>
      <c r="AB15" s="178"/>
      <c r="AC15" s="314">
        <f>IFERROR(VLOOKUP(基本資料填寫!$E$1&amp;"-"&amp;ROW(書籍檔建置!S12),基本資料填寫!$E:$EU,COLUMN(基本資料填寫!W12),0),"")</f>
        <v>120</v>
      </c>
      <c r="AD15" s="166">
        <f>IFERROR(VLOOKUP(基本資料填寫!$E$1&amp;"-"&amp;ROW(書籍檔建置!BM12),基本資料填寫!$E:$EU,COLUMN(基本資料填寫!BQ12),0),"")</f>
        <v>0</v>
      </c>
      <c r="AE15" s="178"/>
      <c r="AF15" s="178"/>
      <c r="AG15" s="178"/>
      <c r="AH15" s="314" t="str">
        <f>IFERROR(VLOOKUP(基本資料填寫!$E$1&amp;"-"&amp;ROW(書籍檔建置!CB12),基本資料填寫!$E:$EU,COLUMN(基本資料填寫!CF12),0),"")</f>
        <v>A</v>
      </c>
      <c r="AI15" s="314" t="str">
        <f>IFERROR(VLOOKUP(基本資料填寫!$E$1&amp;"-"&amp;ROW(書籍檔建置!CC12),基本資料填寫!$E:$EU,COLUMN(基本資料填寫!CG12),0),"")</f>
        <v>1973B</v>
      </c>
      <c r="AJ15" s="314" t="str">
        <f>IFERROR(VLOOKUP(基本資料填寫!$E$1&amp;"-"&amp;ROW(書籍檔建置!H12),基本資料填寫!$E:$EU,COLUMN(基本資料填寫!K12),0),"")</f>
        <v>358.004 SCM</v>
      </c>
      <c r="AK15" s="314" t="str">
        <f>IFERROR(VLOOKUP(基本資料填寫!$E$1&amp;"-"&amp;ROW(書籍檔建置!CF12),基本資料填寫!$E:$EU,COLUMN(基本資料填寫!CJ12),0),"")</f>
        <v>2</v>
      </c>
      <c r="AL15" s="314">
        <f>IFERROR(VLOOKUP(基本資料填寫!$E$1&amp;"-"&amp;ROW(書籍檔建置!CG12),基本資料填寫!$E:$EU,COLUMN(基本資料填寫!CK12),0),"")</f>
        <v>3</v>
      </c>
      <c r="AM15" s="314" t="str">
        <f>IFERROR(VLOOKUP(基本資料填寫!$E$1&amp;"-"&amp;ROW(書籍檔建置!BP12),基本資料填寫!$E:$EU,COLUMN(基本資料填寫!BT12),0),"")</f>
        <v>B21317</v>
      </c>
      <c r="AN15" s="153"/>
      <c r="AO15" s="178"/>
    </row>
    <row r="16" spans="1:41" s="117" customFormat="1" ht="16.95" customHeight="1" x14ac:dyDescent="0.3">
      <c r="B16" s="47">
        <f>IF(F16="","",COUNTA($F$4:F16))</f>
        <v>13</v>
      </c>
      <c r="C16" s="314" t="str">
        <f>IFERROR(VLOOKUP(基本資料填寫!$E$1&amp;"-"&amp;ROW(書籍檔建置!K13),基本資料填寫!$E:$EU,COLUMN(基本資料填寫!O13),0),"")</f>
        <v>5965</v>
      </c>
      <c r="D16" s="314" t="str">
        <f>IFERROR(VLOOKUP(基本資料填寫!$E$1&amp;"-"&amp;ROW(書籍檔建置!N13),基本資料填寫!$E:$EU,COLUMN(基本資料填寫!R13),0),"")</f>
        <v>YETL22082</v>
      </c>
      <c r="E16" s="314" t="str">
        <f>IFERROR(VLOOKUP(基本資料填寫!$E$1&amp;"-"&amp;ROW(書籍檔建置!AF13),基本資料填寫!$E:$EU,COLUMN(基本資料填寫!AJ13),0),"")</f>
        <v>BOX,HANDSET STORAGE</v>
      </c>
      <c r="F16" s="314" t="str">
        <f>IFERROR(VLOOKUP(基本資料填寫!$E$1&amp;"-"&amp;ROW(書籍檔建置!J13),基本資料填寫!$E:$EU,COLUMN(基本資料填寫!N13),0),"")</f>
        <v>聲力電話放置箱-雙</v>
      </c>
      <c r="G16" s="314" t="str">
        <f>IFERROR(VLOOKUP(基本資料填寫!$E$1&amp;"-"&amp;ROW(書籍檔建置!BO13),基本資料填寫!$E:$EU,COLUMN(基本資料填寫!BS13),0),"")</f>
        <v>C35</v>
      </c>
      <c r="H16" s="314" t="str">
        <f>IFERROR(VLOOKUP(基本資料填寫!$E$1&amp;"-"&amp;ROW(書籍檔建置!R13),基本資料填寫!$E:$EU,COLUMN(基本資料填寫!V13),0),"")</f>
        <v>EA</v>
      </c>
      <c r="I16" s="315" t="str">
        <f>IFERROR(VLOOKUP(基本資料填寫!$E$1&amp;"-"&amp;ROW(書籍檔建置!BQ13),基本資料填寫!$E:$EU,COLUMN(基本資料填寫!BU13),0),"")</f>
        <v>1</v>
      </c>
      <c r="J16" s="314" t="str">
        <f>IFERROR(VLOOKUP(基本資料填寫!$E$1&amp;"-"&amp;ROW(書籍檔建置!BW13),基本資料填寫!$E:$EU,COLUMN(基本資料填寫!CA13),0),"")</f>
        <v>C</v>
      </c>
      <c r="K16" s="314" t="str">
        <f>IFERROR(VLOOKUP(基本資料填寫!$E$1&amp;"-"&amp;ROW(書籍檔建置!BR13),基本資料填寫!$E:$EU,COLUMN(基本資料填寫!BV13),0),"")</f>
        <v>0</v>
      </c>
      <c r="L16" s="314" t="str">
        <f>IFERROR(VLOOKUP(基本資料填寫!$E$1&amp;"-"&amp;ROW(書籍檔建置!BS13),基本資料填寫!$E:$EU,COLUMN(基本資料填寫!BW13),0),"")</f>
        <v>C</v>
      </c>
      <c r="M16" s="166" t="str">
        <f>IFERROR(VLOOKUP(基本資料填寫!$E$1&amp;"-"&amp;ROW(書籍檔建置!BK13),基本資料填寫!$E:$EU,COLUMN(基本資料填寫!BO13),0),"")</f>
        <v>C</v>
      </c>
      <c r="N16" s="314" t="str">
        <f>IFERROR(VLOOKUP(基本資料填寫!$E$1&amp;"-"&amp;ROW(書籍檔建置!AG13),基本資料填寫!$E:$EU,COLUMN(基本資料填寫!AK13),0),"")</f>
        <v>41713</v>
      </c>
      <c r="O16" s="314" t="str">
        <f>IFERROR(VLOOKUP(基本資料填寫!$E$1&amp;"-"&amp;ROW(書籍檔建置!BT13),基本資料填寫!$E:$EU,COLUMN(基本資料填寫!BX13),0),"")</f>
        <v>U</v>
      </c>
      <c r="P16" s="314" t="str">
        <f>IFERROR(VLOOKUP(基本資料填寫!$E$1&amp;"-"&amp;ROW(書籍檔建置!BU13),基本資料填寫!$E:$EU,COLUMN(基本資料填寫!BY13),0),"")</f>
        <v>M</v>
      </c>
      <c r="Q16" s="314" t="str">
        <f>IFERROR(VLOOKUP(基本資料填寫!$E$1&amp;"-"&amp;ROW(書籍檔建置!BV13),基本資料填寫!$E:$EU,COLUMN(基本資料填寫!BZ13),0),"")</f>
        <v>E</v>
      </c>
      <c r="R16" s="314" t="str">
        <f>IFERROR(VLOOKUP(基本資料填寫!$E$1&amp;"-"&amp;ROW(書籍檔建置!BX13),基本資料填寫!$E:$EU,COLUMN(基本資料填寫!CB13),0),"")</f>
        <v>A</v>
      </c>
      <c r="S16" s="314" t="str">
        <f>IFERROR(VLOOKUP(基本資料填寫!$E$1&amp;"-"&amp;ROW(書籍檔建置!BY13),基本資料填寫!$E:$EU,COLUMN(基本資料填寫!CC13),0),"")</f>
        <v>00</v>
      </c>
      <c r="T16" s="314" t="str">
        <f>IFERROR(VLOOKUP(基本資料填寫!$E$1&amp;"-"&amp;ROW(書籍檔建置!BZ13),基本資料填寫!$E:$EU,COLUMN(基本資料填寫!CD13),0),"")</f>
        <v>E</v>
      </c>
      <c r="U16" s="314" t="str">
        <f>IFERROR(VLOOKUP(基本資料填寫!$E$1&amp;"-"&amp;ROW(書籍檔建置!CA13),基本資料填寫!$E:$EU,COLUMN(基本資料填寫!CE13),0),"")</f>
        <v>0</v>
      </c>
      <c r="V16" s="166">
        <f>IFERROR(VLOOKUP(基本資料填寫!$E$1&amp;"-"&amp;ROW(書籍檔建置!BL13),基本資料填寫!$E:$EU,COLUMN(基本資料填寫!BP13),0),"")</f>
        <v>4</v>
      </c>
      <c r="W16" s="178"/>
      <c r="X16" s="178"/>
      <c r="Y16" s="178"/>
      <c r="Z16" s="178"/>
      <c r="AA16" s="178"/>
      <c r="AB16" s="178"/>
      <c r="AC16" s="314">
        <f>IFERROR(VLOOKUP(基本資料填寫!$E$1&amp;"-"&amp;ROW(書籍檔建置!S13),基本資料填寫!$E:$EU,COLUMN(基本資料填寫!W13),0),"")</f>
        <v>150</v>
      </c>
      <c r="AD16" s="166">
        <f>IFERROR(VLOOKUP(基本資料填寫!$E$1&amp;"-"&amp;ROW(書籍檔建置!BM13),基本資料填寫!$E:$EU,COLUMN(基本資料填寫!BQ13),0),"")</f>
        <v>0</v>
      </c>
      <c r="AE16" s="178"/>
      <c r="AF16" s="178"/>
      <c r="AG16" s="178"/>
      <c r="AH16" s="314" t="str">
        <f>IFERROR(VLOOKUP(基本資料填寫!$E$1&amp;"-"&amp;ROW(書籍檔建置!CB13),基本資料填寫!$E:$EU,COLUMN(基本資料填寫!CF13),0),"")</f>
        <v>A</v>
      </c>
      <c r="AI16" s="314" t="str">
        <f>IFERROR(VLOOKUP(基本資料填寫!$E$1&amp;"-"&amp;ROW(書籍檔建置!CC13),基本資料填寫!$E:$EU,COLUMN(基本資料填寫!CG13),0),"")</f>
        <v>1973B</v>
      </c>
      <c r="AJ16" s="314" t="str">
        <f>IFERROR(VLOOKUP(基本資料填寫!$E$1&amp;"-"&amp;ROW(書籍檔建置!H13),基本資料填寫!$E:$EU,COLUMN(基本資料填寫!K13),0),"")</f>
        <v>358.005 SCM</v>
      </c>
      <c r="AK16" s="314" t="str">
        <f>IFERROR(VLOOKUP(基本資料填寫!$E$1&amp;"-"&amp;ROW(書籍檔建置!CF13),基本資料填寫!$E:$EU,COLUMN(基本資料填寫!CJ13),0),"")</f>
        <v>2</v>
      </c>
      <c r="AL16" s="314">
        <f>IFERROR(VLOOKUP(基本資料填寫!$E$1&amp;"-"&amp;ROW(書籍檔建置!CG13),基本資料填寫!$E:$EU,COLUMN(基本資料填寫!CK13),0),"")</f>
        <v>3</v>
      </c>
      <c r="AM16" s="314" t="str">
        <f>IFERROR(VLOOKUP(基本資料填寫!$E$1&amp;"-"&amp;ROW(書籍檔建置!BP13),基本資料填寫!$E:$EU,COLUMN(基本資料填寫!BT13),0),"")</f>
        <v>B21317</v>
      </c>
      <c r="AN16" s="153"/>
      <c r="AO16" s="178"/>
    </row>
    <row r="17" spans="2:41" s="117" customFormat="1" ht="16.95" customHeight="1" x14ac:dyDescent="0.3">
      <c r="B17" s="47">
        <f>IF(F17="","",COUNTA($F$4:F17))</f>
        <v>14</v>
      </c>
      <c r="C17" s="314" t="str">
        <f>IFERROR(VLOOKUP(基本資料填寫!$E$1&amp;"-"&amp;ROW(書籍檔建置!K14),基本資料填寫!$E:$EU,COLUMN(基本資料填寫!O14),0),"")</f>
        <v>5945</v>
      </c>
      <c r="D17" s="314" t="str">
        <f>IFERROR(VLOOKUP(基本資料填寫!$E$1&amp;"-"&amp;ROW(書籍檔建置!N14),基本資料填寫!$E:$EU,COLUMN(基本資料填寫!R14),0),"")</f>
        <v>YETL22091</v>
      </c>
      <c r="E17" s="314" t="str">
        <f>IFERROR(VLOOKUP(基本資料填寫!$E$1&amp;"-"&amp;ROW(書籍檔建置!AF14),基本資料填寫!$E:$EU,COLUMN(基本資料填寫!AJ14),0),"")</f>
        <v>RELAY ASSEMBLY</v>
      </c>
      <c r="F17" s="314" t="str">
        <f>IFERROR(VLOOKUP(基本資料填寫!$E$1&amp;"-"&amp;ROW(書籍檔建置!J14),基本資料填寫!$E:$EU,COLUMN(基本資料填寫!N14),0),"")</f>
        <v>繼電器控制盒</v>
      </c>
      <c r="G17" s="314" t="str">
        <f>IFERROR(VLOOKUP(基本資料填寫!$E$1&amp;"-"&amp;ROW(書籍檔建置!BO14),基本資料填寫!$E:$EU,COLUMN(基本資料填寫!BS14),0),"")</f>
        <v>C35</v>
      </c>
      <c r="H17" s="314" t="str">
        <f>IFERROR(VLOOKUP(基本資料填寫!$E$1&amp;"-"&amp;ROW(書籍檔建置!R14),基本資料填寫!$E:$EU,COLUMN(基本資料填寫!V14),0),"")</f>
        <v>EA</v>
      </c>
      <c r="I17" s="315" t="str">
        <f>IFERROR(VLOOKUP(基本資料填寫!$E$1&amp;"-"&amp;ROW(書籍檔建置!BQ14),基本資料填寫!$E:$EU,COLUMN(基本資料填寫!BU14),0),"")</f>
        <v>1</v>
      </c>
      <c r="J17" s="314" t="str">
        <f>IFERROR(VLOOKUP(基本資料填寫!$E$1&amp;"-"&amp;ROW(書籍檔建置!BW14),基本資料填寫!$E:$EU,COLUMN(基本資料填寫!CA14),0),"")</f>
        <v>C</v>
      </c>
      <c r="K17" s="314" t="str">
        <f>IFERROR(VLOOKUP(基本資料填寫!$E$1&amp;"-"&amp;ROW(書籍檔建置!BR14),基本資料填寫!$E:$EU,COLUMN(基本資料填寫!BV14),0),"")</f>
        <v>0</v>
      </c>
      <c r="L17" s="314" t="str">
        <f>IFERROR(VLOOKUP(基本資料填寫!$E$1&amp;"-"&amp;ROW(書籍檔建置!BS14),基本資料填寫!$E:$EU,COLUMN(基本資料填寫!BW14),0),"")</f>
        <v>C</v>
      </c>
      <c r="M17" s="166" t="str">
        <f>IFERROR(VLOOKUP(基本資料填寫!$E$1&amp;"-"&amp;ROW(書籍檔建置!BK14),基本資料填寫!$E:$EU,COLUMN(基本資料填寫!BO14),0),"")</f>
        <v>C</v>
      </c>
      <c r="N17" s="314" t="str">
        <f>IFERROR(VLOOKUP(基本資料填寫!$E$1&amp;"-"&amp;ROW(書籍檔建置!AG14),基本資料填寫!$E:$EU,COLUMN(基本資料填寫!AK14),0),"")</f>
        <v>00447</v>
      </c>
      <c r="O17" s="314" t="str">
        <f>IFERROR(VLOOKUP(基本資料填寫!$E$1&amp;"-"&amp;ROW(書籍檔建置!BT14),基本資料填寫!$E:$EU,COLUMN(基本資料填寫!BX14),0),"")</f>
        <v>U</v>
      </c>
      <c r="P17" s="314" t="str">
        <f>IFERROR(VLOOKUP(基本資料填寫!$E$1&amp;"-"&amp;ROW(書籍檔建置!BU14),基本資料填寫!$E:$EU,COLUMN(基本資料填寫!BY14),0),"")</f>
        <v>M</v>
      </c>
      <c r="Q17" s="314" t="str">
        <f>IFERROR(VLOOKUP(基本資料填寫!$E$1&amp;"-"&amp;ROW(書籍檔建置!BV14),基本資料填寫!$E:$EU,COLUMN(基本資料填寫!BZ14),0),"")</f>
        <v>E</v>
      </c>
      <c r="R17" s="314" t="str">
        <f>IFERROR(VLOOKUP(基本資料填寫!$E$1&amp;"-"&amp;ROW(書籍檔建置!BX14),基本資料填寫!$E:$EU,COLUMN(基本資料填寫!CB14),0),"")</f>
        <v>A</v>
      </c>
      <c r="S17" s="314" t="str">
        <f>IFERROR(VLOOKUP(基本資料填寫!$E$1&amp;"-"&amp;ROW(書籍檔建置!BY14),基本資料填寫!$E:$EU,COLUMN(基本資料填寫!CC14),0),"")</f>
        <v>00</v>
      </c>
      <c r="T17" s="314" t="str">
        <f>IFERROR(VLOOKUP(基本資料填寫!$E$1&amp;"-"&amp;ROW(書籍檔建置!BZ14),基本資料填寫!$E:$EU,COLUMN(基本資料填寫!CD14),0),"")</f>
        <v>E</v>
      </c>
      <c r="U17" s="314" t="str">
        <f>IFERROR(VLOOKUP(基本資料填寫!$E$1&amp;"-"&amp;ROW(書籍檔建置!CA14),基本資料填寫!$E:$EU,COLUMN(基本資料填寫!CE14),0),"")</f>
        <v>0</v>
      </c>
      <c r="V17" s="166">
        <f>IFERROR(VLOOKUP(基本資料填寫!$E$1&amp;"-"&amp;ROW(書籍檔建置!BL14),基本資料填寫!$E:$EU,COLUMN(基本資料填寫!BP14),0),"")</f>
        <v>4</v>
      </c>
      <c r="W17" s="178"/>
      <c r="X17" s="178"/>
      <c r="Y17" s="178"/>
      <c r="Z17" s="178"/>
      <c r="AA17" s="178"/>
      <c r="AB17" s="178"/>
      <c r="AC17" s="314">
        <f>IFERROR(VLOOKUP(基本資料填寫!$E$1&amp;"-"&amp;ROW(書籍檔建置!S14),基本資料填寫!$E:$EU,COLUMN(基本資料填寫!W14),0),"")</f>
        <v>50</v>
      </c>
      <c r="AD17" s="166">
        <f>IFERROR(VLOOKUP(基本資料填寫!$E$1&amp;"-"&amp;ROW(書籍檔建置!BM14),基本資料填寫!$E:$EU,COLUMN(基本資料填寫!BQ14),0),"")</f>
        <v>0</v>
      </c>
      <c r="AE17" s="178"/>
      <c r="AF17" s="178"/>
      <c r="AG17" s="178"/>
      <c r="AH17" s="314" t="str">
        <f>IFERROR(VLOOKUP(基本資料填寫!$E$1&amp;"-"&amp;ROW(書籍檔建置!CB14),基本資料填寫!$E:$EU,COLUMN(基本資料填寫!CF14),0),"")</f>
        <v>A</v>
      </c>
      <c r="AI17" s="314" t="str">
        <f>IFERROR(VLOOKUP(基本資料填寫!$E$1&amp;"-"&amp;ROW(書籍檔建置!CC14),基本資料填寫!$E:$EU,COLUMN(基本資料填寫!CG14),0),"")</f>
        <v>1973B</v>
      </c>
      <c r="AJ17" s="314" t="str">
        <f>IFERROR(VLOOKUP(基本資料填寫!$E$1&amp;"-"&amp;ROW(書籍檔建置!H14),基本資料填寫!$E:$EU,COLUMN(基本資料填寫!K14),0),"")</f>
        <v>455.003</v>
      </c>
      <c r="AK17" s="314" t="str">
        <f>IFERROR(VLOOKUP(基本資料填寫!$E$1&amp;"-"&amp;ROW(書籍檔建置!CF14),基本資料填寫!$E:$EU,COLUMN(基本資料填寫!CJ14),0),"")</f>
        <v>2</v>
      </c>
      <c r="AL17" s="314">
        <f>IFERROR(VLOOKUP(基本資料填寫!$E$1&amp;"-"&amp;ROW(書籍檔建置!CG14),基本資料填寫!$E:$EU,COLUMN(基本資料填寫!CK14),0),"")</f>
        <v>3</v>
      </c>
      <c r="AM17" s="314" t="str">
        <f>IFERROR(VLOOKUP(基本資料填寫!$E$1&amp;"-"&amp;ROW(書籍檔建置!BP14),基本資料填寫!$E:$EU,COLUMN(基本資料填寫!BT14),0),"")</f>
        <v>B21317</v>
      </c>
      <c r="AN17" s="153"/>
      <c r="AO17" s="178"/>
    </row>
    <row r="18" spans="2:41" s="117" customFormat="1" ht="16.95" customHeight="1" x14ac:dyDescent="0.3">
      <c r="B18" s="47" t="str">
        <f>IF(F18="","",COUNTA($F$4:F18))</f>
        <v/>
      </c>
      <c r="C18" s="314" t="str">
        <f>IFERROR(VLOOKUP(基本資料填寫!$E$1&amp;"-"&amp;ROW(書籍檔建置!K15),基本資料填寫!$E:$EU,COLUMN(基本資料填寫!O15),0),"")</f>
        <v/>
      </c>
      <c r="D18" s="314" t="str">
        <f>IFERROR(VLOOKUP(基本資料填寫!$E$1&amp;"-"&amp;ROW(書籍檔建置!N15),基本資料填寫!$E:$EU,COLUMN(基本資料填寫!R15),0),"")</f>
        <v/>
      </c>
      <c r="E18" s="314" t="str">
        <f>IFERROR(VLOOKUP(基本資料填寫!$E$1&amp;"-"&amp;ROW(書籍檔建置!AF15),基本資料填寫!$E:$EU,COLUMN(基本資料填寫!AJ15),0),"")</f>
        <v/>
      </c>
      <c r="F18" s="314" t="str">
        <f>IFERROR(VLOOKUP(基本資料填寫!$E$1&amp;"-"&amp;ROW(書籍檔建置!J15),基本資料填寫!$E:$EU,COLUMN(基本資料填寫!N15),0),"")</f>
        <v/>
      </c>
      <c r="G18" s="314" t="str">
        <f>IFERROR(VLOOKUP(基本資料填寫!$E$1&amp;"-"&amp;ROW(書籍檔建置!BO15),基本資料填寫!$E:$EU,COLUMN(基本資料填寫!BS15),0),"")</f>
        <v/>
      </c>
      <c r="H18" s="314" t="str">
        <f>IFERROR(VLOOKUP(基本資料填寫!$E$1&amp;"-"&amp;ROW(書籍檔建置!R15),基本資料填寫!$E:$EU,COLUMN(基本資料填寫!V15),0),"")</f>
        <v/>
      </c>
      <c r="I18" s="315" t="str">
        <f>IFERROR(VLOOKUP(基本資料填寫!$E$1&amp;"-"&amp;ROW(書籍檔建置!BQ15),基本資料填寫!$E:$EU,COLUMN(基本資料填寫!BU15),0),"")</f>
        <v/>
      </c>
      <c r="J18" s="314" t="str">
        <f>IFERROR(VLOOKUP(基本資料填寫!$E$1&amp;"-"&amp;ROW(書籍檔建置!BW15),基本資料填寫!$E:$EU,COLUMN(基本資料填寫!CA15),0),"")</f>
        <v/>
      </c>
      <c r="K18" s="314" t="str">
        <f>IFERROR(VLOOKUP(基本資料填寫!$E$1&amp;"-"&amp;ROW(書籍檔建置!BR15),基本資料填寫!$E:$EU,COLUMN(基本資料填寫!BV15),0),"")</f>
        <v/>
      </c>
      <c r="L18" s="314" t="str">
        <f>IFERROR(VLOOKUP(基本資料填寫!$E$1&amp;"-"&amp;ROW(書籍檔建置!BS15),基本資料填寫!$E:$EU,COLUMN(基本資料填寫!BW15),0),"")</f>
        <v/>
      </c>
      <c r="M18" s="166" t="str">
        <f>IFERROR(VLOOKUP(基本資料填寫!$E$1&amp;"-"&amp;ROW(書籍檔建置!BK15),基本資料填寫!$E:$EU,COLUMN(基本資料填寫!BO15),0),"")</f>
        <v/>
      </c>
      <c r="N18" s="314" t="str">
        <f>IFERROR(VLOOKUP(基本資料填寫!$E$1&amp;"-"&amp;ROW(書籍檔建置!AG15),基本資料填寫!$E:$EU,COLUMN(基本資料填寫!AK15),0),"")</f>
        <v/>
      </c>
      <c r="O18" s="314" t="str">
        <f>IFERROR(VLOOKUP(基本資料填寫!$E$1&amp;"-"&amp;ROW(書籍檔建置!BT15),基本資料填寫!$E:$EU,COLUMN(基本資料填寫!BX15),0),"")</f>
        <v/>
      </c>
      <c r="P18" s="314" t="str">
        <f>IFERROR(VLOOKUP(基本資料填寫!$E$1&amp;"-"&amp;ROW(書籍檔建置!BU15),基本資料填寫!$E:$EU,COLUMN(基本資料填寫!BY15),0),"")</f>
        <v/>
      </c>
      <c r="Q18" s="314" t="str">
        <f>IFERROR(VLOOKUP(基本資料填寫!$E$1&amp;"-"&amp;ROW(書籍檔建置!BV15),基本資料填寫!$E:$EU,COLUMN(基本資料填寫!BZ15),0),"")</f>
        <v/>
      </c>
      <c r="R18" s="314" t="str">
        <f>IFERROR(VLOOKUP(基本資料填寫!$E$1&amp;"-"&amp;ROW(書籍檔建置!BX15),基本資料填寫!$E:$EU,COLUMN(基本資料填寫!CB15),0),"")</f>
        <v/>
      </c>
      <c r="S18" s="314" t="str">
        <f>IFERROR(VLOOKUP(基本資料填寫!$E$1&amp;"-"&amp;ROW(書籍檔建置!BY15),基本資料填寫!$E:$EU,COLUMN(基本資料填寫!CC15),0),"")</f>
        <v/>
      </c>
      <c r="T18" s="314" t="str">
        <f>IFERROR(VLOOKUP(基本資料填寫!$E$1&amp;"-"&amp;ROW(書籍檔建置!BZ15),基本資料填寫!$E:$EU,COLUMN(基本資料填寫!CD15),0),"")</f>
        <v/>
      </c>
      <c r="U18" s="314" t="str">
        <f>IFERROR(VLOOKUP(基本資料填寫!$E$1&amp;"-"&amp;ROW(書籍檔建置!CA15),基本資料填寫!$E:$EU,COLUMN(基本資料填寫!CE15),0),"")</f>
        <v/>
      </c>
      <c r="V18" s="166" t="str">
        <f>IFERROR(VLOOKUP(基本資料填寫!$E$1&amp;"-"&amp;ROW(書籍檔建置!BL15),基本資料填寫!$E:$EU,COLUMN(基本資料填寫!BP15),0),"")</f>
        <v/>
      </c>
      <c r="W18" s="178"/>
      <c r="X18" s="178"/>
      <c r="Y18" s="178"/>
      <c r="Z18" s="178"/>
      <c r="AA18" s="178"/>
      <c r="AB18" s="178"/>
      <c r="AC18" s="314" t="str">
        <f>IFERROR(VLOOKUP(基本資料填寫!$E$1&amp;"-"&amp;ROW(書籍檔建置!S15),基本資料填寫!$E:$EU,COLUMN(基本資料填寫!W15),0),"")</f>
        <v/>
      </c>
      <c r="AD18" s="166" t="str">
        <f>IFERROR(VLOOKUP(基本資料填寫!$E$1&amp;"-"&amp;ROW(書籍檔建置!BM15),基本資料填寫!$E:$EU,COLUMN(基本資料填寫!BQ15),0),"")</f>
        <v/>
      </c>
      <c r="AE18" s="178"/>
      <c r="AF18" s="178"/>
      <c r="AG18" s="178"/>
      <c r="AH18" s="314" t="str">
        <f>IFERROR(VLOOKUP(基本資料填寫!$E$1&amp;"-"&amp;ROW(書籍檔建置!CB15),基本資料填寫!$E:$EU,COLUMN(基本資料填寫!CF15),0),"")</f>
        <v/>
      </c>
      <c r="AI18" s="314" t="str">
        <f>IFERROR(VLOOKUP(基本資料填寫!$E$1&amp;"-"&amp;ROW(書籍檔建置!CC15),基本資料填寫!$E:$EU,COLUMN(基本資料填寫!CG15),0),"")</f>
        <v/>
      </c>
      <c r="AJ18" s="314" t="str">
        <f>IFERROR(VLOOKUP(基本資料填寫!$E$1&amp;"-"&amp;ROW(書籍檔建置!H15),基本資料填寫!$E:$EU,COLUMN(基本資料填寫!K15),0),"")</f>
        <v/>
      </c>
      <c r="AK18" s="314" t="str">
        <f>IFERROR(VLOOKUP(基本資料填寫!$E$1&amp;"-"&amp;ROW(書籍檔建置!CF15),基本資料填寫!$E:$EU,COLUMN(基本資料填寫!CJ15),0),"")</f>
        <v/>
      </c>
      <c r="AL18" s="314" t="str">
        <f>IFERROR(VLOOKUP(基本資料填寫!$E$1&amp;"-"&amp;ROW(書籍檔建置!CG15),基本資料填寫!$E:$EU,COLUMN(基本資料填寫!CK15),0),"")</f>
        <v/>
      </c>
      <c r="AM18" s="314" t="str">
        <f>IFERROR(VLOOKUP(基本資料填寫!$E$1&amp;"-"&amp;ROW(書籍檔建置!BP15),基本資料填寫!$E:$EU,COLUMN(基本資料填寫!BT15),0),"")</f>
        <v/>
      </c>
      <c r="AN18" s="153"/>
      <c r="AO18" s="178"/>
    </row>
    <row r="19" spans="2:41" x14ac:dyDescent="0.3">
      <c r="B19" s="47" t="str">
        <f>IF(F19="","",COUNTA($F$4:F19))</f>
        <v/>
      </c>
      <c r="C19" s="314" t="str">
        <f>IFERROR(VLOOKUP(基本資料填寫!$E$1&amp;"-"&amp;ROW(書籍檔建置!K16),基本資料填寫!$E:$EU,COLUMN(基本資料填寫!O16),0),"")</f>
        <v/>
      </c>
      <c r="D19" s="314" t="str">
        <f>IFERROR(VLOOKUP(基本資料填寫!$E$1&amp;"-"&amp;ROW(書籍檔建置!N16),基本資料填寫!$E:$EU,COLUMN(基本資料填寫!R16),0),"")</f>
        <v/>
      </c>
      <c r="E19" s="314" t="str">
        <f>IFERROR(VLOOKUP(基本資料填寫!$E$1&amp;"-"&amp;ROW(書籍檔建置!AF16),基本資料填寫!$E:$EU,COLUMN(基本資料填寫!AJ16),0),"")</f>
        <v/>
      </c>
      <c r="F19" s="314" t="str">
        <f>IFERROR(VLOOKUP(基本資料填寫!$E$1&amp;"-"&amp;ROW(書籍檔建置!J16),基本資料填寫!$E:$EU,COLUMN(基本資料填寫!N16),0),"")</f>
        <v/>
      </c>
      <c r="G19" s="314" t="str">
        <f>IFERROR(VLOOKUP(基本資料填寫!$E$1&amp;"-"&amp;ROW(書籍檔建置!BO16),基本資料填寫!$E:$EU,COLUMN(基本資料填寫!BS16),0),"")</f>
        <v/>
      </c>
      <c r="H19" s="314" t="str">
        <f>IFERROR(VLOOKUP(基本資料填寫!$E$1&amp;"-"&amp;ROW(書籍檔建置!R16),基本資料填寫!$E:$EU,COLUMN(基本資料填寫!V16),0),"")</f>
        <v/>
      </c>
      <c r="I19" s="315" t="str">
        <f>IFERROR(VLOOKUP(基本資料填寫!$E$1&amp;"-"&amp;ROW(書籍檔建置!BQ16),基本資料填寫!$E:$EU,COLUMN(基本資料填寫!BU16),0),"")</f>
        <v/>
      </c>
      <c r="J19" s="314" t="str">
        <f>IFERROR(VLOOKUP(基本資料填寫!$E$1&amp;"-"&amp;ROW(書籍檔建置!BW16),基本資料填寫!$E:$EU,COLUMN(基本資料填寫!CA16),0),"")</f>
        <v/>
      </c>
      <c r="K19" s="314" t="str">
        <f>IFERROR(VLOOKUP(基本資料填寫!$E$1&amp;"-"&amp;ROW(書籍檔建置!BR16),基本資料填寫!$E:$EU,COLUMN(基本資料填寫!BV16),0),"")</f>
        <v/>
      </c>
      <c r="L19" s="314" t="str">
        <f>IFERROR(VLOOKUP(基本資料填寫!$E$1&amp;"-"&amp;ROW(書籍檔建置!BS16),基本資料填寫!$E:$EU,COLUMN(基本資料填寫!BW16),0),"")</f>
        <v/>
      </c>
      <c r="M19" s="166" t="str">
        <f>IFERROR(VLOOKUP(基本資料填寫!$E$1&amp;"-"&amp;ROW(書籍檔建置!BK16),基本資料填寫!$E:$EU,COLUMN(基本資料填寫!BO16),0),"")</f>
        <v/>
      </c>
      <c r="N19" s="314" t="str">
        <f>IFERROR(VLOOKUP(基本資料填寫!$E$1&amp;"-"&amp;ROW(書籍檔建置!AG16),基本資料填寫!$E:$EU,COLUMN(基本資料填寫!AK16),0),"")</f>
        <v/>
      </c>
      <c r="O19" s="314" t="str">
        <f>IFERROR(VLOOKUP(基本資料填寫!$E$1&amp;"-"&amp;ROW(書籍檔建置!BT16),基本資料填寫!$E:$EU,COLUMN(基本資料填寫!BX16),0),"")</f>
        <v/>
      </c>
      <c r="P19" s="314" t="str">
        <f>IFERROR(VLOOKUP(基本資料填寫!$E$1&amp;"-"&amp;ROW(書籍檔建置!BU16),基本資料填寫!$E:$EU,COLUMN(基本資料填寫!BY16),0),"")</f>
        <v/>
      </c>
      <c r="Q19" s="314" t="str">
        <f>IFERROR(VLOOKUP(基本資料填寫!$E$1&amp;"-"&amp;ROW(書籍檔建置!BV16),基本資料填寫!$E:$EU,COLUMN(基本資料填寫!BZ16),0),"")</f>
        <v/>
      </c>
      <c r="R19" s="314" t="str">
        <f>IFERROR(VLOOKUP(基本資料填寫!$E$1&amp;"-"&amp;ROW(書籍檔建置!BX16),基本資料填寫!$E:$EU,COLUMN(基本資料填寫!CB16),0),"")</f>
        <v/>
      </c>
      <c r="S19" s="314" t="str">
        <f>IFERROR(VLOOKUP(基本資料填寫!$E$1&amp;"-"&amp;ROW(書籍檔建置!BY16),基本資料填寫!$E:$EU,COLUMN(基本資料填寫!CC16),0),"")</f>
        <v/>
      </c>
      <c r="T19" s="314" t="str">
        <f>IFERROR(VLOOKUP(基本資料填寫!$E$1&amp;"-"&amp;ROW(書籍檔建置!BZ16),基本資料填寫!$E:$EU,COLUMN(基本資料填寫!CD16),0),"")</f>
        <v/>
      </c>
      <c r="U19" s="314" t="str">
        <f>IFERROR(VLOOKUP(基本資料填寫!$E$1&amp;"-"&amp;ROW(書籍檔建置!CA16),基本資料填寫!$E:$EU,COLUMN(基本資料填寫!CE16),0),"")</f>
        <v/>
      </c>
      <c r="V19" s="166" t="str">
        <f>IFERROR(VLOOKUP(基本資料填寫!$E$1&amp;"-"&amp;ROW(書籍檔建置!BL16),基本資料填寫!$E:$EU,COLUMN(基本資料填寫!BP16),0),"")</f>
        <v/>
      </c>
      <c r="W19" s="178"/>
      <c r="X19" s="178"/>
      <c r="Y19" s="178"/>
      <c r="Z19" s="178"/>
      <c r="AA19" s="178"/>
      <c r="AB19" s="178"/>
      <c r="AC19" s="314" t="str">
        <f>IFERROR(VLOOKUP(基本資料填寫!$E$1&amp;"-"&amp;ROW(書籍檔建置!S16),基本資料填寫!$E:$EU,COLUMN(基本資料填寫!W16),0),"")</f>
        <v/>
      </c>
      <c r="AD19" s="166" t="str">
        <f>IFERROR(VLOOKUP(基本資料填寫!$E$1&amp;"-"&amp;ROW(書籍檔建置!BM16),基本資料填寫!$E:$EU,COLUMN(基本資料填寫!BQ16),0),"")</f>
        <v/>
      </c>
      <c r="AE19" s="178"/>
      <c r="AF19" s="178"/>
      <c r="AG19" s="178"/>
      <c r="AH19" s="314" t="str">
        <f>IFERROR(VLOOKUP(基本資料填寫!$E$1&amp;"-"&amp;ROW(書籍檔建置!CB16),基本資料填寫!$E:$EU,COLUMN(基本資料填寫!CF16),0),"")</f>
        <v/>
      </c>
      <c r="AI19" s="314" t="str">
        <f>IFERROR(VLOOKUP(基本資料填寫!$E$1&amp;"-"&amp;ROW(書籍檔建置!CC16),基本資料填寫!$E:$EU,COLUMN(基本資料填寫!CG16),0),"")</f>
        <v/>
      </c>
      <c r="AJ19" s="314" t="str">
        <f>IFERROR(VLOOKUP(基本資料填寫!$E$1&amp;"-"&amp;ROW(書籍檔建置!H16),基本資料填寫!$E:$EU,COLUMN(基本資料填寫!K16),0),"")</f>
        <v/>
      </c>
      <c r="AK19" s="314" t="str">
        <f>IFERROR(VLOOKUP(基本資料填寫!$E$1&amp;"-"&amp;ROW(書籍檔建置!CF16),基本資料填寫!$E:$EU,COLUMN(基本資料填寫!CJ16),0),"")</f>
        <v/>
      </c>
      <c r="AL19" s="314" t="str">
        <f>IFERROR(VLOOKUP(基本資料填寫!$E$1&amp;"-"&amp;ROW(書籍檔建置!CG16),基本資料填寫!$E:$EU,COLUMN(基本資料填寫!CK16),0),"")</f>
        <v/>
      </c>
      <c r="AM19" s="314" t="str">
        <f>IFERROR(VLOOKUP(基本資料填寫!$E$1&amp;"-"&amp;ROW(書籍檔建置!BP16),基本資料填寫!$E:$EU,COLUMN(基本資料填寫!BT16),0),"")</f>
        <v/>
      </c>
      <c r="AN19" s="153"/>
    </row>
    <row r="20" spans="2:41" x14ac:dyDescent="0.3">
      <c r="B20" s="47" t="str">
        <f>IF(F20="","",COUNTA($F$4:F20))</f>
        <v/>
      </c>
      <c r="C20" s="314" t="str">
        <f>IFERROR(VLOOKUP(基本資料填寫!$E$1&amp;"-"&amp;ROW(書籍檔建置!K17),基本資料填寫!$E:$EU,COLUMN(基本資料填寫!O17),0),"")</f>
        <v/>
      </c>
      <c r="D20" s="314" t="str">
        <f>IFERROR(VLOOKUP(基本資料填寫!$E$1&amp;"-"&amp;ROW(書籍檔建置!N17),基本資料填寫!$E:$EU,COLUMN(基本資料填寫!R17),0),"")</f>
        <v/>
      </c>
      <c r="E20" s="314" t="str">
        <f>IFERROR(VLOOKUP(基本資料填寫!$E$1&amp;"-"&amp;ROW(書籍檔建置!AF17),基本資料填寫!$E:$EU,COLUMN(基本資料填寫!AJ17),0),"")</f>
        <v/>
      </c>
      <c r="F20" s="314" t="str">
        <f>IFERROR(VLOOKUP(基本資料填寫!$E$1&amp;"-"&amp;ROW(書籍檔建置!J17),基本資料填寫!$E:$EU,COLUMN(基本資料填寫!N17),0),"")</f>
        <v/>
      </c>
      <c r="G20" s="314" t="str">
        <f>IFERROR(VLOOKUP(基本資料填寫!$E$1&amp;"-"&amp;ROW(書籍檔建置!BO17),基本資料填寫!$E:$EU,COLUMN(基本資料填寫!BS17),0),"")</f>
        <v/>
      </c>
      <c r="H20" s="314" t="str">
        <f>IFERROR(VLOOKUP(基本資料填寫!$E$1&amp;"-"&amp;ROW(書籍檔建置!R17),基本資料填寫!$E:$EU,COLUMN(基本資料填寫!V17),0),"")</f>
        <v/>
      </c>
      <c r="I20" s="315" t="str">
        <f>IFERROR(VLOOKUP(基本資料填寫!$E$1&amp;"-"&amp;ROW(書籍檔建置!BQ17),基本資料填寫!$E:$EU,COLUMN(基本資料填寫!BU17),0),"")</f>
        <v/>
      </c>
      <c r="J20" s="314" t="str">
        <f>IFERROR(VLOOKUP(基本資料填寫!$E$1&amp;"-"&amp;ROW(書籍檔建置!BW17),基本資料填寫!$E:$EU,COLUMN(基本資料填寫!CA17),0),"")</f>
        <v/>
      </c>
      <c r="K20" s="314" t="str">
        <f>IFERROR(VLOOKUP(基本資料填寫!$E$1&amp;"-"&amp;ROW(書籍檔建置!BR17),基本資料填寫!$E:$EU,COLUMN(基本資料填寫!BV17),0),"")</f>
        <v/>
      </c>
      <c r="L20" s="314" t="str">
        <f>IFERROR(VLOOKUP(基本資料填寫!$E$1&amp;"-"&amp;ROW(書籍檔建置!BS17),基本資料填寫!$E:$EU,COLUMN(基本資料填寫!BW17),0),"")</f>
        <v/>
      </c>
      <c r="M20" s="166" t="str">
        <f>IFERROR(VLOOKUP(基本資料填寫!$E$1&amp;"-"&amp;ROW(書籍檔建置!BK17),基本資料填寫!$E:$EU,COLUMN(基本資料填寫!BO17),0),"")</f>
        <v/>
      </c>
      <c r="N20" s="314" t="str">
        <f>IFERROR(VLOOKUP(基本資料填寫!$E$1&amp;"-"&amp;ROW(書籍檔建置!AG17),基本資料填寫!$E:$EU,COLUMN(基本資料填寫!AK17),0),"")</f>
        <v/>
      </c>
      <c r="O20" s="314" t="str">
        <f>IFERROR(VLOOKUP(基本資料填寫!$E$1&amp;"-"&amp;ROW(書籍檔建置!BT17),基本資料填寫!$E:$EU,COLUMN(基本資料填寫!BX17),0),"")</f>
        <v/>
      </c>
      <c r="P20" s="314" t="str">
        <f>IFERROR(VLOOKUP(基本資料填寫!$E$1&amp;"-"&amp;ROW(書籍檔建置!BU17),基本資料填寫!$E:$EU,COLUMN(基本資料填寫!BY17),0),"")</f>
        <v/>
      </c>
      <c r="Q20" s="314" t="str">
        <f>IFERROR(VLOOKUP(基本資料填寫!$E$1&amp;"-"&amp;ROW(書籍檔建置!BV17),基本資料填寫!$E:$EU,COLUMN(基本資料填寫!BZ17),0),"")</f>
        <v/>
      </c>
      <c r="R20" s="314" t="str">
        <f>IFERROR(VLOOKUP(基本資料填寫!$E$1&amp;"-"&amp;ROW(書籍檔建置!BX17),基本資料填寫!$E:$EU,COLUMN(基本資料填寫!CB17),0),"")</f>
        <v/>
      </c>
      <c r="S20" s="314" t="str">
        <f>IFERROR(VLOOKUP(基本資料填寫!$E$1&amp;"-"&amp;ROW(書籍檔建置!BY17),基本資料填寫!$E:$EU,COLUMN(基本資料填寫!CC17),0),"")</f>
        <v/>
      </c>
      <c r="T20" s="314" t="str">
        <f>IFERROR(VLOOKUP(基本資料填寫!$E$1&amp;"-"&amp;ROW(書籍檔建置!BZ17),基本資料填寫!$E:$EU,COLUMN(基本資料填寫!CD17),0),"")</f>
        <v/>
      </c>
      <c r="U20" s="314" t="str">
        <f>IFERROR(VLOOKUP(基本資料填寫!$E$1&amp;"-"&amp;ROW(書籍檔建置!CA17),基本資料填寫!$E:$EU,COLUMN(基本資料填寫!CE17),0),"")</f>
        <v/>
      </c>
      <c r="V20" s="166" t="str">
        <f>IFERROR(VLOOKUP(基本資料填寫!$E$1&amp;"-"&amp;ROW(書籍檔建置!BL17),基本資料填寫!$E:$EU,COLUMN(基本資料填寫!BP17),0),"")</f>
        <v/>
      </c>
      <c r="W20" s="178"/>
      <c r="X20" s="178"/>
      <c r="Y20" s="178"/>
      <c r="Z20" s="178"/>
      <c r="AA20" s="178"/>
      <c r="AB20" s="178"/>
      <c r="AC20" s="314" t="str">
        <f>IFERROR(VLOOKUP(基本資料填寫!$E$1&amp;"-"&amp;ROW(書籍檔建置!S17),基本資料填寫!$E:$EU,COLUMN(基本資料填寫!W17),0),"")</f>
        <v/>
      </c>
      <c r="AD20" s="166" t="str">
        <f>IFERROR(VLOOKUP(基本資料填寫!$E$1&amp;"-"&amp;ROW(書籍檔建置!BM17),基本資料填寫!$E:$EU,COLUMN(基本資料填寫!BQ17),0),"")</f>
        <v/>
      </c>
      <c r="AE20" s="178"/>
      <c r="AF20" s="178"/>
      <c r="AG20" s="178"/>
      <c r="AH20" s="314" t="str">
        <f>IFERROR(VLOOKUP(基本資料填寫!$E$1&amp;"-"&amp;ROW(書籍檔建置!CB17),基本資料填寫!$E:$EU,COLUMN(基本資料填寫!CF17),0),"")</f>
        <v/>
      </c>
      <c r="AI20" s="314" t="str">
        <f>IFERROR(VLOOKUP(基本資料填寫!$E$1&amp;"-"&amp;ROW(書籍檔建置!CC17),基本資料填寫!$E:$EU,COLUMN(基本資料填寫!CG17),0),"")</f>
        <v/>
      </c>
      <c r="AJ20" s="314" t="str">
        <f>IFERROR(VLOOKUP(基本資料填寫!$E$1&amp;"-"&amp;ROW(書籍檔建置!H17),基本資料填寫!$E:$EU,COLUMN(基本資料填寫!K17),0),"")</f>
        <v/>
      </c>
      <c r="AK20" s="314" t="str">
        <f>IFERROR(VLOOKUP(基本資料填寫!$E$1&amp;"-"&amp;ROW(書籍檔建置!CF17),基本資料填寫!$E:$EU,COLUMN(基本資料填寫!CJ17),0),"")</f>
        <v/>
      </c>
      <c r="AL20" s="314" t="str">
        <f>IFERROR(VLOOKUP(基本資料填寫!$E$1&amp;"-"&amp;ROW(書籍檔建置!CG17),基本資料填寫!$E:$EU,COLUMN(基本資料填寫!CK17),0),"")</f>
        <v/>
      </c>
      <c r="AM20" s="314" t="str">
        <f>IFERROR(VLOOKUP(基本資料填寫!$E$1&amp;"-"&amp;ROW(書籍檔建置!BP17),基本資料填寫!$E:$EU,COLUMN(基本資料填寫!BT17),0),"")</f>
        <v/>
      </c>
      <c r="AN20" s="153"/>
    </row>
    <row r="21" spans="2:41" x14ac:dyDescent="0.3">
      <c r="B21" s="47" t="str">
        <f>IF(F21="","",COUNTA($F$4:F21))</f>
        <v/>
      </c>
      <c r="C21" s="314" t="str">
        <f>IFERROR(VLOOKUP(基本資料填寫!$E$1&amp;"-"&amp;ROW(書籍檔建置!K18),基本資料填寫!$E:$EU,COLUMN(基本資料填寫!O18),0),"")</f>
        <v/>
      </c>
      <c r="D21" s="314" t="str">
        <f>IFERROR(VLOOKUP(基本資料填寫!$E$1&amp;"-"&amp;ROW(書籍檔建置!N18),基本資料填寫!$E:$EU,COLUMN(基本資料填寫!R18),0),"")</f>
        <v/>
      </c>
      <c r="E21" s="314" t="str">
        <f>IFERROR(VLOOKUP(基本資料填寫!$E$1&amp;"-"&amp;ROW(書籍檔建置!AF18),基本資料填寫!$E:$EU,COLUMN(基本資料填寫!AJ18),0),"")</f>
        <v/>
      </c>
      <c r="F21" s="314" t="str">
        <f>IFERROR(VLOOKUP(基本資料填寫!$E$1&amp;"-"&amp;ROW(書籍檔建置!J18),基本資料填寫!$E:$EU,COLUMN(基本資料填寫!N18),0),"")</f>
        <v/>
      </c>
      <c r="G21" s="314" t="str">
        <f>IFERROR(VLOOKUP(基本資料填寫!$E$1&amp;"-"&amp;ROW(書籍檔建置!BO18),基本資料填寫!$E:$EU,COLUMN(基本資料填寫!BS18),0),"")</f>
        <v/>
      </c>
      <c r="H21" s="314" t="str">
        <f>IFERROR(VLOOKUP(基本資料填寫!$E$1&amp;"-"&amp;ROW(書籍檔建置!R18),基本資料填寫!$E:$EU,COLUMN(基本資料填寫!V18),0),"")</f>
        <v/>
      </c>
      <c r="I21" s="315" t="str">
        <f>IFERROR(VLOOKUP(基本資料填寫!$E$1&amp;"-"&amp;ROW(書籍檔建置!BQ18),基本資料填寫!$E:$EU,COLUMN(基本資料填寫!BU18),0),"")</f>
        <v/>
      </c>
      <c r="J21" s="314" t="str">
        <f>IFERROR(VLOOKUP(基本資料填寫!$E$1&amp;"-"&amp;ROW(書籍檔建置!BW18),基本資料填寫!$E:$EU,COLUMN(基本資料填寫!CA18),0),"")</f>
        <v/>
      </c>
      <c r="K21" s="314" t="str">
        <f>IFERROR(VLOOKUP(基本資料填寫!$E$1&amp;"-"&amp;ROW(書籍檔建置!BR18),基本資料填寫!$E:$EU,COLUMN(基本資料填寫!BV18),0),"")</f>
        <v/>
      </c>
      <c r="L21" s="314" t="str">
        <f>IFERROR(VLOOKUP(基本資料填寫!$E$1&amp;"-"&amp;ROW(書籍檔建置!BS18),基本資料填寫!$E:$EU,COLUMN(基本資料填寫!BW18),0),"")</f>
        <v/>
      </c>
      <c r="M21" s="166" t="str">
        <f>IFERROR(VLOOKUP(基本資料填寫!$E$1&amp;"-"&amp;ROW(書籍檔建置!BK18),基本資料填寫!$E:$EU,COLUMN(基本資料填寫!BO18),0),"")</f>
        <v/>
      </c>
      <c r="N21" s="314" t="str">
        <f>IFERROR(VLOOKUP(基本資料填寫!$E$1&amp;"-"&amp;ROW(書籍檔建置!AG18),基本資料填寫!$E:$EU,COLUMN(基本資料填寫!AK18),0),"")</f>
        <v/>
      </c>
      <c r="O21" s="314" t="str">
        <f>IFERROR(VLOOKUP(基本資料填寫!$E$1&amp;"-"&amp;ROW(書籍檔建置!BT18),基本資料填寫!$E:$EU,COLUMN(基本資料填寫!BX18),0),"")</f>
        <v/>
      </c>
      <c r="P21" s="314" t="str">
        <f>IFERROR(VLOOKUP(基本資料填寫!$E$1&amp;"-"&amp;ROW(書籍檔建置!BU18),基本資料填寫!$E:$EU,COLUMN(基本資料填寫!BY18),0),"")</f>
        <v/>
      </c>
      <c r="Q21" s="314" t="str">
        <f>IFERROR(VLOOKUP(基本資料填寫!$E$1&amp;"-"&amp;ROW(書籍檔建置!BV18),基本資料填寫!$E:$EU,COLUMN(基本資料填寫!BZ18),0),"")</f>
        <v/>
      </c>
      <c r="R21" s="314" t="str">
        <f>IFERROR(VLOOKUP(基本資料填寫!$E$1&amp;"-"&amp;ROW(書籍檔建置!BX18),基本資料填寫!$E:$EU,COLUMN(基本資料填寫!CB18),0),"")</f>
        <v/>
      </c>
      <c r="S21" s="314" t="str">
        <f>IFERROR(VLOOKUP(基本資料填寫!$E$1&amp;"-"&amp;ROW(書籍檔建置!BY18),基本資料填寫!$E:$EU,COLUMN(基本資料填寫!CC18),0),"")</f>
        <v/>
      </c>
      <c r="T21" s="314" t="str">
        <f>IFERROR(VLOOKUP(基本資料填寫!$E$1&amp;"-"&amp;ROW(書籍檔建置!BZ18),基本資料填寫!$E:$EU,COLUMN(基本資料填寫!CD18),0),"")</f>
        <v/>
      </c>
      <c r="U21" s="314" t="str">
        <f>IFERROR(VLOOKUP(基本資料填寫!$E$1&amp;"-"&amp;ROW(書籍檔建置!CA18),基本資料填寫!$E:$EU,COLUMN(基本資料填寫!CE18),0),"")</f>
        <v/>
      </c>
      <c r="V21" s="166" t="str">
        <f>IFERROR(VLOOKUP(基本資料填寫!$E$1&amp;"-"&amp;ROW(書籍檔建置!BL18),基本資料填寫!$E:$EU,COLUMN(基本資料填寫!BP18),0),"")</f>
        <v/>
      </c>
      <c r="W21" s="178"/>
      <c r="X21" s="178"/>
      <c r="Y21" s="178"/>
      <c r="Z21" s="178"/>
      <c r="AA21" s="178"/>
      <c r="AB21" s="178"/>
      <c r="AC21" s="314" t="str">
        <f>IFERROR(VLOOKUP(基本資料填寫!$E$1&amp;"-"&amp;ROW(書籍檔建置!S18),基本資料填寫!$E:$EU,COLUMN(基本資料填寫!W18),0),"")</f>
        <v/>
      </c>
      <c r="AD21" s="166" t="str">
        <f>IFERROR(VLOOKUP(基本資料填寫!$E$1&amp;"-"&amp;ROW(書籍檔建置!BM18),基本資料填寫!$E:$EU,COLUMN(基本資料填寫!BQ18),0),"")</f>
        <v/>
      </c>
      <c r="AE21" s="178"/>
      <c r="AF21" s="178"/>
      <c r="AG21" s="178"/>
      <c r="AH21" s="314" t="str">
        <f>IFERROR(VLOOKUP(基本資料填寫!$E$1&amp;"-"&amp;ROW(書籍檔建置!CB18),基本資料填寫!$E:$EU,COLUMN(基本資料填寫!CF18),0),"")</f>
        <v/>
      </c>
      <c r="AI21" s="314" t="str">
        <f>IFERROR(VLOOKUP(基本資料填寫!$E$1&amp;"-"&amp;ROW(書籍檔建置!CC18),基本資料填寫!$E:$EU,COLUMN(基本資料填寫!CG18),0),"")</f>
        <v/>
      </c>
      <c r="AJ21" s="314" t="str">
        <f>IFERROR(VLOOKUP(基本資料填寫!$E$1&amp;"-"&amp;ROW(書籍檔建置!H18),基本資料填寫!$E:$EU,COLUMN(基本資料填寫!K18),0),"")</f>
        <v/>
      </c>
      <c r="AK21" s="314" t="str">
        <f>IFERROR(VLOOKUP(基本資料填寫!$E$1&amp;"-"&amp;ROW(書籍檔建置!CF18),基本資料填寫!$E:$EU,COLUMN(基本資料填寫!CJ18),0),"")</f>
        <v/>
      </c>
      <c r="AL21" s="314" t="str">
        <f>IFERROR(VLOOKUP(基本資料填寫!$E$1&amp;"-"&amp;ROW(書籍檔建置!CG18),基本資料填寫!$E:$EU,COLUMN(基本資料填寫!CK18),0),"")</f>
        <v/>
      </c>
      <c r="AM21" s="314" t="str">
        <f>IFERROR(VLOOKUP(基本資料填寫!$E$1&amp;"-"&amp;ROW(書籍檔建置!BP18),基本資料填寫!$E:$EU,COLUMN(基本資料填寫!BT18),0),"")</f>
        <v/>
      </c>
      <c r="AN21" s="153"/>
    </row>
    <row r="22" spans="2:41" x14ac:dyDescent="0.3">
      <c r="B22" s="47" t="str">
        <f>IF(F22="","",COUNTA($F$4:F22))</f>
        <v/>
      </c>
      <c r="C22" s="314" t="str">
        <f>IFERROR(VLOOKUP(基本資料填寫!$E$1&amp;"-"&amp;ROW(書籍檔建置!K19),基本資料填寫!$E:$EU,COLUMN(基本資料填寫!O19),0),"")</f>
        <v/>
      </c>
      <c r="D22" s="314" t="str">
        <f>IFERROR(VLOOKUP(基本資料填寫!$E$1&amp;"-"&amp;ROW(書籍檔建置!N19),基本資料填寫!$E:$EU,COLUMN(基本資料填寫!R19),0),"")</f>
        <v/>
      </c>
      <c r="E22" s="314" t="str">
        <f>IFERROR(VLOOKUP(基本資料填寫!$E$1&amp;"-"&amp;ROW(書籍檔建置!AF19),基本資料填寫!$E:$EU,COLUMN(基本資料填寫!AJ19),0),"")</f>
        <v/>
      </c>
      <c r="F22" s="314" t="str">
        <f>IFERROR(VLOOKUP(基本資料填寫!$E$1&amp;"-"&amp;ROW(書籍檔建置!J19),基本資料填寫!$E:$EU,COLUMN(基本資料填寫!N19),0),"")</f>
        <v/>
      </c>
      <c r="G22" s="314" t="str">
        <f>IFERROR(VLOOKUP(基本資料填寫!$E$1&amp;"-"&amp;ROW(書籍檔建置!BO19),基本資料填寫!$E:$EU,COLUMN(基本資料填寫!BS19),0),"")</f>
        <v/>
      </c>
      <c r="H22" s="314" t="str">
        <f>IFERROR(VLOOKUP(基本資料填寫!$E$1&amp;"-"&amp;ROW(書籍檔建置!R19),基本資料填寫!$E:$EU,COLUMN(基本資料填寫!V19),0),"")</f>
        <v/>
      </c>
      <c r="I22" s="315" t="str">
        <f>IFERROR(VLOOKUP(基本資料填寫!$E$1&amp;"-"&amp;ROW(書籍檔建置!BQ19),基本資料填寫!$E:$EU,COLUMN(基本資料填寫!BU19),0),"")</f>
        <v/>
      </c>
      <c r="J22" s="314" t="str">
        <f>IFERROR(VLOOKUP(基本資料填寫!$E$1&amp;"-"&amp;ROW(書籍檔建置!BW19),基本資料填寫!$E:$EU,COLUMN(基本資料填寫!CA19),0),"")</f>
        <v/>
      </c>
      <c r="K22" s="314" t="str">
        <f>IFERROR(VLOOKUP(基本資料填寫!$E$1&amp;"-"&amp;ROW(書籍檔建置!BR19),基本資料填寫!$E:$EU,COLUMN(基本資料填寫!BV19),0),"")</f>
        <v/>
      </c>
      <c r="L22" s="314" t="str">
        <f>IFERROR(VLOOKUP(基本資料填寫!$E$1&amp;"-"&amp;ROW(書籍檔建置!BS19),基本資料填寫!$E:$EU,COLUMN(基本資料填寫!BW19),0),"")</f>
        <v/>
      </c>
      <c r="M22" s="166" t="str">
        <f>IFERROR(VLOOKUP(基本資料填寫!$E$1&amp;"-"&amp;ROW(書籍檔建置!BK19),基本資料填寫!$E:$EU,COLUMN(基本資料填寫!BO19),0),"")</f>
        <v/>
      </c>
      <c r="N22" s="314" t="str">
        <f>IFERROR(VLOOKUP(基本資料填寫!$E$1&amp;"-"&amp;ROW(書籍檔建置!AG19),基本資料填寫!$E:$EU,COLUMN(基本資料填寫!AK19),0),"")</f>
        <v/>
      </c>
      <c r="O22" s="314" t="str">
        <f>IFERROR(VLOOKUP(基本資料填寫!$E$1&amp;"-"&amp;ROW(書籍檔建置!BT19),基本資料填寫!$E:$EU,COLUMN(基本資料填寫!BX19),0),"")</f>
        <v/>
      </c>
      <c r="P22" s="314" t="str">
        <f>IFERROR(VLOOKUP(基本資料填寫!$E$1&amp;"-"&amp;ROW(書籍檔建置!BU19),基本資料填寫!$E:$EU,COLUMN(基本資料填寫!BY19),0),"")</f>
        <v/>
      </c>
      <c r="Q22" s="314" t="str">
        <f>IFERROR(VLOOKUP(基本資料填寫!$E$1&amp;"-"&amp;ROW(書籍檔建置!BV19),基本資料填寫!$E:$EU,COLUMN(基本資料填寫!BZ19),0),"")</f>
        <v/>
      </c>
      <c r="R22" s="314" t="str">
        <f>IFERROR(VLOOKUP(基本資料填寫!$E$1&amp;"-"&amp;ROW(書籍檔建置!BX19),基本資料填寫!$E:$EU,COLUMN(基本資料填寫!CB19),0),"")</f>
        <v/>
      </c>
      <c r="S22" s="314" t="str">
        <f>IFERROR(VLOOKUP(基本資料填寫!$E$1&amp;"-"&amp;ROW(書籍檔建置!BY19),基本資料填寫!$E:$EU,COLUMN(基本資料填寫!CC19),0),"")</f>
        <v/>
      </c>
      <c r="T22" s="314" t="str">
        <f>IFERROR(VLOOKUP(基本資料填寫!$E$1&amp;"-"&amp;ROW(書籍檔建置!BZ19),基本資料填寫!$E:$EU,COLUMN(基本資料填寫!CD19),0),"")</f>
        <v/>
      </c>
      <c r="U22" s="314" t="str">
        <f>IFERROR(VLOOKUP(基本資料填寫!$E$1&amp;"-"&amp;ROW(書籍檔建置!CA19),基本資料填寫!$E:$EU,COLUMN(基本資料填寫!CE19),0),"")</f>
        <v/>
      </c>
      <c r="V22" s="166" t="str">
        <f>IFERROR(VLOOKUP(基本資料填寫!$E$1&amp;"-"&amp;ROW(書籍檔建置!BL19),基本資料填寫!$E:$EU,COLUMN(基本資料填寫!BP19),0),"")</f>
        <v/>
      </c>
      <c r="W22" s="178"/>
      <c r="X22" s="178"/>
      <c r="Y22" s="178"/>
      <c r="Z22" s="178"/>
      <c r="AA22" s="178"/>
      <c r="AB22" s="178"/>
      <c r="AC22" s="314" t="str">
        <f>IFERROR(VLOOKUP(基本資料填寫!$E$1&amp;"-"&amp;ROW(書籍檔建置!S19),基本資料填寫!$E:$EU,COLUMN(基本資料填寫!W19),0),"")</f>
        <v/>
      </c>
      <c r="AD22" s="166" t="str">
        <f>IFERROR(VLOOKUP(基本資料填寫!$E$1&amp;"-"&amp;ROW(書籍檔建置!BM19),基本資料填寫!$E:$EU,COLUMN(基本資料填寫!BQ19),0),"")</f>
        <v/>
      </c>
      <c r="AE22" s="178"/>
      <c r="AF22" s="178"/>
      <c r="AG22" s="178"/>
      <c r="AH22" s="314" t="str">
        <f>IFERROR(VLOOKUP(基本資料填寫!$E$1&amp;"-"&amp;ROW(書籍檔建置!CB19),基本資料填寫!$E:$EU,COLUMN(基本資料填寫!CF19),0),"")</f>
        <v/>
      </c>
      <c r="AI22" s="314" t="str">
        <f>IFERROR(VLOOKUP(基本資料填寫!$E$1&amp;"-"&amp;ROW(書籍檔建置!CC19),基本資料填寫!$E:$EU,COLUMN(基本資料填寫!CG19),0),"")</f>
        <v/>
      </c>
      <c r="AJ22" s="314" t="str">
        <f>IFERROR(VLOOKUP(基本資料填寫!$E$1&amp;"-"&amp;ROW(書籍檔建置!H19),基本資料填寫!$E:$EU,COLUMN(基本資料填寫!K19),0),"")</f>
        <v/>
      </c>
      <c r="AK22" s="314" t="str">
        <f>IFERROR(VLOOKUP(基本資料填寫!$E$1&amp;"-"&amp;ROW(書籍檔建置!CF19),基本資料填寫!$E:$EU,COLUMN(基本資料填寫!CJ19),0),"")</f>
        <v/>
      </c>
      <c r="AL22" s="314" t="str">
        <f>IFERROR(VLOOKUP(基本資料填寫!$E$1&amp;"-"&amp;ROW(書籍檔建置!CG19),基本資料填寫!$E:$EU,COLUMN(基本資料填寫!CK19),0),"")</f>
        <v/>
      </c>
      <c r="AM22" s="314" t="str">
        <f>IFERROR(VLOOKUP(基本資料填寫!$E$1&amp;"-"&amp;ROW(書籍檔建置!BP19),基本資料填寫!$E:$EU,COLUMN(基本資料填寫!BT19),0),"")</f>
        <v/>
      </c>
      <c r="AN22" s="153"/>
    </row>
    <row r="23" spans="2:41" x14ac:dyDescent="0.3">
      <c r="B23" s="47" t="str">
        <f>IF(F23="","",COUNTA($F$4:F23))</f>
        <v/>
      </c>
      <c r="C23" s="314" t="str">
        <f>IFERROR(VLOOKUP(基本資料填寫!$E$1&amp;"-"&amp;ROW(書籍檔建置!K20),基本資料填寫!$E:$EU,COLUMN(基本資料填寫!O20),0),"")</f>
        <v/>
      </c>
      <c r="D23" s="314" t="str">
        <f>IFERROR(VLOOKUP(基本資料填寫!$E$1&amp;"-"&amp;ROW(書籍檔建置!N20),基本資料填寫!$E:$EU,COLUMN(基本資料填寫!R20),0),"")</f>
        <v/>
      </c>
      <c r="E23" s="314" t="str">
        <f>IFERROR(VLOOKUP(基本資料填寫!$E$1&amp;"-"&amp;ROW(書籍檔建置!AF20),基本資料填寫!$E:$EU,COLUMN(基本資料填寫!AJ20),0),"")</f>
        <v/>
      </c>
      <c r="F23" s="314" t="str">
        <f>IFERROR(VLOOKUP(基本資料填寫!$E$1&amp;"-"&amp;ROW(書籍檔建置!J20),基本資料填寫!$E:$EU,COLUMN(基本資料填寫!N20),0),"")</f>
        <v/>
      </c>
      <c r="G23" s="314" t="str">
        <f>IFERROR(VLOOKUP(基本資料填寫!$E$1&amp;"-"&amp;ROW(書籍檔建置!BO20),基本資料填寫!$E:$EU,COLUMN(基本資料填寫!BS20),0),"")</f>
        <v/>
      </c>
      <c r="H23" s="314" t="str">
        <f>IFERROR(VLOOKUP(基本資料填寫!$E$1&amp;"-"&amp;ROW(書籍檔建置!R20),基本資料填寫!$E:$EU,COLUMN(基本資料填寫!V20),0),"")</f>
        <v/>
      </c>
      <c r="I23" s="315" t="str">
        <f>IFERROR(VLOOKUP(基本資料填寫!$E$1&amp;"-"&amp;ROW(書籍檔建置!BQ20),基本資料填寫!$E:$EU,COLUMN(基本資料填寫!BU20),0),"")</f>
        <v/>
      </c>
      <c r="J23" s="314" t="str">
        <f>IFERROR(VLOOKUP(基本資料填寫!$E$1&amp;"-"&amp;ROW(書籍檔建置!BW20),基本資料填寫!$E:$EU,COLUMN(基本資料填寫!CA20),0),"")</f>
        <v/>
      </c>
      <c r="K23" s="314" t="str">
        <f>IFERROR(VLOOKUP(基本資料填寫!$E$1&amp;"-"&amp;ROW(書籍檔建置!BR20),基本資料填寫!$E:$EU,COLUMN(基本資料填寫!BV20),0),"")</f>
        <v/>
      </c>
      <c r="L23" s="314" t="str">
        <f>IFERROR(VLOOKUP(基本資料填寫!$E$1&amp;"-"&amp;ROW(書籍檔建置!BS20),基本資料填寫!$E:$EU,COLUMN(基本資料填寫!BW20),0),"")</f>
        <v/>
      </c>
      <c r="M23" s="166" t="str">
        <f>IFERROR(VLOOKUP(基本資料填寫!$E$1&amp;"-"&amp;ROW(書籍檔建置!BK20),基本資料填寫!$E:$EU,COLUMN(基本資料填寫!BO20),0),"")</f>
        <v/>
      </c>
      <c r="N23" s="314" t="str">
        <f>IFERROR(VLOOKUP(基本資料填寫!$E$1&amp;"-"&amp;ROW(書籍檔建置!AG20),基本資料填寫!$E:$EU,COLUMN(基本資料填寫!AK20),0),"")</f>
        <v/>
      </c>
      <c r="O23" s="314" t="str">
        <f>IFERROR(VLOOKUP(基本資料填寫!$E$1&amp;"-"&amp;ROW(書籍檔建置!BT20),基本資料填寫!$E:$EU,COLUMN(基本資料填寫!BX20),0),"")</f>
        <v/>
      </c>
      <c r="P23" s="314" t="str">
        <f>IFERROR(VLOOKUP(基本資料填寫!$E$1&amp;"-"&amp;ROW(書籍檔建置!BU20),基本資料填寫!$E:$EU,COLUMN(基本資料填寫!BY20),0),"")</f>
        <v/>
      </c>
      <c r="Q23" s="314" t="str">
        <f>IFERROR(VLOOKUP(基本資料填寫!$E$1&amp;"-"&amp;ROW(書籍檔建置!BV20),基本資料填寫!$E:$EU,COLUMN(基本資料填寫!BZ20),0),"")</f>
        <v/>
      </c>
      <c r="R23" s="314" t="str">
        <f>IFERROR(VLOOKUP(基本資料填寫!$E$1&amp;"-"&amp;ROW(書籍檔建置!BX20),基本資料填寫!$E:$EU,COLUMN(基本資料填寫!CB20),0),"")</f>
        <v/>
      </c>
      <c r="S23" s="314" t="str">
        <f>IFERROR(VLOOKUP(基本資料填寫!$E$1&amp;"-"&amp;ROW(書籍檔建置!BY20),基本資料填寫!$E:$EU,COLUMN(基本資料填寫!CC20),0),"")</f>
        <v/>
      </c>
      <c r="T23" s="314" t="str">
        <f>IFERROR(VLOOKUP(基本資料填寫!$E$1&amp;"-"&amp;ROW(書籍檔建置!BZ20),基本資料填寫!$E:$EU,COLUMN(基本資料填寫!CD20),0),"")</f>
        <v/>
      </c>
      <c r="U23" s="314" t="str">
        <f>IFERROR(VLOOKUP(基本資料填寫!$E$1&amp;"-"&amp;ROW(書籍檔建置!CA20),基本資料填寫!$E:$EU,COLUMN(基本資料填寫!CE20),0),"")</f>
        <v/>
      </c>
      <c r="V23" s="166" t="str">
        <f>IFERROR(VLOOKUP(基本資料填寫!$E$1&amp;"-"&amp;ROW(書籍檔建置!BL20),基本資料填寫!$E:$EU,COLUMN(基本資料填寫!BP20),0),"")</f>
        <v/>
      </c>
      <c r="W23" s="178"/>
      <c r="X23" s="178"/>
      <c r="Y23" s="178"/>
      <c r="Z23" s="178"/>
      <c r="AA23" s="178"/>
      <c r="AB23" s="178"/>
      <c r="AC23" s="314" t="str">
        <f>IFERROR(VLOOKUP(基本資料填寫!$E$1&amp;"-"&amp;ROW(書籍檔建置!S20),基本資料填寫!$E:$EU,COLUMN(基本資料填寫!W20),0),"")</f>
        <v/>
      </c>
      <c r="AD23" s="166" t="str">
        <f>IFERROR(VLOOKUP(基本資料填寫!$E$1&amp;"-"&amp;ROW(書籍檔建置!BM20),基本資料填寫!$E:$EU,COLUMN(基本資料填寫!BQ20),0),"")</f>
        <v/>
      </c>
      <c r="AE23" s="178"/>
      <c r="AF23" s="178"/>
      <c r="AG23" s="178"/>
      <c r="AH23" s="314" t="str">
        <f>IFERROR(VLOOKUP(基本資料填寫!$E$1&amp;"-"&amp;ROW(書籍檔建置!CB20),基本資料填寫!$E:$EU,COLUMN(基本資料填寫!CF20),0),"")</f>
        <v/>
      </c>
      <c r="AI23" s="314" t="str">
        <f>IFERROR(VLOOKUP(基本資料填寫!$E$1&amp;"-"&amp;ROW(書籍檔建置!CC20),基本資料填寫!$E:$EU,COLUMN(基本資料填寫!CG20),0),"")</f>
        <v/>
      </c>
      <c r="AJ23" s="314" t="str">
        <f>IFERROR(VLOOKUP(基本資料填寫!$E$1&amp;"-"&amp;ROW(書籍檔建置!H20),基本資料填寫!$E:$EU,COLUMN(基本資料填寫!K20),0),"")</f>
        <v/>
      </c>
      <c r="AK23" s="314" t="str">
        <f>IFERROR(VLOOKUP(基本資料填寫!$E$1&amp;"-"&amp;ROW(書籍檔建置!CF20),基本資料填寫!$E:$EU,COLUMN(基本資料填寫!CJ20),0),"")</f>
        <v/>
      </c>
      <c r="AL23" s="314" t="str">
        <f>IFERROR(VLOOKUP(基本資料填寫!$E$1&amp;"-"&amp;ROW(書籍檔建置!CG20),基本資料填寫!$E:$EU,COLUMN(基本資料填寫!CK20),0),"")</f>
        <v/>
      </c>
      <c r="AM23" s="314" t="str">
        <f>IFERROR(VLOOKUP(基本資料填寫!$E$1&amp;"-"&amp;ROW(書籍檔建置!BP20),基本資料填寫!$E:$EU,COLUMN(基本資料填寫!BT20),0),"")</f>
        <v/>
      </c>
      <c r="AN23" s="153"/>
    </row>
    <row r="24" spans="2:41" x14ac:dyDescent="0.3">
      <c r="B24" s="47" t="str">
        <f>IF(F24="","",COUNTA($F$4:F24))</f>
        <v/>
      </c>
      <c r="C24" s="314" t="str">
        <f>IFERROR(VLOOKUP(基本資料填寫!$E$1&amp;"-"&amp;ROW(書籍檔建置!K21),基本資料填寫!$E:$EU,COLUMN(基本資料填寫!O21),0),"")</f>
        <v/>
      </c>
      <c r="D24" s="314" t="str">
        <f>IFERROR(VLOOKUP(基本資料填寫!$E$1&amp;"-"&amp;ROW(書籍檔建置!N21),基本資料填寫!$E:$EU,COLUMN(基本資料填寫!R21),0),"")</f>
        <v/>
      </c>
      <c r="E24" s="314" t="str">
        <f>IFERROR(VLOOKUP(基本資料填寫!$E$1&amp;"-"&amp;ROW(書籍檔建置!AF21),基本資料填寫!$E:$EU,COLUMN(基本資料填寫!AJ21),0),"")</f>
        <v/>
      </c>
      <c r="F24" s="314" t="str">
        <f>IFERROR(VLOOKUP(基本資料填寫!$E$1&amp;"-"&amp;ROW(書籍檔建置!J21),基本資料填寫!$E:$EU,COLUMN(基本資料填寫!N21),0),"")</f>
        <v/>
      </c>
      <c r="G24" s="314" t="str">
        <f>IFERROR(VLOOKUP(基本資料填寫!$E$1&amp;"-"&amp;ROW(書籍檔建置!BO21),基本資料填寫!$E:$EU,COLUMN(基本資料填寫!BS21),0),"")</f>
        <v/>
      </c>
      <c r="H24" s="314" t="str">
        <f>IFERROR(VLOOKUP(基本資料填寫!$E$1&amp;"-"&amp;ROW(書籍檔建置!R21),基本資料填寫!$E:$EU,COLUMN(基本資料填寫!V21),0),"")</f>
        <v/>
      </c>
      <c r="I24" s="315" t="str">
        <f>IFERROR(VLOOKUP(基本資料填寫!$E$1&amp;"-"&amp;ROW(書籍檔建置!BQ21),基本資料填寫!$E:$EU,COLUMN(基本資料填寫!BU21),0),"")</f>
        <v/>
      </c>
      <c r="J24" s="314" t="str">
        <f>IFERROR(VLOOKUP(基本資料填寫!$E$1&amp;"-"&amp;ROW(書籍檔建置!BW21),基本資料填寫!$E:$EU,COLUMN(基本資料填寫!CA21),0),"")</f>
        <v/>
      </c>
      <c r="K24" s="314" t="str">
        <f>IFERROR(VLOOKUP(基本資料填寫!$E$1&amp;"-"&amp;ROW(書籍檔建置!BR21),基本資料填寫!$E:$EU,COLUMN(基本資料填寫!BV21),0),"")</f>
        <v/>
      </c>
      <c r="L24" s="314" t="str">
        <f>IFERROR(VLOOKUP(基本資料填寫!$E$1&amp;"-"&amp;ROW(書籍檔建置!BS21),基本資料填寫!$E:$EU,COLUMN(基本資料填寫!BW21),0),"")</f>
        <v/>
      </c>
      <c r="M24" s="166" t="str">
        <f>IFERROR(VLOOKUP(基本資料填寫!$E$1&amp;"-"&amp;ROW(書籍檔建置!BK21),基本資料填寫!$E:$EU,COLUMN(基本資料填寫!BO21),0),"")</f>
        <v/>
      </c>
      <c r="N24" s="314" t="str">
        <f>IFERROR(VLOOKUP(基本資料填寫!$E$1&amp;"-"&amp;ROW(書籍檔建置!AG21),基本資料填寫!$E:$EU,COLUMN(基本資料填寫!AK21),0),"")</f>
        <v/>
      </c>
      <c r="O24" s="314" t="str">
        <f>IFERROR(VLOOKUP(基本資料填寫!$E$1&amp;"-"&amp;ROW(書籍檔建置!BT21),基本資料填寫!$E:$EU,COLUMN(基本資料填寫!BX21),0),"")</f>
        <v/>
      </c>
      <c r="P24" s="314" t="str">
        <f>IFERROR(VLOOKUP(基本資料填寫!$E$1&amp;"-"&amp;ROW(書籍檔建置!BU21),基本資料填寫!$E:$EU,COLUMN(基本資料填寫!BY21),0),"")</f>
        <v/>
      </c>
      <c r="Q24" s="314" t="str">
        <f>IFERROR(VLOOKUP(基本資料填寫!$E$1&amp;"-"&amp;ROW(書籍檔建置!BV21),基本資料填寫!$E:$EU,COLUMN(基本資料填寫!BZ21),0),"")</f>
        <v/>
      </c>
      <c r="R24" s="314" t="str">
        <f>IFERROR(VLOOKUP(基本資料填寫!$E$1&amp;"-"&amp;ROW(書籍檔建置!BX21),基本資料填寫!$E:$EU,COLUMN(基本資料填寫!CB21),0),"")</f>
        <v/>
      </c>
      <c r="S24" s="314" t="str">
        <f>IFERROR(VLOOKUP(基本資料填寫!$E$1&amp;"-"&amp;ROW(書籍檔建置!BY21),基本資料填寫!$E:$EU,COLUMN(基本資料填寫!CC21),0),"")</f>
        <v/>
      </c>
      <c r="T24" s="314" t="str">
        <f>IFERROR(VLOOKUP(基本資料填寫!$E$1&amp;"-"&amp;ROW(書籍檔建置!BZ21),基本資料填寫!$E:$EU,COLUMN(基本資料填寫!CD21),0),"")</f>
        <v/>
      </c>
      <c r="U24" s="314" t="str">
        <f>IFERROR(VLOOKUP(基本資料填寫!$E$1&amp;"-"&amp;ROW(書籍檔建置!CA21),基本資料填寫!$E:$EU,COLUMN(基本資料填寫!CE21),0),"")</f>
        <v/>
      </c>
      <c r="V24" s="166" t="str">
        <f>IFERROR(VLOOKUP(基本資料填寫!$E$1&amp;"-"&amp;ROW(書籍檔建置!BL21),基本資料填寫!$E:$EU,COLUMN(基本資料填寫!BP21),0),"")</f>
        <v/>
      </c>
      <c r="W24" s="178"/>
      <c r="X24" s="178"/>
      <c r="Y24" s="178"/>
      <c r="Z24" s="178"/>
      <c r="AA24" s="178"/>
      <c r="AB24" s="178"/>
      <c r="AC24" s="314" t="str">
        <f>IFERROR(VLOOKUP(基本資料填寫!$E$1&amp;"-"&amp;ROW(書籍檔建置!S21),基本資料填寫!$E:$EU,COLUMN(基本資料填寫!W21),0),"")</f>
        <v/>
      </c>
      <c r="AD24" s="166" t="str">
        <f>IFERROR(VLOOKUP(基本資料填寫!$E$1&amp;"-"&amp;ROW(書籍檔建置!BM21),基本資料填寫!$E:$EU,COLUMN(基本資料填寫!BQ21),0),"")</f>
        <v/>
      </c>
      <c r="AE24" s="178"/>
      <c r="AF24" s="178"/>
      <c r="AG24" s="178"/>
      <c r="AH24" s="314" t="str">
        <f>IFERROR(VLOOKUP(基本資料填寫!$E$1&amp;"-"&amp;ROW(書籍檔建置!CB21),基本資料填寫!$E:$EU,COLUMN(基本資料填寫!CF21),0),"")</f>
        <v/>
      </c>
      <c r="AI24" s="314" t="str">
        <f>IFERROR(VLOOKUP(基本資料填寫!$E$1&amp;"-"&amp;ROW(書籍檔建置!CC21),基本資料填寫!$E:$EU,COLUMN(基本資料填寫!CG21),0),"")</f>
        <v/>
      </c>
      <c r="AJ24" s="314" t="str">
        <f>IFERROR(VLOOKUP(基本資料填寫!$E$1&amp;"-"&amp;ROW(書籍檔建置!H21),基本資料填寫!$E:$EU,COLUMN(基本資料填寫!K21),0),"")</f>
        <v/>
      </c>
      <c r="AK24" s="314" t="str">
        <f>IFERROR(VLOOKUP(基本資料填寫!$E$1&amp;"-"&amp;ROW(書籍檔建置!CF21),基本資料填寫!$E:$EU,COLUMN(基本資料填寫!CJ21),0),"")</f>
        <v/>
      </c>
      <c r="AL24" s="314" t="str">
        <f>IFERROR(VLOOKUP(基本資料填寫!$E$1&amp;"-"&amp;ROW(書籍檔建置!CG21),基本資料填寫!$E:$EU,COLUMN(基本資料填寫!CK21),0),"")</f>
        <v/>
      </c>
      <c r="AM24" s="314" t="str">
        <f>IFERROR(VLOOKUP(基本資料填寫!$E$1&amp;"-"&amp;ROW(書籍檔建置!BP21),基本資料填寫!$E:$EU,COLUMN(基本資料填寫!BT21),0),"")</f>
        <v/>
      </c>
      <c r="AN24" s="153"/>
    </row>
    <row r="25" spans="2:41" x14ac:dyDescent="0.3">
      <c r="B25" s="47" t="str">
        <f>IF(F25="","",COUNTA($F$4:F25))</f>
        <v/>
      </c>
      <c r="C25" s="314" t="str">
        <f>IFERROR(VLOOKUP(基本資料填寫!$E$1&amp;"-"&amp;ROW(書籍檔建置!K22),基本資料填寫!$E:$EU,COLUMN(基本資料填寫!O22),0),"")</f>
        <v/>
      </c>
      <c r="D25" s="314" t="str">
        <f>IFERROR(VLOOKUP(基本資料填寫!$E$1&amp;"-"&amp;ROW(書籍檔建置!N22),基本資料填寫!$E:$EU,COLUMN(基本資料填寫!R22),0),"")</f>
        <v/>
      </c>
      <c r="E25" s="314" t="str">
        <f>IFERROR(VLOOKUP(基本資料填寫!$E$1&amp;"-"&amp;ROW(書籍檔建置!AF22),基本資料填寫!$E:$EU,COLUMN(基本資料填寫!AJ22),0),"")</f>
        <v/>
      </c>
      <c r="F25" s="314" t="str">
        <f>IFERROR(VLOOKUP(基本資料填寫!$E$1&amp;"-"&amp;ROW(書籍檔建置!J22),基本資料填寫!$E:$EU,COLUMN(基本資料填寫!N22),0),"")</f>
        <v/>
      </c>
      <c r="G25" s="314" t="str">
        <f>IFERROR(VLOOKUP(基本資料填寫!$E$1&amp;"-"&amp;ROW(書籍檔建置!BO22),基本資料填寫!$E:$EU,COLUMN(基本資料填寫!BS22),0),"")</f>
        <v/>
      </c>
      <c r="H25" s="314" t="str">
        <f>IFERROR(VLOOKUP(基本資料填寫!$E$1&amp;"-"&amp;ROW(書籍檔建置!R22),基本資料填寫!$E:$EU,COLUMN(基本資料填寫!V22),0),"")</f>
        <v/>
      </c>
      <c r="I25" s="315" t="str">
        <f>IFERROR(VLOOKUP(基本資料填寫!$E$1&amp;"-"&amp;ROW(書籍檔建置!BQ22),基本資料填寫!$E:$EU,COLUMN(基本資料填寫!BU22),0),"")</f>
        <v/>
      </c>
      <c r="J25" s="314" t="str">
        <f>IFERROR(VLOOKUP(基本資料填寫!$E$1&amp;"-"&amp;ROW(書籍檔建置!BW22),基本資料填寫!$E:$EU,COLUMN(基本資料填寫!CA22),0),"")</f>
        <v/>
      </c>
      <c r="K25" s="314" t="str">
        <f>IFERROR(VLOOKUP(基本資料填寫!$E$1&amp;"-"&amp;ROW(書籍檔建置!BR22),基本資料填寫!$E:$EU,COLUMN(基本資料填寫!BV22),0),"")</f>
        <v/>
      </c>
      <c r="L25" s="314" t="str">
        <f>IFERROR(VLOOKUP(基本資料填寫!$E$1&amp;"-"&amp;ROW(書籍檔建置!BS22),基本資料填寫!$E:$EU,COLUMN(基本資料填寫!BW22),0),"")</f>
        <v/>
      </c>
      <c r="M25" s="166" t="str">
        <f>IFERROR(VLOOKUP(基本資料填寫!$E$1&amp;"-"&amp;ROW(書籍檔建置!BK22),基本資料填寫!$E:$EU,COLUMN(基本資料填寫!BO22),0),"")</f>
        <v/>
      </c>
      <c r="N25" s="314" t="str">
        <f>IFERROR(VLOOKUP(基本資料填寫!$E$1&amp;"-"&amp;ROW(書籍檔建置!AG22),基本資料填寫!$E:$EU,COLUMN(基本資料填寫!AK22),0),"")</f>
        <v/>
      </c>
      <c r="O25" s="314" t="str">
        <f>IFERROR(VLOOKUP(基本資料填寫!$E$1&amp;"-"&amp;ROW(書籍檔建置!BT22),基本資料填寫!$E:$EU,COLUMN(基本資料填寫!BX22),0),"")</f>
        <v/>
      </c>
      <c r="P25" s="314" t="str">
        <f>IFERROR(VLOOKUP(基本資料填寫!$E$1&amp;"-"&amp;ROW(書籍檔建置!BU22),基本資料填寫!$E:$EU,COLUMN(基本資料填寫!BY22),0),"")</f>
        <v/>
      </c>
      <c r="Q25" s="314" t="str">
        <f>IFERROR(VLOOKUP(基本資料填寫!$E$1&amp;"-"&amp;ROW(書籍檔建置!BV22),基本資料填寫!$E:$EU,COLUMN(基本資料填寫!BZ22),0),"")</f>
        <v/>
      </c>
      <c r="R25" s="314" t="str">
        <f>IFERROR(VLOOKUP(基本資料填寫!$E$1&amp;"-"&amp;ROW(書籍檔建置!BX22),基本資料填寫!$E:$EU,COLUMN(基本資料填寫!CB22),0),"")</f>
        <v/>
      </c>
      <c r="S25" s="314" t="str">
        <f>IFERROR(VLOOKUP(基本資料填寫!$E$1&amp;"-"&amp;ROW(書籍檔建置!BY22),基本資料填寫!$E:$EU,COLUMN(基本資料填寫!CC22),0),"")</f>
        <v/>
      </c>
      <c r="T25" s="314" t="str">
        <f>IFERROR(VLOOKUP(基本資料填寫!$E$1&amp;"-"&amp;ROW(書籍檔建置!BZ22),基本資料填寫!$E:$EU,COLUMN(基本資料填寫!CD22),0),"")</f>
        <v/>
      </c>
      <c r="U25" s="314" t="str">
        <f>IFERROR(VLOOKUP(基本資料填寫!$E$1&amp;"-"&amp;ROW(書籍檔建置!CA22),基本資料填寫!$E:$EU,COLUMN(基本資料填寫!CE22),0),"")</f>
        <v/>
      </c>
      <c r="V25" s="166" t="str">
        <f>IFERROR(VLOOKUP(基本資料填寫!$E$1&amp;"-"&amp;ROW(書籍檔建置!BL22),基本資料填寫!$E:$EU,COLUMN(基本資料填寫!BP22),0),"")</f>
        <v/>
      </c>
      <c r="W25" s="178"/>
      <c r="X25" s="178"/>
      <c r="Y25" s="178"/>
      <c r="Z25" s="178"/>
      <c r="AA25" s="178"/>
      <c r="AB25" s="178"/>
      <c r="AC25" s="314" t="str">
        <f>IFERROR(VLOOKUP(基本資料填寫!$E$1&amp;"-"&amp;ROW(書籍檔建置!S22),基本資料填寫!$E:$EU,COLUMN(基本資料填寫!W22),0),"")</f>
        <v/>
      </c>
      <c r="AD25" s="166" t="str">
        <f>IFERROR(VLOOKUP(基本資料填寫!$E$1&amp;"-"&amp;ROW(書籍檔建置!BM22),基本資料填寫!$E:$EU,COLUMN(基本資料填寫!BQ22),0),"")</f>
        <v/>
      </c>
      <c r="AE25" s="178"/>
      <c r="AF25" s="178"/>
      <c r="AG25" s="178"/>
      <c r="AH25" s="314" t="str">
        <f>IFERROR(VLOOKUP(基本資料填寫!$E$1&amp;"-"&amp;ROW(書籍檔建置!CB22),基本資料填寫!$E:$EU,COLUMN(基本資料填寫!CF22),0),"")</f>
        <v/>
      </c>
      <c r="AI25" s="314" t="str">
        <f>IFERROR(VLOOKUP(基本資料填寫!$E$1&amp;"-"&amp;ROW(書籍檔建置!CC22),基本資料填寫!$E:$EU,COLUMN(基本資料填寫!CG22),0),"")</f>
        <v/>
      </c>
      <c r="AJ25" s="314" t="str">
        <f>IFERROR(VLOOKUP(基本資料填寫!$E$1&amp;"-"&amp;ROW(書籍檔建置!H22),基本資料填寫!$E:$EU,COLUMN(基本資料填寫!K22),0),"")</f>
        <v/>
      </c>
      <c r="AK25" s="314" t="str">
        <f>IFERROR(VLOOKUP(基本資料填寫!$E$1&amp;"-"&amp;ROW(書籍檔建置!CF22),基本資料填寫!$E:$EU,COLUMN(基本資料填寫!CJ22),0),"")</f>
        <v/>
      </c>
      <c r="AL25" s="314" t="str">
        <f>IFERROR(VLOOKUP(基本資料填寫!$E$1&amp;"-"&amp;ROW(書籍檔建置!CG22),基本資料填寫!$E:$EU,COLUMN(基本資料填寫!CK22),0),"")</f>
        <v/>
      </c>
      <c r="AM25" s="314" t="str">
        <f>IFERROR(VLOOKUP(基本資料填寫!$E$1&amp;"-"&amp;ROW(書籍檔建置!BP22),基本資料填寫!$E:$EU,COLUMN(基本資料填寫!BT22),0),"")</f>
        <v/>
      </c>
      <c r="AN25" s="153"/>
    </row>
    <row r="26" spans="2:41" x14ac:dyDescent="0.3">
      <c r="B26" s="47" t="str">
        <f>IF(F26="","",COUNTA($F$4:F26))</f>
        <v/>
      </c>
      <c r="C26" s="314" t="str">
        <f>IFERROR(VLOOKUP(基本資料填寫!$E$1&amp;"-"&amp;ROW(書籍檔建置!K23),基本資料填寫!$E:$EU,COLUMN(基本資料填寫!O23),0),"")</f>
        <v/>
      </c>
      <c r="D26" s="314" t="str">
        <f>IFERROR(VLOOKUP(基本資料填寫!$E$1&amp;"-"&amp;ROW(書籍檔建置!N23),基本資料填寫!$E:$EU,COLUMN(基本資料填寫!R23),0),"")</f>
        <v/>
      </c>
      <c r="E26" s="314" t="str">
        <f>IFERROR(VLOOKUP(基本資料填寫!$E$1&amp;"-"&amp;ROW(書籍檔建置!AF23),基本資料填寫!$E:$EU,COLUMN(基本資料填寫!AJ23),0),"")</f>
        <v/>
      </c>
      <c r="F26" s="314" t="str">
        <f>IFERROR(VLOOKUP(基本資料填寫!$E$1&amp;"-"&amp;ROW(書籍檔建置!J23),基本資料填寫!$E:$EU,COLUMN(基本資料填寫!N23),0),"")</f>
        <v/>
      </c>
      <c r="G26" s="314" t="str">
        <f>IFERROR(VLOOKUP(基本資料填寫!$E$1&amp;"-"&amp;ROW(書籍檔建置!BO23),基本資料填寫!$E:$EU,COLUMN(基本資料填寫!BS23),0),"")</f>
        <v/>
      </c>
      <c r="H26" s="314" t="str">
        <f>IFERROR(VLOOKUP(基本資料填寫!$E$1&amp;"-"&amp;ROW(書籍檔建置!R23),基本資料填寫!$E:$EU,COLUMN(基本資料填寫!V23),0),"")</f>
        <v/>
      </c>
      <c r="I26" s="315" t="str">
        <f>IFERROR(VLOOKUP(基本資料填寫!$E$1&amp;"-"&amp;ROW(書籍檔建置!BQ23),基本資料填寫!$E:$EU,COLUMN(基本資料填寫!BU23),0),"")</f>
        <v/>
      </c>
      <c r="J26" s="314" t="str">
        <f>IFERROR(VLOOKUP(基本資料填寫!$E$1&amp;"-"&amp;ROW(書籍檔建置!BW23),基本資料填寫!$E:$EU,COLUMN(基本資料填寫!CA23),0),"")</f>
        <v/>
      </c>
      <c r="K26" s="314" t="str">
        <f>IFERROR(VLOOKUP(基本資料填寫!$E$1&amp;"-"&amp;ROW(書籍檔建置!BR23),基本資料填寫!$E:$EU,COLUMN(基本資料填寫!BV23),0),"")</f>
        <v/>
      </c>
      <c r="L26" s="314" t="str">
        <f>IFERROR(VLOOKUP(基本資料填寫!$E$1&amp;"-"&amp;ROW(書籍檔建置!BS23),基本資料填寫!$E:$EU,COLUMN(基本資料填寫!BW23),0),"")</f>
        <v/>
      </c>
      <c r="M26" s="166" t="str">
        <f>IFERROR(VLOOKUP(基本資料填寫!$E$1&amp;"-"&amp;ROW(書籍檔建置!BK23),基本資料填寫!$E:$EU,COLUMN(基本資料填寫!BO23),0),"")</f>
        <v/>
      </c>
      <c r="N26" s="314" t="str">
        <f>IFERROR(VLOOKUP(基本資料填寫!$E$1&amp;"-"&amp;ROW(書籍檔建置!AG23),基本資料填寫!$E:$EU,COLUMN(基本資料填寫!AK23),0),"")</f>
        <v/>
      </c>
      <c r="O26" s="314" t="str">
        <f>IFERROR(VLOOKUP(基本資料填寫!$E$1&amp;"-"&amp;ROW(書籍檔建置!BT23),基本資料填寫!$E:$EU,COLUMN(基本資料填寫!BX23),0),"")</f>
        <v/>
      </c>
      <c r="P26" s="314" t="str">
        <f>IFERROR(VLOOKUP(基本資料填寫!$E$1&amp;"-"&amp;ROW(書籍檔建置!BU23),基本資料填寫!$E:$EU,COLUMN(基本資料填寫!BY23),0),"")</f>
        <v/>
      </c>
      <c r="Q26" s="314" t="str">
        <f>IFERROR(VLOOKUP(基本資料填寫!$E$1&amp;"-"&amp;ROW(書籍檔建置!BV23),基本資料填寫!$E:$EU,COLUMN(基本資料填寫!BZ23),0),"")</f>
        <v/>
      </c>
      <c r="R26" s="314" t="str">
        <f>IFERROR(VLOOKUP(基本資料填寫!$E$1&amp;"-"&amp;ROW(書籍檔建置!BX23),基本資料填寫!$E:$EU,COLUMN(基本資料填寫!CB23),0),"")</f>
        <v/>
      </c>
      <c r="S26" s="314" t="str">
        <f>IFERROR(VLOOKUP(基本資料填寫!$E$1&amp;"-"&amp;ROW(書籍檔建置!BY23),基本資料填寫!$E:$EU,COLUMN(基本資料填寫!CC23),0),"")</f>
        <v/>
      </c>
      <c r="T26" s="314" t="str">
        <f>IFERROR(VLOOKUP(基本資料填寫!$E$1&amp;"-"&amp;ROW(書籍檔建置!BZ23),基本資料填寫!$E:$EU,COLUMN(基本資料填寫!CD23),0),"")</f>
        <v/>
      </c>
      <c r="U26" s="314" t="str">
        <f>IFERROR(VLOOKUP(基本資料填寫!$E$1&amp;"-"&amp;ROW(書籍檔建置!CA23),基本資料填寫!$E:$EU,COLUMN(基本資料填寫!CE23),0),"")</f>
        <v/>
      </c>
      <c r="V26" s="166" t="str">
        <f>IFERROR(VLOOKUP(基本資料填寫!$E$1&amp;"-"&amp;ROW(書籍檔建置!BL23),基本資料填寫!$E:$EU,COLUMN(基本資料填寫!BP23),0),"")</f>
        <v/>
      </c>
      <c r="W26" s="178"/>
      <c r="X26" s="178"/>
      <c r="Y26" s="178"/>
      <c r="Z26" s="178"/>
      <c r="AA26" s="178"/>
      <c r="AB26" s="178"/>
      <c r="AC26" s="314" t="str">
        <f>IFERROR(VLOOKUP(基本資料填寫!$E$1&amp;"-"&amp;ROW(書籍檔建置!S23),基本資料填寫!$E:$EU,COLUMN(基本資料填寫!W23),0),"")</f>
        <v/>
      </c>
      <c r="AD26" s="166" t="str">
        <f>IFERROR(VLOOKUP(基本資料填寫!$E$1&amp;"-"&amp;ROW(書籍檔建置!BM23),基本資料填寫!$E:$EU,COLUMN(基本資料填寫!BQ23),0),"")</f>
        <v/>
      </c>
      <c r="AE26" s="178"/>
      <c r="AF26" s="178"/>
      <c r="AG26" s="178"/>
      <c r="AH26" s="314" t="str">
        <f>IFERROR(VLOOKUP(基本資料填寫!$E$1&amp;"-"&amp;ROW(書籍檔建置!CB23),基本資料填寫!$E:$EU,COLUMN(基本資料填寫!CF23),0),"")</f>
        <v/>
      </c>
      <c r="AI26" s="314" t="str">
        <f>IFERROR(VLOOKUP(基本資料填寫!$E$1&amp;"-"&amp;ROW(書籍檔建置!CC23),基本資料填寫!$E:$EU,COLUMN(基本資料填寫!CG23),0),"")</f>
        <v/>
      </c>
      <c r="AJ26" s="314" t="str">
        <f>IFERROR(VLOOKUP(基本資料填寫!$E$1&amp;"-"&amp;ROW(書籍檔建置!H23),基本資料填寫!$E:$EU,COLUMN(基本資料填寫!K23),0),"")</f>
        <v/>
      </c>
      <c r="AK26" s="314" t="str">
        <f>IFERROR(VLOOKUP(基本資料填寫!$E$1&amp;"-"&amp;ROW(書籍檔建置!CF23),基本資料填寫!$E:$EU,COLUMN(基本資料填寫!CJ23),0),"")</f>
        <v/>
      </c>
      <c r="AL26" s="314" t="str">
        <f>IFERROR(VLOOKUP(基本資料填寫!$E$1&amp;"-"&amp;ROW(書籍檔建置!CG23),基本資料填寫!$E:$EU,COLUMN(基本資料填寫!CK23),0),"")</f>
        <v/>
      </c>
      <c r="AM26" s="314" t="str">
        <f>IFERROR(VLOOKUP(基本資料填寫!$E$1&amp;"-"&amp;ROW(書籍檔建置!BP23),基本資料填寫!$E:$EU,COLUMN(基本資料填寫!BT23),0),"")</f>
        <v/>
      </c>
      <c r="AN26" s="153"/>
    </row>
    <row r="27" spans="2:41" x14ac:dyDescent="0.3">
      <c r="B27" s="47" t="str">
        <f>IF(F27="","",COUNTA($F$4:F27))</f>
        <v/>
      </c>
      <c r="C27" s="314" t="str">
        <f>IFERROR(VLOOKUP(基本資料填寫!$E$1&amp;"-"&amp;ROW(書籍檔建置!K24),基本資料填寫!$E:$EU,COLUMN(基本資料填寫!O24),0),"")</f>
        <v/>
      </c>
      <c r="D27" s="314" t="str">
        <f>IFERROR(VLOOKUP(基本資料填寫!$E$1&amp;"-"&amp;ROW(書籍檔建置!N24),基本資料填寫!$E:$EU,COLUMN(基本資料填寫!R24),0),"")</f>
        <v/>
      </c>
      <c r="E27" s="314" t="str">
        <f>IFERROR(VLOOKUP(基本資料填寫!$E$1&amp;"-"&amp;ROW(書籍檔建置!AF24),基本資料填寫!$E:$EU,COLUMN(基本資料填寫!AJ24),0),"")</f>
        <v/>
      </c>
      <c r="F27" s="314" t="str">
        <f>IFERROR(VLOOKUP(基本資料填寫!$E$1&amp;"-"&amp;ROW(書籍檔建置!J24),基本資料填寫!$E:$EU,COLUMN(基本資料填寫!N24),0),"")</f>
        <v/>
      </c>
      <c r="G27" s="314" t="str">
        <f>IFERROR(VLOOKUP(基本資料填寫!$E$1&amp;"-"&amp;ROW(書籍檔建置!BO24),基本資料填寫!$E:$EU,COLUMN(基本資料填寫!BS24),0),"")</f>
        <v/>
      </c>
      <c r="H27" s="314" t="str">
        <f>IFERROR(VLOOKUP(基本資料填寫!$E$1&amp;"-"&amp;ROW(書籍檔建置!R24),基本資料填寫!$E:$EU,COLUMN(基本資料填寫!V24),0),"")</f>
        <v/>
      </c>
      <c r="I27" s="315" t="str">
        <f>IFERROR(VLOOKUP(基本資料填寫!$E$1&amp;"-"&amp;ROW(書籍檔建置!BQ24),基本資料填寫!$E:$EU,COLUMN(基本資料填寫!BU24),0),"")</f>
        <v/>
      </c>
      <c r="J27" s="314" t="str">
        <f>IFERROR(VLOOKUP(基本資料填寫!$E$1&amp;"-"&amp;ROW(書籍檔建置!BW24),基本資料填寫!$E:$EU,COLUMN(基本資料填寫!CA24),0),"")</f>
        <v/>
      </c>
      <c r="K27" s="314" t="str">
        <f>IFERROR(VLOOKUP(基本資料填寫!$E$1&amp;"-"&amp;ROW(書籍檔建置!BR24),基本資料填寫!$E:$EU,COLUMN(基本資料填寫!BV24),0),"")</f>
        <v/>
      </c>
      <c r="L27" s="314" t="str">
        <f>IFERROR(VLOOKUP(基本資料填寫!$E$1&amp;"-"&amp;ROW(書籍檔建置!BS24),基本資料填寫!$E:$EU,COLUMN(基本資料填寫!BW24),0),"")</f>
        <v/>
      </c>
      <c r="M27" s="166" t="str">
        <f>IFERROR(VLOOKUP(基本資料填寫!$E$1&amp;"-"&amp;ROW(書籍檔建置!BK24),基本資料填寫!$E:$EU,COLUMN(基本資料填寫!BO24),0),"")</f>
        <v/>
      </c>
      <c r="N27" s="314" t="str">
        <f>IFERROR(VLOOKUP(基本資料填寫!$E$1&amp;"-"&amp;ROW(書籍檔建置!AG24),基本資料填寫!$E:$EU,COLUMN(基本資料填寫!AK24),0),"")</f>
        <v/>
      </c>
      <c r="O27" s="314" t="str">
        <f>IFERROR(VLOOKUP(基本資料填寫!$E$1&amp;"-"&amp;ROW(書籍檔建置!BT24),基本資料填寫!$E:$EU,COLUMN(基本資料填寫!BX24),0),"")</f>
        <v/>
      </c>
      <c r="P27" s="314" t="str">
        <f>IFERROR(VLOOKUP(基本資料填寫!$E$1&amp;"-"&amp;ROW(書籍檔建置!BU24),基本資料填寫!$E:$EU,COLUMN(基本資料填寫!BY24),0),"")</f>
        <v/>
      </c>
      <c r="Q27" s="314" t="str">
        <f>IFERROR(VLOOKUP(基本資料填寫!$E$1&amp;"-"&amp;ROW(書籍檔建置!BV24),基本資料填寫!$E:$EU,COLUMN(基本資料填寫!BZ24),0),"")</f>
        <v/>
      </c>
      <c r="R27" s="314" t="str">
        <f>IFERROR(VLOOKUP(基本資料填寫!$E$1&amp;"-"&amp;ROW(書籍檔建置!BX24),基本資料填寫!$E:$EU,COLUMN(基本資料填寫!CB24),0),"")</f>
        <v/>
      </c>
      <c r="S27" s="314" t="str">
        <f>IFERROR(VLOOKUP(基本資料填寫!$E$1&amp;"-"&amp;ROW(書籍檔建置!BY24),基本資料填寫!$E:$EU,COLUMN(基本資料填寫!CC24),0),"")</f>
        <v/>
      </c>
      <c r="T27" s="314" t="str">
        <f>IFERROR(VLOOKUP(基本資料填寫!$E$1&amp;"-"&amp;ROW(書籍檔建置!BZ24),基本資料填寫!$E:$EU,COLUMN(基本資料填寫!CD24),0),"")</f>
        <v/>
      </c>
      <c r="U27" s="314" t="str">
        <f>IFERROR(VLOOKUP(基本資料填寫!$E$1&amp;"-"&amp;ROW(書籍檔建置!CA24),基本資料填寫!$E:$EU,COLUMN(基本資料填寫!CE24),0),"")</f>
        <v/>
      </c>
      <c r="V27" s="166" t="str">
        <f>IFERROR(VLOOKUP(基本資料填寫!$E$1&amp;"-"&amp;ROW(書籍檔建置!BL24),基本資料填寫!$E:$EU,COLUMN(基本資料填寫!BP24),0),"")</f>
        <v/>
      </c>
      <c r="W27" s="178"/>
      <c r="X27" s="178"/>
      <c r="Y27" s="178"/>
      <c r="Z27" s="178"/>
      <c r="AA27" s="178"/>
      <c r="AB27" s="178"/>
      <c r="AC27" s="314" t="str">
        <f>IFERROR(VLOOKUP(基本資料填寫!$E$1&amp;"-"&amp;ROW(書籍檔建置!S24),基本資料填寫!$E:$EU,COLUMN(基本資料填寫!W24),0),"")</f>
        <v/>
      </c>
      <c r="AD27" s="166" t="str">
        <f>IFERROR(VLOOKUP(基本資料填寫!$E$1&amp;"-"&amp;ROW(書籍檔建置!BM24),基本資料填寫!$E:$EU,COLUMN(基本資料填寫!BQ24),0),"")</f>
        <v/>
      </c>
      <c r="AE27" s="178"/>
      <c r="AF27" s="178"/>
      <c r="AG27" s="178"/>
      <c r="AH27" s="314" t="str">
        <f>IFERROR(VLOOKUP(基本資料填寫!$E$1&amp;"-"&amp;ROW(書籍檔建置!CB24),基本資料填寫!$E:$EU,COLUMN(基本資料填寫!CF24),0),"")</f>
        <v/>
      </c>
      <c r="AI27" s="314" t="str">
        <f>IFERROR(VLOOKUP(基本資料填寫!$E$1&amp;"-"&amp;ROW(書籍檔建置!CC24),基本資料填寫!$E:$EU,COLUMN(基本資料填寫!CG24),0),"")</f>
        <v/>
      </c>
      <c r="AJ27" s="314" t="str">
        <f>IFERROR(VLOOKUP(基本資料填寫!$E$1&amp;"-"&amp;ROW(書籍檔建置!H24),基本資料填寫!$E:$EU,COLUMN(基本資料填寫!K24),0),"")</f>
        <v/>
      </c>
      <c r="AK27" s="314" t="str">
        <f>IFERROR(VLOOKUP(基本資料填寫!$E$1&amp;"-"&amp;ROW(書籍檔建置!CF24),基本資料填寫!$E:$EU,COLUMN(基本資料填寫!CJ24),0),"")</f>
        <v/>
      </c>
      <c r="AL27" s="314" t="str">
        <f>IFERROR(VLOOKUP(基本資料填寫!$E$1&amp;"-"&amp;ROW(書籍檔建置!CG24),基本資料填寫!$E:$EU,COLUMN(基本資料填寫!CK24),0),"")</f>
        <v/>
      </c>
      <c r="AM27" s="314" t="str">
        <f>IFERROR(VLOOKUP(基本資料填寫!$E$1&amp;"-"&amp;ROW(書籍檔建置!BP24),基本資料填寫!$E:$EU,COLUMN(基本資料填寫!BT24),0),"")</f>
        <v/>
      </c>
      <c r="AN27" s="153"/>
    </row>
    <row r="28" spans="2:41" x14ac:dyDescent="0.3">
      <c r="B28" s="47" t="str">
        <f>IF(F28="","",COUNTA($F$4:F28))</f>
        <v/>
      </c>
      <c r="C28" s="314" t="str">
        <f>IFERROR(VLOOKUP(基本資料填寫!$E$1&amp;"-"&amp;ROW(書籍檔建置!K25),基本資料填寫!$E:$EU,COLUMN(基本資料填寫!O25),0),"")</f>
        <v/>
      </c>
      <c r="D28" s="314" t="str">
        <f>IFERROR(VLOOKUP(基本資料填寫!$E$1&amp;"-"&amp;ROW(書籍檔建置!N25),基本資料填寫!$E:$EU,COLUMN(基本資料填寫!R25),0),"")</f>
        <v/>
      </c>
      <c r="E28" s="314" t="str">
        <f>IFERROR(VLOOKUP(基本資料填寫!$E$1&amp;"-"&amp;ROW(書籍檔建置!AF25),基本資料填寫!$E:$EU,COLUMN(基本資料填寫!AJ25),0),"")</f>
        <v/>
      </c>
      <c r="F28" s="314" t="str">
        <f>IFERROR(VLOOKUP(基本資料填寫!$E$1&amp;"-"&amp;ROW(書籍檔建置!J25),基本資料填寫!$E:$EU,COLUMN(基本資料填寫!N25),0),"")</f>
        <v/>
      </c>
      <c r="G28" s="314" t="str">
        <f>IFERROR(VLOOKUP(基本資料填寫!$E$1&amp;"-"&amp;ROW(書籍檔建置!BO25),基本資料填寫!$E:$EU,COLUMN(基本資料填寫!BS25),0),"")</f>
        <v/>
      </c>
      <c r="H28" s="314" t="str">
        <f>IFERROR(VLOOKUP(基本資料填寫!$E$1&amp;"-"&amp;ROW(書籍檔建置!R25),基本資料填寫!$E:$EU,COLUMN(基本資料填寫!V25),0),"")</f>
        <v/>
      </c>
      <c r="I28" s="315" t="str">
        <f>IFERROR(VLOOKUP(基本資料填寫!$E$1&amp;"-"&amp;ROW(書籍檔建置!BQ25),基本資料填寫!$E:$EU,COLUMN(基本資料填寫!BU25),0),"")</f>
        <v/>
      </c>
      <c r="J28" s="314" t="str">
        <f>IFERROR(VLOOKUP(基本資料填寫!$E$1&amp;"-"&amp;ROW(書籍檔建置!BW25),基本資料填寫!$E:$EU,COLUMN(基本資料填寫!CA25),0),"")</f>
        <v/>
      </c>
      <c r="K28" s="314" t="str">
        <f>IFERROR(VLOOKUP(基本資料填寫!$E$1&amp;"-"&amp;ROW(書籍檔建置!BR25),基本資料填寫!$E:$EU,COLUMN(基本資料填寫!BV25),0),"")</f>
        <v/>
      </c>
      <c r="L28" s="314" t="str">
        <f>IFERROR(VLOOKUP(基本資料填寫!$E$1&amp;"-"&amp;ROW(書籍檔建置!BS25),基本資料填寫!$E:$EU,COLUMN(基本資料填寫!BW25),0),"")</f>
        <v/>
      </c>
      <c r="M28" s="166" t="str">
        <f>IFERROR(VLOOKUP(基本資料填寫!$E$1&amp;"-"&amp;ROW(書籍檔建置!BK25),基本資料填寫!$E:$EU,COLUMN(基本資料填寫!BO25),0),"")</f>
        <v/>
      </c>
      <c r="N28" s="314" t="str">
        <f>IFERROR(VLOOKUP(基本資料填寫!$E$1&amp;"-"&amp;ROW(書籍檔建置!AG25),基本資料填寫!$E:$EU,COLUMN(基本資料填寫!AK25),0),"")</f>
        <v/>
      </c>
      <c r="O28" s="314" t="str">
        <f>IFERROR(VLOOKUP(基本資料填寫!$E$1&amp;"-"&amp;ROW(書籍檔建置!BT25),基本資料填寫!$E:$EU,COLUMN(基本資料填寫!BX25),0),"")</f>
        <v/>
      </c>
      <c r="P28" s="314" t="str">
        <f>IFERROR(VLOOKUP(基本資料填寫!$E$1&amp;"-"&amp;ROW(書籍檔建置!BU25),基本資料填寫!$E:$EU,COLUMN(基本資料填寫!BY25),0),"")</f>
        <v/>
      </c>
      <c r="Q28" s="314" t="str">
        <f>IFERROR(VLOOKUP(基本資料填寫!$E$1&amp;"-"&amp;ROW(書籍檔建置!BV25),基本資料填寫!$E:$EU,COLUMN(基本資料填寫!BZ25),0),"")</f>
        <v/>
      </c>
      <c r="R28" s="314" t="str">
        <f>IFERROR(VLOOKUP(基本資料填寫!$E$1&amp;"-"&amp;ROW(書籍檔建置!BX25),基本資料填寫!$E:$EU,COLUMN(基本資料填寫!CB25),0),"")</f>
        <v/>
      </c>
      <c r="S28" s="314" t="str">
        <f>IFERROR(VLOOKUP(基本資料填寫!$E$1&amp;"-"&amp;ROW(書籍檔建置!BY25),基本資料填寫!$E:$EU,COLUMN(基本資料填寫!CC25),0),"")</f>
        <v/>
      </c>
      <c r="T28" s="314" t="str">
        <f>IFERROR(VLOOKUP(基本資料填寫!$E$1&amp;"-"&amp;ROW(書籍檔建置!BZ25),基本資料填寫!$E:$EU,COLUMN(基本資料填寫!CD25),0),"")</f>
        <v/>
      </c>
      <c r="U28" s="314" t="str">
        <f>IFERROR(VLOOKUP(基本資料填寫!$E$1&amp;"-"&amp;ROW(書籍檔建置!CA25),基本資料填寫!$E:$EU,COLUMN(基本資料填寫!CE25),0),"")</f>
        <v/>
      </c>
      <c r="V28" s="166" t="str">
        <f>IFERROR(VLOOKUP(基本資料填寫!$E$1&amp;"-"&amp;ROW(書籍檔建置!BL25),基本資料填寫!$E:$EU,COLUMN(基本資料填寫!BP25),0),"")</f>
        <v/>
      </c>
      <c r="W28" s="178"/>
      <c r="X28" s="178"/>
      <c r="Y28" s="178"/>
      <c r="Z28" s="178"/>
      <c r="AA28" s="178"/>
      <c r="AB28" s="178"/>
      <c r="AC28" s="314" t="str">
        <f>IFERROR(VLOOKUP(基本資料填寫!$E$1&amp;"-"&amp;ROW(書籍檔建置!S25),基本資料填寫!$E:$EU,COLUMN(基本資料填寫!W25),0),"")</f>
        <v/>
      </c>
      <c r="AD28" s="166" t="str">
        <f>IFERROR(VLOOKUP(基本資料填寫!$E$1&amp;"-"&amp;ROW(書籍檔建置!BM25),基本資料填寫!$E:$EU,COLUMN(基本資料填寫!BQ25),0),"")</f>
        <v/>
      </c>
      <c r="AE28" s="178"/>
      <c r="AF28" s="178"/>
      <c r="AG28" s="178"/>
      <c r="AH28" s="314" t="str">
        <f>IFERROR(VLOOKUP(基本資料填寫!$E$1&amp;"-"&amp;ROW(書籍檔建置!CB25),基本資料填寫!$E:$EU,COLUMN(基本資料填寫!CF25),0),"")</f>
        <v/>
      </c>
      <c r="AI28" s="314" t="str">
        <f>IFERROR(VLOOKUP(基本資料填寫!$E$1&amp;"-"&amp;ROW(書籍檔建置!CC25),基本資料填寫!$E:$EU,COLUMN(基本資料填寫!CG25),0),"")</f>
        <v/>
      </c>
      <c r="AJ28" s="314" t="str">
        <f>IFERROR(VLOOKUP(基本資料填寫!$E$1&amp;"-"&amp;ROW(書籍檔建置!H25),基本資料填寫!$E:$EU,COLUMN(基本資料填寫!K25),0),"")</f>
        <v/>
      </c>
      <c r="AK28" s="314" t="str">
        <f>IFERROR(VLOOKUP(基本資料填寫!$E$1&amp;"-"&amp;ROW(書籍檔建置!CF25),基本資料填寫!$E:$EU,COLUMN(基本資料填寫!CJ25),0),"")</f>
        <v/>
      </c>
      <c r="AL28" s="314" t="str">
        <f>IFERROR(VLOOKUP(基本資料填寫!$E$1&amp;"-"&amp;ROW(書籍檔建置!CG25),基本資料填寫!$E:$EU,COLUMN(基本資料填寫!CK25),0),"")</f>
        <v/>
      </c>
      <c r="AM28" s="314" t="str">
        <f>IFERROR(VLOOKUP(基本資料填寫!$E$1&amp;"-"&amp;ROW(書籍檔建置!BP25),基本資料填寫!$E:$EU,COLUMN(基本資料填寫!BT25),0),"")</f>
        <v/>
      </c>
      <c r="AN28" s="153"/>
    </row>
    <row r="29" spans="2:41" x14ac:dyDescent="0.3">
      <c r="B29" s="47" t="str">
        <f>IF(F29="","",COUNTA($F$4:F29))</f>
        <v/>
      </c>
      <c r="C29" s="314" t="str">
        <f>IFERROR(VLOOKUP(基本資料填寫!$E$1&amp;"-"&amp;ROW(書籍檔建置!K26),基本資料填寫!$E:$EU,COLUMN(基本資料填寫!O26),0),"")</f>
        <v/>
      </c>
      <c r="D29" s="314" t="str">
        <f>IFERROR(VLOOKUP(基本資料填寫!$E$1&amp;"-"&amp;ROW(書籍檔建置!N26),基本資料填寫!$E:$EU,COLUMN(基本資料填寫!R26),0),"")</f>
        <v/>
      </c>
      <c r="E29" s="314" t="str">
        <f>IFERROR(VLOOKUP(基本資料填寫!$E$1&amp;"-"&amp;ROW(書籍檔建置!AF26),基本資料填寫!$E:$EU,COLUMN(基本資料填寫!AJ26),0),"")</f>
        <v/>
      </c>
      <c r="F29" s="314" t="str">
        <f>IFERROR(VLOOKUP(基本資料填寫!$E$1&amp;"-"&amp;ROW(書籍檔建置!J26),基本資料填寫!$E:$EU,COLUMN(基本資料填寫!N26),0),"")</f>
        <v/>
      </c>
      <c r="G29" s="314" t="str">
        <f>IFERROR(VLOOKUP(基本資料填寫!$E$1&amp;"-"&amp;ROW(書籍檔建置!BO26),基本資料填寫!$E:$EU,COLUMN(基本資料填寫!BS26),0),"")</f>
        <v/>
      </c>
      <c r="H29" s="314" t="str">
        <f>IFERROR(VLOOKUP(基本資料填寫!$E$1&amp;"-"&amp;ROW(書籍檔建置!R26),基本資料填寫!$E:$EU,COLUMN(基本資料填寫!V26),0),"")</f>
        <v/>
      </c>
      <c r="I29" s="315" t="str">
        <f>IFERROR(VLOOKUP(基本資料填寫!$E$1&amp;"-"&amp;ROW(書籍檔建置!BQ26),基本資料填寫!$E:$EU,COLUMN(基本資料填寫!BU26),0),"")</f>
        <v/>
      </c>
      <c r="J29" s="314" t="str">
        <f>IFERROR(VLOOKUP(基本資料填寫!$E$1&amp;"-"&amp;ROW(書籍檔建置!BW26),基本資料填寫!$E:$EU,COLUMN(基本資料填寫!CA26),0),"")</f>
        <v/>
      </c>
      <c r="K29" s="314" t="str">
        <f>IFERROR(VLOOKUP(基本資料填寫!$E$1&amp;"-"&amp;ROW(書籍檔建置!BR26),基本資料填寫!$E:$EU,COLUMN(基本資料填寫!BV26),0),"")</f>
        <v/>
      </c>
      <c r="L29" s="314" t="str">
        <f>IFERROR(VLOOKUP(基本資料填寫!$E$1&amp;"-"&amp;ROW(書籍檔建置!BS26),基本資料填寫!$E:$EU,COLUMN(基本資料填寫!BW26),0),"")</f>
        <v/>
      </c>
      <c r="M29" s="166" t="str">
        <f>IFERROR(VLOOKUP(基本資料填寫!$E$1&amp;"-"&amp;ROW(書籍檔建置!BK26),基本資料填寫!$E:$EU,COLUMN(基本資料填寫!BO26),0),"")</f>
        <v/>
      </c>
      <c r="N29" s="314" t="str">
        <f>IFERROR(VLOOKUP(基本資料填寫!$E$1&amp;"-"&amp;ROW(書籍檔建置!AG26),基本資料填寫!$E:$EU,COLUMN(基本資料填寫!AK26),0),"")</f>
        <v/>
      </c>
      <c r="O29" s="314" t="str">
        <f>IFERROR(VLOOKUP(基本資料填寫!$E$1&amp;"-"&amp;ROW(書籍檔建置!BT26),基本資料填寫!$E:$EU,COLUMN(基本資料填寫!BX26),0),"")</f>
        <v/>
      </c>
      <c r="P29" s="314" t="str">
        <f>IFERROR(VLOOKUP(基本資料填寫!$E$1&amp;"-"&amp;ROW(書籍檔建置!BU26),基本資料填寫!$E:$EU,COLUMN(基本資料填寫!BY26),0),"")</f>
        <v/>
      </c>
      <c r="Q29" s="314" t="str">
        <f>IFERROR(VLOOKUP(基本資料填寫!$E$1&amp;"-"&amp;ROW(書籍檔建置!BV26),基本資料填寫!$E:$EU,COLUMN(基本資料填寫!BZ26),0),"")</f>
        <v/>
      </c>
      <c r="R29" s="314" t="str">
        <f>IFERROR(VLOOKUP(基本資料填寫!$E$1&amp;"-"&amp;ROW(書籍檔建置!BX26),基本資料填寫!$E:$EU,COLUMN(基本資料填寫!CB26),0),"")</f>
        <v/>
      </c>
      <c r="S29" s="314" t="str">
        <f>IFERROR(VLOOKUP(基本資料填寫!$E$1&amp;"-"&amp;ROW(書籍檔建置!BY26),基本資料填寫!$E:$EU,COLUMN(基本資料填寫!CC26),0),"")</f>
        <v/>
      </c>
      <c r="T29" s="314" t="str">
        <f>IFERROR(VLOOKUP(基本資料填寫!$E$1&amp;"-"&amp;ROW(書籍檔建置!BZ26),基本資料填寫!$E:$EU,COLUMN(基本資料填寫!CD26),0),"")</f>
        <v/>
      </c>
      <c r="U29" s="314" t="str">
        <f>IFERROR(VLOOKUP(基本資料填寫!$E$1&amp;"-"&amp;ROW(書籍檔建置!CA26),基本資料填寫!$E:$EU,COLUMN(基本資料填寫!CE26),0),"")</f>
        <v/>
      </c>
      <c r="V29" s="166" t="str">
        <f>IFERROR(VLOOKUP(基本資料填寫!$E$1&amp;"-"&amp;ROW(書籍檔建置!BL26),基本資料填寫!$E:$EU,COLUMN(基本資料填寫!BP26),0),"")</f>
        <v/>
      </c>
      <c r="W29" s="178"/>
      <c r="X29" s="178"/>
      <c r="Y29" s="178"/>
      <c r="Z29" s="178"/>
      <c r="AA29" s="178"/>
      <c r="AB29" s="178"/>
      <c r="AC29" s="314" t="str">
        <f>IFERROR(VLOOKUP(基本資料填寫!$E$1&amp;"-"&amp;ROW(書籍檔建置!S26),基本資料填寫!$E:$EU,COLUMN(基本資料填寫!W26),0),"")</f>
        <v/>
      </c>
      <c r="AD29" s="166" t="str">
        <f>IFERROR(VLOOKUP(基本資料填寫!$E$1&amp;"-"&amp;ROW(書籍檔建置!BM26),基本資料填寫!$E:$EU,COLUMN(基本資料填寫!BQ26),0),"")</f>
        <v/>
      </c>
      <c r="AE29" s="178"/>
      <c r="AF29" s="178"/>
      <c r="AG29" s="178"/>
      <c r="AH29" s="314" t="str">
        <f>IFERROR(VLOOKUP(基本資料填寫!$E$1&amp;"-"&amp;ROW(書籍檔建置!CB26),基本資料填寫!$E:$EU,COLUMN(基本資料填寫!CF26),0),"")</f>
        <v/>
      </c>
      <c r="AI29" s="314" t="str">
        <f>IFERROR(VLOOKUP(基本資料填寫!$E$1&amp;"-"&amp;ROW(書籍檔建置!CC26),基本資料填寫!$E:$EU,COLUMN(基本資料填寫!CG26),0),"")</f>
        <v/>
      </c>
      <c r="AJ29" s="314" t="str">
        <f>IFERROR(VLOOKUP(基本資料填寫!$E$1&amp;"-"&amp;ROW(書籍檔建置!H26),基本資料填寫!$E:$EU,COLUMN(基本資料填寫!K26),0),"")</f>
        <v/>
      </c>
      <c r="AK29" s="314" t="str">
        <f>IFERROR(VLOOKUP(基本資料填寫!$E$1&amp;"-"&amp;ROW(書籍檔建置!CF26),基本資料填寫!$E:$EU,COLUMN(基本資料填寫!CJ26),0),"")</f>
        <v/>
      </c>
      <c r="AL29" s="314" t="str">
        <f>IFERROR(VLOOKUP(基本資料填寫!$E$1&amp;"-"&amp;ROW(書籍檔建置!CG26),基本資料填寫!$E:$EU,COLUMN(基本資料填寫!CK26),0),"")</f>
        <v/>
      </c>
      <c r="AM29" s="314" t="str">
        <f>IFERROR(VLOOKUP(基本資料填寫!$E$1&amp;"-"&amp;ROW(書籍檔建置!BP26),基本資料填寫!$E:$EU,COLUMN(基本資料填寫!BT26),0),"")</f>
        <v/>
      </c>
      <c r="AN29" s="153"/>
    </row>
    <row r="30" spans="2:41" x14ac:dyDescent="0.3">
      <c r="B30" s="47" t="str">
        <f>IF(F30="","",COUNTA($F$4:F30))</f>
        <v/>
      </c>
      <c r="C30" s="314" t="str">
        <f>IFERROR(VLOOKUP(基本資料填寫!$E$1&amp;"-"&amp;ROW(書籍檔建置!K27),基本資料填寫!$E:$EU,COLUMN(基本資料填寫!O27),0),"")</f>
        <v/>
      </c>
      <c r="D30" s="314" t="str">
        <f>IFERROR(VLOOKUP(基本資料填寫!$E$1&amp;"-"&amp;ROW(書籍檔建置!N27),基本資料填寫!$E:$EU,COLUMN(基本資料填寫!R27),0),"")</f>
        <v/>
      </c>
      <c r="E30" s="314" t="str">
        <f>IFERROR(VLOOKUP(基本資料填寫!$E$1&amp;"-"&amp;ROW(書籍檔建置!AF27),基本資料填寫!$E:$EU,COLUMN(基本資料填寫!AJ27),0),"")</f>
        <v/>
      </c>
      <c r="F30" s="314" t="str">
        <f>IFERROR(VLOOKUP(基本資料填寫!$E$1&amp;"-"&amp;ROW(書籍檔建置!J27),基本資料填寫!$E:$EU,COLUMN(基本資料填寫!N27),0),"")</f>
        <v/>
      </c>
      <c r="G30" s="314" t="str">
        <f>IFERROR(VLOOKUP(基本資料填寫!$E$1&amp;"-"&amp;ROW(書籍檔建置!BO27),基本資料填寫!$E:$EU,COLUMN(基本資料填寫!BS27),0),"")</f>
        <v/>
      </c>
      <c r="H30" s="314" t="str">
        <f>IFERROR(VLOOKUP(基本資料填寫!$E$1&amp;"-"&amp;ROW(書籍檔建置!R27),基本資料填寫!$E:$EU,COLUMN(基本資料填寫!V27),0),"")</f>
        <v/>
      </c>
      <c r="I30" s="315" t="str">
        <f>IFERROR(VLOOKUP(基本資料填寫!$E$1&amp;"-"&amp;ROW(書籍檔建置!BQ27),基本資料填寫!$E:$EU,COLUMN(基本資料填寫!BU27),0),"")</f>
        <v/>
      </c>
      <c r="J30" s="314" t="str">
        <f>IFERROR(VLOOKUP(基本資料填寫!$E$1&amp;"-"&amp;ROW(書籍檔建置!BW27),基本資料填寫!$E:$EU,COLUMN(基本資料填寫!CA27),0),"")</f>
        <v/>
      </c>
      <c r="K30" s="314" t="str">
        <f>IFERROR(VLOOKUP(基本資料填寫!$E$1&amp;"-"&amp;ROW(書籍檔建置!BR27),基本資料填寫!$E:$EU,COLUMN(基本資料填寫!BV27),0),"")</f>
        <v/>
      </c>
      <c r="L30" s="314" t="str">
        <f>IFERROR(VLOOKUP(基本資料填寫!$E$1&amp;"-"&amp;ROW(書籍檔建置!BS27),基本資料填寫!$E:$EU,COLUMN(基本資料填寫!BW27),0),"")</f>
        <v/>
      </c>
      <c r="M30" s="166" t="str">
        <f>IFERROR(VLOOKUP(基本資料填寫!$E$1&amp;"-"&amp;ROW(書籍檔建置!BK27),基本資料填寫!$E:$EU,COLUMN(基本資料填寫!BO27),0),"")</f>
        <v/>
      </c>
      <c r="N30" s="314" t="str">
        <f>IFERROR(VLOOKUP(基本資料填寫!$E$1&amp;"-"&amp;ROW(書籍檔建置!AG27),基本資料填寫!$E:$EU,COLUMN(基本資料填寫!AK27),0),"")</f>
        <v/>
      </c>
      <c r="O30" s="314" t="str">
        <f>IFERROR(VLOOKUP(基本資料填寫!$E$1&amp;"-"&amp;ROW(書籍檔建置!BT27),基本資料填寫!$E:$EU,COLUMN(基本資料填寫!BX27),0),"")</f>
        <v/>
      </c>
      <c r="P30" s="314" t="str">
        <f>IFERROR(VLOOKUP(基本資料填寫!$E$1&amp;"-"&amp;ROW(書籍檔建置!BU27),基本資料填寫!$E:$EU,COLUMN(基本資料填寫!BY27),0),"")</f>
        <v/>
      </c>
      <c r="Q30" s="314" t="str">
        <f>IFERROR(VLOOKUP(基本資料填寫!$E$1&amp;"-"&amp;ROW(書籍檔建置!BV27),基本資料填寫!$E:$EU,COLUMN(基本資料填寫!BZ27),0),"")</f>
        <v/>
      </c>
      <c r="R30" s="314" t="str">
        <f>IFERROR(VLOOKUP(基本資料填寫!$E$1&amp;"-"&amp;ROW(書籍檔建置!BX27),基本資料填寫!$E:$EU,COLUMN(基本資料填寫!CB27),0),"")</f>
        <v/>
      </c>
      <c r="S30" s="314" t="str">
        <f>IFERROR(VLOOKUP(基本資料填寫!$E$1&amp;"-"&amp;ROW(書籍檔建置!BY27),基本資料填寫!$E:$EU,COLUMN(基本資料填寫!CC27),0),"")</f>
        <v/>
      </c>
      <c r="T30" s="314" t="str">
        <f>IFERROR(VLOOKUP(基本資料填寫!$E$1&amp;"-"&amp;ROW(書籍檔建置!BZ27),基本資料填寫!$E:$EU,COLUMN(基本資料填寫!CD27),0),"")</f>
        <v/>
      </c>
      <c r="U30" s="314" t="str">
        <f>IFERROR(VLOOKUP(基本資料填寫!$E$1&amp;"-"&amp;ROW(書籍檔建置!CA27),基本資料填寫!$E:$EU,COLUMN(基本資料填寫!CE27),0),"")</f>
        <v/>
      </c>
      <c r="V30" s="166" t="str">
        <f>IFERROR(VLOOKUP(基本資料填寫!$E$1&amp;"-"&amp;ROW(書籍檔建置!BL27),基本資料填寫!$E:$EU,COLUMN(基本資料填寫!BP27),0),"")</f>
        <v/>
      </c>
      <c r="W30" s="178"/>
      <c r="X30" s="178"/>
      <c r="Y30" s="178"/>
      <c r="Z30" s="178"/>
      <c r="AA30" s="178"/>
      <c r="AB30" s="178"/>
      <c r="AC30" s="314" t="str">
        <f>IFERROR(VLOOKUP(基本資料填寫!$E$1&amp;"-"&amp;ROW(書籍檔建置!S27),基本資料填寫!$E:$EU,COLUMN(基本資料填寫!W27),0),"")</f>
        <v/>
      </c>
      <c r="AD30" s="166" t="str">
        <f>IFERROR(VLOOKUP(基本資料填寫!$E$1&amp;"-"&amp;ROW(書籍檔建置!BM27),基本資料填寫!$E:$EU,COLUMN(基本資料填寫!BQ27),0),"")</f>
        <v/>
      </c>
      <c r="AE30" s="178"/>
      <c r="AF30" s="178"/>
      <c r="AG30" s="178"/>
      <c r="AH30" s="314" t="str">
        <f>IFERROR(VLOOKUP(基本資料填寫!$E$1&amp;"-"&amp;ROW(書籍檔建置!CB27),基本資料填寫!$E:$EU,COLUMN(基本資料填寫!CF27),0),"")</f>
        <v/>
      </c>
      <c r="AI30" s="314" t="str">
        <f>IFERROR(VLOOKUP(基本資料填寫!$E$1&amp;"-"&amp;ROW(書籍檔建置!CC27),基本資料填寫!$E:$EU,COLUMN(基本資料填寫!CG27),0),"")</f>
        <v/>
      </c>
      <c r="AJ30" s="314" t="str">
        <f>IFERROR(VLOOKUP(基本資料填寫!$E$1&amp;"-"&amp;ROW(書籍檔建置!H27),基本資料填寫!$E:$EU,COLUMN(基本資料填寫!K27),0),"")</f>
        <v/>
      </c>
      <c r="AK30" s="314" t="str">
        <f>IFERROR(VLOOKUP(基本資料填寫!$E$1&amp;"-"&amp;ROW(書籍檔建置!CF27),基本資料填寫!$E:$EU,COLUMN(基本資料填寫!CJ27),0),"")</f>
        <v/>
      </c>
      <c r="AL30" s="314" t="str">
        <f>IFERROR(VLOOKUP(基本資料填寫!$E$1&amp;"-"&amp;ROW(書籍檔建置!CG27),基本資料填寫!$E:$EU,COLUMN(基本資料填寫!CK27),0),"")</f>
        <v/>
      </c>
      <c r="AM30" s="314" t="str">
        <f>IFERROR(VLOOKUP(基本資料填寫!$E$1&amp;"-"&amp;ROW(書籍檔建置!BP27),基本資料填寫!$E:$EU,COLUMN(基本資料填寫!BT27),0),"")</f>
        <v/>
      </c>
      <c r="AN30" s="153"/>
    </row>
    <row r="31" spans="2:41" x14ac:dyDescent="0.3">
      <c r="B31" s="47" t="str">
        <f>IF(F31="","",COUNTA($F$4:F31))</f>
        <v/>
      </c>
      <c r="C31" s="314" t="str">
        <f>IFERROR(VLOOKUP(基本資料填寫!$E$1&amp;"-"&amp;ROW(書籍檔建置!K28),基本資料填寫!$E:$EU,COLUMN(基本資料填寫!O28),0),"")</f>
        <v/>
      </c>
      <c r="D31" s="314" t="str">
        <f>IFERROR(VLOOKUP(基本資料填寫!$E$1&amp;"-"&amp;ROW(書籍檔建置!N28),基本資料填寫!$E:$EU,COLUMN(基本資料填寫!R28),0),"")</f>
        <v/>
      </c>
      <c r="E31" s="314" t="str">
        <f>IFERROR(VLOOKUP(基本資料填寫!$E$1&amp;"-"&amp;ROW(書籍檔建置!AF28),基本資料填寫!$E:$EU,COLUMN(基本資料填寫!AJ28),0),"")</f>
        <v/>
      </c>
      <c r="F31" s="314" t="str">
        <f>IFERROR(VLOOKUP(基本資料填寫!$E$1&amp;"-"&amp;ROW(書籍檔建置!J28),基本資料填寫!$E:$EU,COLUMN(基本資料填寫!N28),0),"")</f>
        <v/>
      </c>
      <c r="G31" s="314" t="str">
        <f>IFERROR(VLOOKUP(基本資料填寫!$E$1&amp;"-"&amp;ROW(書籍檔建置!BO28),基本資料填寫!$E:$EU,COLUMN(基本資料填寫!BS28),0),"")</f>
        <v/>
      </c>
      <c r="H31" s="314" t="str">
        <f>IFERROR(VLOOKUP(基本資料填寫!$E$1&amp;"-"&amp;ROW(書籍檔建置!R28),基本資料填寫!$E:$EU,COLUMN(基本資料填寫!V28),0),"")</f>
        <v/>
      </c>
      <c r="I31" s="315" t="str">
        <f>IFERROR(VLOOKUP(基本資料填寫!$E$1&amp;"-"&amp;ROW(書籍檔建置!BQ28),基本資料填寫!$E:$EU,COLUMN(基本資料填寫!BU28),0),"")</f>
        <v/>
      </c>
      <c r="J31" s="314" t="str">
        <f>IFERROR(VLOOKUP(基本資料填寫!$E$1&amp;"-"&amp;ROW(書籍檔建置!BW28),基本資料填寫!$E:$EU,COLUMN(基本資料填寫!CA28),0),"")</f>
        <v/>
      </c>
      <c r="K31" s="314" t="str">
        <f>IFERROR(VLOOKUP(基本資料填寫!$E$1&amp;"-"&amp;ROW(書籍檔建置!BR28),基本資料填寫!$E:$EU,COLUMN(基本資料填寫!BV28),0),"")</f>
        <v/>
      </c>
      <c r="L31" s="314" t="str">
        <f>IFERROR(VLOOKUP(基本資料填寫!$E$1&amp;"-"&amp;ROW(書籍檔建置!BS28),基本資料填寫!$E:$EU,COLUMN(基本資料填寫!BW28),0),"")</f>
        <v/>
      </c>
      <c r="M31" s="166" t="str">
        <f>IFERROR(VLOOKUP(基本資料填寫!$E$1&amp;"-"&amp;ROW(書籍檔建置!BK28),基本資料填寫!$E:$EU,COLUMN(基本資料填寫!BO28),0),"")</f>
        <v/>
      </c>
      <c r="N31" s="314" t="str">
        <f>IFERROR(VLOOKUP(基本資料填寫!$E$1&amp;"-"&amp;ROW(書籍檔建置!AG28),基本資料填寫!$E:$EU,COLUMN(基本資料填寫!AK28),0),"")</f>
        <v/>
      </c>
      <c r="O31" s="314" t="str">
        <f>IFERROR(VLOOKUP(基本資料填寫!$E$1&amp;"-"&amp;ROW(書籍檔建置!BT28),基本資料填寫!$E:$EU,COLUMN(基本資料填寫!BX28),0),"")</f>
        <v/>
      </c>
      <c r="P31" s="314" t="str">
        <f>IFERROR(VLOOKUP(基本資料填寫!$E$1&amp;"-"&amp;ROW(書籍檔建置!BU28),基本資料填寫!$E:$EU,COLUMN(基本資料填寫!BY28),0),"")</f>
        <v/>
      </c>
      <c r="Q31" s="314" t="str">
        <f>IFERROR(VLOOKUP(基本資料填寫!$E$1&amp;"-"&amp;ROW(書籍檔建置!BV28),基本資料填寫!$E:$EU,COLUMN(基本資料填寫!BZ28),0),"")</f>
        <v/>
      </c>
      <c r="R31" s="314" t="str">
        <f>IFERROR(VLOOKUP(基本資料填寫!$E$1&amp;"-"&amp;ROW(書籍檔建置!BX28),基本資料填寫!$E:$EU,COLUMN(基本資料填寫!CB28),0),"")</f>
        <v/>
      </c>
      <c r="S31" s="314" t="str">
        <f>IFERROR(VLOOKUP(基本資料填寫!$E$1&amp;"-"&amp;ROW(書籍檔建置!BY28),基本資料填寫!$E:$EU,COLUMN(基本資料填寫!CC28),0),"")</f>
        <v/>
      </c>
      <c r="T31" s="314" t="str">
        <f>IFERROR(VLOOKUP(基本資料填寫!$E$1&amp;"-"&amp;ROW(書籍檔建置!BZ28),基本資料填寫!$E:$EU,COLUMN(基本資料填寫!CD28),0),"")</f>
        <v/>
      </c>
      <c r="U31" s="314" t="str">
        <f>IFERROR(VLOOKUP(基本資料填寫!$E$1&amp;"-"&amp;ROW(書籍檔建置!CA28),基本資料填寫!$E:$EU,COLUMN(基本資料填寫!CE28),0),"")</f>
        <v/>
      </c>
      <c r="V31" s="166" t="str">
        <f>IFERROR(VLOOKUP(基本資料填寫!$E$1&amp;"-"&amp;ROW(書籍檔建置!BL28),基本資料填寫!$E:$EU,COLUMN(基本資料填寫!BP28),0),"")</f>
        <v/>
      </c>
      <c r="W31" s="178"/>
      <c r="X31" s="178"/>
      <c r="Y31" s="178"/>
      <c r="Z31" s="178"/>
      <c r="AA31" s="178"/>
      <c r="AB31" s="178"/>
      <c r="AC31" s="314" t="str">
        <f>IFERROR(VLOOKUP(基本資料填寫!$E$1&amp;"-"&amp;ROW(書籍檔建置!S28),基本資料填寫!$E:$EU,COLUMN(基本資料填寫!W28),0),"")</f>
        <v/>
      </c>
      <c r="AD31" s="166" t="str">
        <f>IFERROR(VLOOKUP(基本資料填寫!$E$1&amp;"-"&amp;ROW(書籍檔建置!BM28),基本資料填寫!$E:$EU,COLUMN(基本資料填寫!BQ28),0),"")</f>
        <v/>
      </c>
      <c r="AE31" s="178"/>
      <c r="AF31" s="178"/>
      <c r="AG31" s="178"/>
      <c r="AH31" s="314" t="str">
        <f>IFERROR(VLOOKUP(基本資料填寫!$E$1&amp;"-"&amp;ROW(書籍檔建置!CB28),基本資料填寫!$E:$EU,COLUMN(基本資料填寫!CF28),0),"")</f>
        <v/>
      </c>
      <c r="AI31" s="314" t="str">
        <f>IFERROR(VLOOKUP(基本資料填寫!$E$1&amp;"-"&amp;ROW(書籍檔建置!CC28),基本資料填寫!$E:$EU,COLUMN(基本資料填寫!CG28),0),"")</f>
        <v/>
      </c>
      <c r="AJ31" s="314" t="str">
        <f>IFERROR(VLOOKUP(基本資料填寫!$E$1&amp;"-"&amp;ROW(書籍檔建置!H28),基本資料填寫!$E:$EU,COLUMN(基本資料填寫!K28),0),"")</f>
        <v/>
      </c>
      <c r="AK31" s="314" t="str">
        <f>IFERROR(VLOOKUP(基本資料填寫!$E$1&amp;"-"&amp;ROW(書籍檔建置!CF28),基本資料填寫!$E:$EU,COLUMN(基本資料填寫!CJ28),0),"")</f>
        <v/>
      </c>
      <c r="AL31" s="314" t="str">
        <f>IFERROR(VLOOKUP(基本資料填寫!$E$1&amp;"-"&amp;ROW(書籍檔建置!CG28),基本資料填寫!$E:$EU,COLUMN(基本資料填寫!CK28),0),"")</f>
        <v/>
      </c>
      <c r="AM31" s="314" t="str">
        <f>IFERROR(VLOOKUP(基本資料填寫!$E$1&amp;"-"&amp;ROW(書籍檔建置!BP28),基本資料填寫!$E:$EU,COLUMN(基本資料填寫!BT28),0),"")</f>
        <v/>
      </c>
      <c r="AN31" s="153"/>
    </row>
    <row r="32" spans="2:41" x14ac:dyDescent="0.3">
      <c r="B32" s="47" t="str">
        <f>IF(F32="","",COUNTA($F$4:F32))</f>
        <v/>
      </c>
      <c r="C32" s="314" t="str">
        <f>IFERROR(VLOOKUP(基本資料填寫!$E$1&amp;"-"&amp;ROW(書籍檔建置!K29),基本資料填寫!$E:$EU,COLUMN(基本資料填寫!O29),0),"")</f>
        <v/>
      </c>
      <c r="D32" s="314" t="str">
        <f>IFERROR(VLOOKUP(基本資料填寫!$E$1&amp;"-"&amp;ROW(書籍檔建置!N29),基本資料填寫!$E:$EU,COLUMN(基本資料填寫!R29),0),"")</f>
        <v/>
      </c>
      <c r="E32" s="314" t="str">
        <f>IFERROR(VLOOKUP(基本資料填寫!$E$1&amp;"-"&amp;ROW(書籍檔建置!AF29),基本資料填寫!$E:$EU,COLUMN(基本資料填寫!AJ29),0),"")</f>
        <v/>
      </c>
      <c r="F32" s="314" t="str">
        <f>IFERROR(VLOOKUP(基本資料填寫!$E$1&amp;"-"&amp;ROW(書籍檔建置!J29),基本資料填寫!$E:$EU,COLUMN(基本資料填寫!N29),0),"")</f>
        <v/>
      </c>
      <c r="G32" s="314" t="str">
        <f>IFERROR(VLOOKUP(基本資料填寫!$E$1&amp;"-"&amp;ROW(書籍檔建置!BO29),基本資料填寫!$E:$EU,COLUMN(基本資料填寫!BS29),0),"")</f>
        <v/>
      </c>
      <c r="H32" s="314" t="str">
        <f>IFERROR(VLOOKUP(基本資料填寫!$E$1&amp;"-"&amp;ROW(書籍檔建置!R29),基本資料填寫!$E:$EU,COLUMN(基本資料填寫!V29),0),"")</f>
        <v/>
      </c>
      <c r="I32" s="315" t="str">
        <f>IFERROR(VLOOKUP(基本資料填寫!$E$1&amp;"-"&amp;ROW(書籍檔建置!BQ29),基本資料填寫!$E:$EU,COLUMN(基本資料填寫!BU29),0),"")</f>
        <v/>
      </c>
      <c r="J32" s="314" t="str">
        <f>IFERROR(VLOOKUP(基本資料填寫!$E$1&amp;"-"&amp;ROW(書籍檔建置!BW29),基本資料填寫!$E:$EU,COLUMN(基本資料填寫!CA29),0),"")</f>
        <v/>
      </c>
      <c r="K32" s="314" t="str">
        <f>IFERROR(VLOOKUP(基本資料填寫!$E$1&amp;"-"&amp;ROW(書籍檔建置!BR29),基本資料填寫!$E:$EU,COLUMN(基本資料填寫!BV29),0),"")</f>
        <v/>
      </c>
      <c r="L32" s="314" t="str">
        <f>IFERROR(VLOOKUP(基本資料填寫!$E$1&amp;"-"&amp;ROW(書籍檔建置!BS29),基本資料填寫!$E:$EU,COLUMN(基本資料填寫!BW29),0),"")</f>
        <v/>
      </c>
      <c r="M32" s="166" t="str">
        <f>IFERROR(VLOOKUP(基本資料填寫!$E$1&amp;"-"&amp;ROW(書籍檔建置!BK29),基本資料填寫!$E:$EU,COLUMN(基本資料填寫!BO29),0),"")</f>
        <v/>
      </c>
      <c r="N32" s="314" t="str">
        <f>IFERROR(VLOOKUP(基本資料填寫!$E$1&amp;"-"&amp;ROW(書籍檔建置!AG29),基本資料填寫!$E:$EU,COLUMN(基本資料填寫!AK29),0),"")</f>
        <v/>
      </c>
      <c r="O32" s="314" t="str">
        <f>IFERROR(VLOOKUP(基本資料填寫!$E$1&amp;"-"&amp;ROW(書籍檔建置!BT29),基本資料填寫!$E:$EU,COLUMN(基本資料填寫!BX29),0),"")</f>
        <v/>
      </c>
      <c r="P32" s="314" t="str">
        <f>IFERROR(VLOOKUP(基本資料填寫!$E$1&amp;"-"&amp;ROW(書籍檔建置!BU29),基本資料填寫!$E:$EU,COLUMN(基本資料填寫!BY29),0),"")</f>
        <v/>
      </c>
      <c r="Q32" s="314" t="str">
        <f>IFERROR(VLOOKUP(基本資料填寫!$E$1&amp;"-"&amp;ROW(書籍檔建置!BV29),基本資料填寫!$E:$EU,COLUMN(基本資料填寫!BZ29),0),"")</f>
        <v/>
      </c>
      <c r="R32" s="314" t="str">
        <f>IFERROR(VLOOKUP(基本資料填寫!$E$1&amp;"-"&amp;ROW(書籍檔建置!BX29),基本資料填寫!$E:$EU,COLUMN(基本資料填寫!CB29),0),"")</f>
        <v/>
      </c>
      <c r="S32" s="314" t="str">
        <f>IFERROR(VLOOKUP(基本資料填寫!$E$1&amp;"-"&amp;ROW(書籍檔建置!BY29),基本資料填寫!$E:$EU,COLUMN(基本資料填寫!CC29),0),"")</f>
        <v/>
      </c>
      <c r="T32" s="314" t="str">
        <f>IFERROR(VLOOKUP(基本資料填寫!$E$1&amp;"-"&amp;ROW(書籍檔建置!BZ29),基本資料填寫!$E:$EU,COLUMN(基本資料填寫!CD29),0),"")</f>
        <v/>
      </c>
      <c r="U32" s="314" t="str">
        <f>IFERROR(VLOOKUP(基本資料填寫!$E$1&amp;"-"&amp;ROW(書籍檔建置!CA29),基本資料填寫!$E:$EU,COLUMN(基本資料填寫!CE29),0),"")</f>
        <v/>
      </c>
      <c r="V32" s="166" t="str">
        <f>IFERROR(VLOOKUP(基本資料填寫!$E$1&amp;"-"&amp;ROW(書籍檔建置!BL29),基本資料填寫!$E:$EU,COLUMN(基本資料填寫!BP29),0),"")</f>
        <v/>
      </c>
      <c r="W32" s="178"/>
      <c r="X32" s="178"/>
      <c r="Y32" s="178"/>
      <c r="Z32" s="178"/>
      <c r="AA32" s="178"/>
      <c r="AB32" s="178"/>
      <c r="AC32" s="314" t="str">
        <f>IFERROR(VLOOKUP(基本資料填寫!$E$1&amp;"-"&amp;ROW(書籍檔建置!S29),基本資料填寫!$E:$EU,COLUMN(基本資料填寫!W29),0),"")</f>
        <v/>
      </c>
      <c r="AD32" s="166" t="str">
        <f>IFERROR(VLOOKUP(基本資料填寫!$E$1&amp;"-"&amp;ROW(書籍檔建置!BM29),基本資料填寫!$E:$EU,COLUMN(基本資料填寫!BQ29),0),"")</f>
        <v/>
      </c>
      <c r="AE32" s="178"/>
      <c r="AF32" s="178"/>
      <c r="AG32" s="178"/>
      <c r="AH32" s="314" t="str">
        <f>IFERROR(VLOOKUP(基本資料填寫!$E$1&amp;"-"&amp;ROW(書籍檔建置!CB29),基本資料填寫!$E:$EU,COLUMN(基本資料填寫!CF29),0),"")</f>
        <v/>
      </c>
      <c r="AI32" s="314" t="str">
        <f>IFERROR(VLOOKUP(基本資料填寫!$E$1&amp;"-"&amp;ROW(書籍檔建置!CC29),基本資料填寫!$E:$EU,COLUMN(基本資料填寫!CG29),0),"")</f>
        <v/>
      </c>
      <c r="AJ32" s="314" t="str">
        <f>IFERROR(VLOOKUP(基本資料填寫!$E$1&amp;"-"&amp;ROW(書籍檔建置!H29),基本資料填寫!$E:$EU,COLUMN(基本資料填寫!K29),0),"")</f>
        <v/>
      </c>
      <c r="AK32" s="314" t="str">
        <f>IFERROR(VLOOKUP(基本資料填寫!$E$1&amp;"-"&amp;ROW(書籍檔建置!CF29),基本資料填寫!$E:$EU,COLUMN(基本資料填寫!CJ29),0),"")</f>
        <v/>
      </c>
      <c r="AL32" s="314" t="str">
        <f>IFERROR(VLOOKUP(基本資料填寫!$E$1&amp;"-"&amp;ROW(書籍檔建置!CG29),基本資料填寫!$E:$EU,COLUMN(基本資料填寫!CK29),0),"")</f>
        <v/>
      </c>
      <c r="AM32" s="314" t="str">
        <f>IFERROR(VLOOKUP(基本資料填寫!$E$1&amp;"-"&amp;ROW(書籍檔建置!BP29),基本資料填寫!$E:$EU,COLUMN(基本資料填寫!BT29),0),"")</f>
        <v/>
      </c>
      <c r="AN32" s="153"/>
    </row>
    <row r="33" spans="2:40" x14ac:dyDescent="0.3">
      <c r="B33" s="47" t="str">
        <f>IF(F33="","",COUNTA($F$4:F33))</f>
        <v/>
      </c>
      <c r="C33" s="314" t="str">
        <f>IFERROR(VLOOKUP(基本資料填寫!$E$1&amp;"-"&amp;ROW(書籍檔建置!K30),基本資料填寫!$E:$EU,COLUMN(基本資料填寫!O30),0),"")</f>
        <v/>
      </c>
      <c r="D33" s="314" t="str">
        <f>IFERROR(VLOOKUP(基本資料填寫!$E$1&amp;"-"&amp;ROW(書籍檔建置!N30),基本資料填寫!$E:$EU,COLUMN(基本資料填寫!R30),0),"")</f>
        <v/>
      </c>
      <c r="E33" s="314" t="str">
        <f>IFERROR(VLOOKUP(基本資料填寫!$E$1&amp;"-"&amp;ROW(書籍檔建置!AF30),基本資料填寫!$E:$EU,COLUMN(基本資料填寫!AJ30),0),"")</f>
        <v/>
      </c>
      <c r="F33" s="314" t="str">
        <f>IFERROR(VLOOKUP(基本資料填寫!$E$1&amp;"-"&amp;ROW(書籍檔建置!J30),基本資料填寫!$E:$EU,COLUMN(基本資料填寫!N30),0),"")</f>
        <v/>
      </c>
      <c r="G33" s="314" t="str">
        <f>IFERROR(VLOOKUP(基本資料填寫!$E$1&amp;"-"&amp;ROW(書籍檔建置!BO30),基本資料填寫!$E:$EU,COLUMN(基本資料填寫!BS30),0),"")</f>
        <v/>
      </c>
      <c r="H33" s="314" t="str">
        <f>IFERROR(VLOOKUP(基本資料填寫!$E$1&amp;"-"&amp;ROW(書籍檔建置!R30),基本資料填寫!$E:$EU,COLUMN(基本資料填寫!V30),0),"")</f>
        <v/>
      </c>
      <c r="I33" s="315" t="str">
        <f>IFERROR(VLOOKUP(基本資料填寫!$E$1&amp;"-"&amp;ROW(書籍檔建置!BQ30),基本資料填寫!$E:$EU,COLUMN(基本資料填寫!BU30),0),"")</f>
        <v/>
      </c>
      <c r="J33" s="314" t="str">
        <f>IFERROR(VLOOKUP(基本資料填寫!$E$1&amp;"-"&amp;ROW(書籍檔建置!BW30),基本資料填寫!$E:$EU,COLUMN(基本資料填寫!CA30),0),"")</f>
        <v/>
      </c>
      <c r="K33" s="314" t="str">
        <f>IFERROR(VLOOKUP(基本資料填寫!$E$1&amp;"-"&amp;ROW(書籍檔建置!BR30),基本資料填寫!$E:$EU,COLUMN(基本資料填寫!BV30),0),"")</f>
        <v/>
      </c>
      <c r="L33" s="314" t="str">
        <f>IFERROR(VLOOKUP(基本資料填寫!$E$1&amp;"-"&amp;ROW(書籍檔建置!BS30),基本資料填寫!$E:$EU,COLUMN(基本資料填寫!BW30),0),"")</f>
        <v/>
      </c>
      <c r="M33" s="166" t="str">
        <f>IFERROR(VLOOKUP(基本資料填寫!$E$1&amp;"-"&amp;ROW(書籍檔建置!BK30),基本資料填寫!$E:$EU,COLUMN(基本資料填寫!BO30),0),"")</f>
        <v/>
      </c>
      <c r="N33" s="314" t="str">
        <f>IFERROR(VLOOKUP(基本資料填寫!$E$1&amp;"-"&amp;ROW(書籍檔建置!AG30),基本資料填寫!$E:$EU,COLUMN(基本資料填寫!AK30),0),"")</f>
        <v/>
      </c>
      <c r="O33" s="314" t="str">
        <f>IFERROR(VLOOKUP(基本資料填寫!$E$1&amp;"-"&amp;ROW(書籍檔建置!BT30),基本資料填寫!$E:$EU,COLUMN(基本資料填寫!BX30),0),"")</f>
        <v/>
      </c>
      <c r="P33" s="314" t="str">
        <f>IFERROR(VLOOKUP(基本資料填寫!$E$1&amp;"-"&amp;ROW(書籍檔建置!BU30),基本資料填寫!$E:$EU,COLUMN(基本資料填寫!BY30),0),"")</f>
        <v/>
      </c>
      <c r="Q33" s="314" t="str">
        <f>IFERROR(VLOOKUP(基本資料填寫!$E$1&amp;"-"&amp;ROW(書籍檔建置!BV30),基本資料填寫!$E:$EU,COLUMN(基本資料填寫!BZ30),0),"")</f>
        <v/>
      </c>
      <c r="R33" s="314" t="str">
        <f>IFERROR(VLOOKUP(基本資料填寫!$E$1&amp;"-"&amp;ROW(書籍檔建置!BX30),基本資料填寫!$E:$EU,COLUMN(基本資料填寫!CB30),0),"")</f>
        <v/>
      </c>
      <c r="S33" s="314" t="str">
        <f>IFERROR(VLOOKUP(基本資料填寫!$E$1&amp;"-"&amp;ROW(書籍檔建置!BY30),基本資料填寫!$E:$EU,COLUMN(基本資料填寫!CC30),0),"")</f>
        <v/>
      </c>
      <c r="T33" s="314" t="str">
        <f>IFERROR(VLOOKUP(基本資料填寫!$E$1&amp;"-"&amp;ROW(書籍檔建置!BZ30),基本資料填寫!$E:$EU,COLUMN(基本資料填寫!CD30),0),"")</f>
        <v/>
      </c>
      <c r="U33" s="314" t="str">
        <f>IFERROR(VLOOKUP(基本資料填寫!$E$1&amp;"-"&amp;ROW(書籍檔建置!CA30),基本資料填寫!$E:$EU,COLUMN(基本資料填寫!CE30),0),"")</f>
        <v/>
      </c>
      <c r="V33" s="166" t="str">
        <f>IFERROR(VLOOKUP(基本資料填寫!$E$1&amp;"-"&amp;ROW(書籍檔建置!BL30),基本資料填寫!$E:$EU,COLUMN(基本資料填寫!BP30),0),"")</f>
        <v/>
      </c>
      <c r="W33" s="178"/>
      <c r="X33" s="178"/>
      <c r="Y33" s="178"/>
      <c r="Z33" s="178"/>
      <c r="AA33" s="178"/>
      <c r="AB33" s="178"/>
      <c r="AC33" s="314" t="str">
        <f>IFERROR(VLOOKUP(基本資料填寫!$E$1&amp;"-"&amp;ROW(書籍檔建置!S30),基本資料填寫!$E:$EU,COLUMN(基本資料填寫!W30),0),"")</f>
        <v/>
      </c>
      <c r="AD33" s="166" t="str">
        <f>IFERROR(VLOOKUP(基本資料填寫!$E$1&amp;"-"&amp;ROW(書籍檔建置!BM30),基本資料填寫!$E:$EU,COLUMN(基本資料填寫!BQ30),0),"")</f>
        <v/>
      </c>
      <c r="AE33" s="178"/>
      <c r="AF33" s="178"/>
      <c r="AG33" s="178"/>
      <c r="AH33" s="314" t="str">
        <f>IFERROR(VLOOKUP(基本資料填寫!$E$1&amp;"-"&amp;ROW(書籍檔建置!CB30),基本資料填寫!$E:$EU,COLUMN(基本資料填寫!CF30),0),"")</f>
        <v/>
      </c>
      <c r="AI33" s="314" t="str">
        <f>IFERROR(VLOOKUP(基本資料填寫!$E$1&amp;"-"&amp;ROW(書籍檔建置!CC30),基本資料填寫!$E:$EU,COLUMN(基本資料填寫!CG30),0),"")</f>
        <v/>
      </c>
      <c r="AJ33" s="314" t="str">
        <f>IFERROR(VLOOKUP(基本資料填寫!$E$1&amp;"-"&amp;ROW(書籍檔建置!H30),基本資料填寫!$E:$EU,COLUMN(基本資料填寫!K30),0),"")</f>
        <v/>
      </c>
      <c r="AK33" s="314" t="str">
        <f>IFERROR(VLOOKUP(基本資料填寫!$E$1&amp;"-"&amp;ROW(書籍檔建置!CF30),基本資料填寫!$E:$EU,COLUMN(基本資料填寫!CJ30),0),"")</f>
        <v/>
      </c>
      <c r="AL33" s="314" t="str">
        <f>IFERROR(VLOOKUP(基本資料填寫!$E$1&amp;"-"&amp;ROW(書籍檔建置!CG30),基本資料填寫!$E:$EU,COLUMN(基本資料填寫!CK30),0),"")</f>
        <v/>
      </c>
      <c r="AM33" s="314" t="str">
        <f>IFERROR(VLOOKUP(基本資料填寫!$E$1&amp;"-"&amp;ROW(書籍檔建置!BP30),基本資料填寫!$E:$EU,COLUMN(基本資料填寫!BT30),0),"")</f>
        <v/>
      </c>
      <c r="AN33" s="153"/>
    </row>
    <row r="34" spans="2:40" x14ac:dyDescent="0.3">
      <c r="B34" s="47" t="str">
        <f>IF(F34="","",COUNTA($F$4:F34))</f>
        <v/>
      </c>
      <c r="C34" s="314" t="str">
        <f>IFERROR(VLOOKUP(基本資料填寫!$E$1&amp;"-"&amp;ROW(書籍檔建置!K31),基本資料填寫!$E:$EU,COLUMN(基本資料填寫!O31),0),"")</f>
        <v/>
      </c>
      <c r="D34" s="314" t="str">
        <f>IFERROR(VLOOKUP(基本資料填寫!$E$1&amp;"-"&amp;ROW(書籍檔建置!N31),基本資料填寫!$E:$EU,COLUMN(基本資料填寫!R31),0),"")</f>
        <v/>
      </c>
      <c r="E34" s="314" t="str">
        <f>IFERROR(VLOOKUP(基本資料填寫!$E$1&amp;"-"&amp;ROW(書籍檔建置!AF31),基本資料填寫!$E:$EU,COLUMN(基本資料填寫!AJ31),0),"")</f>
        <v/>
      </c>
      <c r="F34" s="314" t="str">
        <f>IFERROR(VLOOKUP(基本資料填寫!$E$1&amp;"-"&amp;ROW(書籍檔建置!J31),基本資料填寫!$E:$EU,COLUMN(基本資料填寫!N31),0),"")</f>
        <v/>
      </c>
      <c r="G34" s="314" t="str">
        <f>IFERROR(VLOOKUP(基本資料填寫!$E$1&amp;"-"&amp;ROW(書籍檔建置!BO31),基本資料填寫!$E:$EU,COLUMN(基本資料填寫!BS31),0),"")</f>
        <v/>
      </c>
      <c r="H34" s="314" t="str">
        <f>IFERROR(VLOOKUP(基本資料填寫!$E$1&amp;"-"&amp;ROW(書籍檔建置!R31),基本資料填寫!$E:$EU,COLUMN(基本資料填寫!V31),0),"")</f>
        <v/>
      </c>
      <c r="I34" s="315" t="str">
        <f>IFERROR(VLOOKUP(基本資料填寫!$E$1&amp;"-"&amp;ROW(書籍檔建置!BQ31),基本資料填寫!$E:$EU,COLUMN(基本資料填寫!BU31),0),"")</f>
        <v/>
      </c>
      <c r="J34" s="314" t="str">
        <f>IFERROR(VLOOKUP(基本資料填寫!$E$1&amp;"-"&amp;ROW(書籍檔建置!BW31),基本資料填寫!$E:$EU,COLUMN(基本資料填寫!CA31),0),"")</f>
        <v/>
      </c>
      <c r="K34" s="314" t="str">
        <f>IFERROR(VLOOKUP(基本資料填寫!$E$1&amp;"-"&amp;ROW(書籍檔建置!BR31),基本資料填寫!$E:$EU,COLUMN(基本資料填寫!BV31),0),"")</f>
        <v/>
      </c>
      <c r="L34" s="314" t="str">
        <f>IFERROR(VLOOKUP(基本資料填寫!$E$1&amp;"-"&amp;ROW(書籍檔建置!BS31),基本資料填寫!$E:$EU,COLUMN(基本資料填寫!BW31),0),"")</f>
        <v/>
      </c>
      <c r="M34" s="166" t="str">
        <f>IFERROR(VLOOKUP(基本資料填寫!$E$1&amp;"-"&amp;ROW(書籍檔建置!BK31),基本資料填寫!$E:$EU,COLUMN(基本資料填寫!BO31),0),"")</f>
        <v/>
      </c>
      <c r="N34" s="314" t="str">
        <f>IFERROR(VLOOKUP(基本資料填寫!$E$1&amp;"-"&amp;ROW(書籍檔建置!AG31),基本資料填寫!$E:$EU,COLUMN(基本資料填寫!AK31),0),"")</f>
        <v/>
      </c>
      <c r="O34" s="314" t="str">
        <f>IFERROR(VLOOKUP(基本資料填寫!$E$1&amp;"-"&amp;ROW(書籍檔建置!BT31),基本資料填寫!$E:$EU,COLUMN(基本資料填寫!BX31),0),"")</f>
        <v/>
      </c>
      <c r="P34" s="314" t="str">
        <f>IFERROR(VLOOKUP(基本資料填寫!$E$1&amp;"-"&amp;ROW(書籍檔建置!BU31),基本資料填寫!$E:$EU,COLUMN(基本資料填寫!BY31),0),"")</f>
        <v/>
      </c>
      <c r="Q34" s="314" t="str">
        <f>IFERROR(VLOOKUP(基本資料填寫!$E$1&amp;"-"&amp;ROW(書籍檔建置!BV31),基本資料填寫!$E:$EU,COLUMN(基本資料填寫!BZ31),0),"")</f>
        <v/>
      </c>
      <c r="R34" s="314" t="str">
        <f>IFERROR(VLOOKUP(基本資料填寫!$E$1&amp;"-"&amp;ROW(書籍檔建置!BX31),基本資料填寫!$E:$EU,COLUMN(基本資料填寫!CB31),0),"")</f>
        <v/>
      </c>
      <c r="S34" s="314" t="str">
        <f>IFERROR(VLOOKUP(基本資料填寫!$E$1&amp;"-"&amp;ROW(書籍檔建置!BY31),基本資料填寫!$E:$EU,COLUMN(基本資料填寫!CC31),0),"")</f>
        <v/>
      </c>
      <c r="T34" s="314" t="str">
        <f>IFERROR(VLOOKUP(基本資料填寫!$E$1&amp;"-"&amp;ROW(書籍檔建置!BZ31),基本資料填寫!$E:$EU,COLUMN(基本資料填寫!CD31),0),"")</f>
        <v/>
      </c>
      <c r="U34" s="314" t="str">
        <f>IFERROR(VLOOKUP(基本資料填寫!$E$1&amp;"-"&amp;ROW(書籍檔建置!CA31),基本資料填寫!$E:$EU,COLUMN(基本資料填寫!CE31),0),"")</f>
        <v/>
      </c>
      <c r="V34" s="166" t="str">
        <f>IFERROR(VLOOKUP(基本資料填寫!$E$1&amp;"-"&amp;ROW(書籍檔建置!BL31),基本資料填寫!$E:$EU,COLUMN(基本資料填寫!BP31),0),"")</f>
        <v/>
      </c>
      <c r="W34" s="178"/>
      <c r="X34" s="178"/>
      <c r="Y34" s="178"/>
      <c r="Z34" s="178"/>
      <c r="AA34" s="178"/>
      <c r="AB34" s="178"/>
      <c r="AC34" s="314" t="str">
        <f>IFERROR(VLOOKUP(基本資料填寫!$E$1&amp;"-"&amp;ROW(書籍檔建置!S31),基本資料填寫!$E:$EU,COLUMN(基本資料填寫!W31),0),"")</f>
        <v/>
      </c>
      <c r="AD34" s="166" t="str">
        <f>IFERROR(VLOOKUP(基本資料填寫!$E$1&amp;"-"&amp;ROW(書籍檔建置!BM31),基本資料填寫!$E:$EU,COLUMN(基本資料填寫!BQ31),0),"")</f>
        <v/>
      </c>
      <c r="AE34" s="178"/>
      <c r="AF34" s="178"/>
      <c r="AG34" s="178"/>
      <c r="AH34" s="314" t="str">
        <f>IFERROR(VLOOKUP(基本資料填寫!$E$1&amp;"-"&amp;ROW(書籍檔建置!CB31),基本資料填寫!$E:$EU,COLUMN(基本資料填寫!CF31),0),"")</f>
        <v/>
      </c>
      <c r="AI34" s="314" t="str">
        <f>IFERROR(VLOOKUP(基本資料填寫!$E$1&amp;"-"&amp;ROW(書籍檔建置!CC31),基本資料填寫!$E:$EU,COLUMN(基本資料填寫!CG31),0),"")</f>
        <v/>
      </c>
      <c r="AJ34" s="314" t="str">
        <f>IFERROR(VLOOKUP(基本資料填寫!$E$1&amp;"-"&amp;ROW(書籍檔建置!H31),基本資料填寫!$E:$EU,COLUMN(基本資料填寫!K31),0),"")</f>
        <v/>
      </c>
      <c r="AK34" s="314" t="str">
        <f>IFERROR(VLOOKUP(基本資料填寫!$E$1&amp;"-"&amp;ROW(書籍檔建置!CF31),基本資料填寫!$E:$EU,COLUMN(基本資料填寫!CJ31),0),"")</f>
        <v/>
      </c>
      <c r="AL34" s="314" t="str">
        <f>IFERROR(VLOOKUP(基本資料填寫!$E$1&amp;"-"&amp;ROW(書籍檔建置!CG31),基本資料填寫!$E:$EU,COLUMN(基本資料填寫!CK31),0),"")</f>
        <v/>
      </c>
      <c r="AM34" s="314" t="str">
        <f>IFERROR(VLOOKUP(基本資料填寫!$E$1&amp;"-"&amp;ROW(書籍檔建置!BP31),基本資料填寫!$E:$EU,COLUMN(基本資料填寫!BT31),0),"")</f>
        <v/>
      </c>
      <c r="AN34" s="153"/>
    </row>
    <row r="35" spans="2:40" x14ac:dyDescent="0.3">
      <c r="B35" s="47" t="str">
        <f>IF(F35="","",COUNTA($F$4:F35))</f>
        <v/>
      </c>
      <c r="C35" s="314" t="str">
        <f>IFERROR(VLOOKUP(基本資料填寫!$E$1&amp;"-"&amp;ROW(書籍檔建置!K32),基本資料填寫!$E:$EU,COLUMN(基本資料填寫!O32),0),"")</f>
        <v/>
      </c>
      <c r="D35" s="314" t="str">
        <f>IFERROR(VLOOKUP(基本資料填寫!$E$1&amp;"-"&amp;ROW(書籍檔建置!N32),基本資料填寫!$E:$EU,COLUMN(基本資料填寫!R32),0),"")</f>
        <v/>
      </c>
      <c r="E35" s="314" t="str">
        <f>IFERROR(VLOOKUP(基本資料填寫!$E$1&amp;"-"&amp;ROW(書籍檔建置!AF32),基本資料填寫!$E:$EU,COLUMN(基本資料填寫!AJ32),0),"")</f>
        <v/>
      </c>
      <c r="F35" s="314" t="str">
        <f>IFERROR(VLOOKUP(基本資料填寫!$E$1&amp;"-"&amp;ROW(書籍檔建置!J32),基本資料填寫!$E:$EU,COLUMN(基本資料填寫!N32),0),"")</f>
        <v/>
      </c>
      <c r="G35" s="314" t="str">
        <f>IFERROR(VLOOKUP(基本資料填寫!$E$1&amp;"-"&amp;ROW(書籍檔建置!BO32),基本資料填寫!$E:$EU,COLUMN(基本資料填寫!BS32),0),"")</f>
        <v/>
      </c>
      <c r="H35" s="314" t="str">
        <f>IFERROR(VLOOKUP(基本資料填寫!$E$1&amp;"-"&amp;ROW(書籍檔建置!R32),基本資料填寫!$E:$EU,COLUMN(基本資料填寫!V32),0),"")</f>
        <v/>
      </c>
      <c r="I35" s="315" t="str">
        <f>IFERROR(VLOOKUP(基本資料填寫!$E$1&amp;"-"&amp;ROW(書籍檔建置!BQ32),基本資料填寫!$E:$EU,COLUMN(基本資料填寫!BU32),0),"")</f>
        <v/>
      </c>
      <c r="J35" s="314" t="str">
        <f>IFERROR(VLOOKUP(基本資料填寫!$E$1&amp;"-"&amp;ROW(書籍檔建置!BW32),基本資料填寫!$E:$EU,COLUMN(基本資料填寫!CA32),0),"")</f>
        <v/>
      </c>
      <c r="K35" s="314" t="str">
        <f>IFERROR(VLOOKUP(基本資料填寫!$E$1&amp;"-"&amp;ROW(書籍檔建置!BR32),基本資料填寫!$E:$EU,COLUMN(基本資料填寫!BV32),0),"")</f>
        <v/>
      </c>
      <c r="L35" s="314" t="str">
        <f>IFERROR(VLOOKUP(基本資料填寫!$E$1&amp;"-"&amp;ROW(書籍檔建置!BS32),基本資料填寫!$E:$EU,COLUMN(基本資料填寫!BW32),0),"")</f>
        <v/>
      </c>
      <c r="M35" s="166" t="str">
        <f>IFERROR(VLOOKUP(基本資料填寫!$E$1&amp;"-"&amp;ROW(書籍檔建置!BK32),基本資料填寫!$E:$EU,COLUMN(基本資料填寫!BO32),0),"")</f>
        <v/>
      </c>
      <c r="N35" s="314" t="str">
        <f>IFERROR(VLOOKUP(基本資料填寫!$E$1&amp;"-"&amp;ROW(書籍檔建置!AG32),基本資料填寫!$E:$EU,COLUMN(基本資料填寫!AK32),0),"")</f>
        <v/>
      </c>
      <c r="O35" s="314" t="str">
        <f>IFERROR(VLOOKUP(基本資料填寫!$E$1&amp;"-"&amp;ROW(書籍檔建置!BT32),基本資料填寫!$E:$EU,COLUMN(基本資料填寫!BX32),0),"")</f>
        <v/>
      </c>
      <c r="P35" s="314" t="str">
        <f>IFERROR(VLOOKUP(基本資料填寫!$E$1&amp;"-"&amp;ROW(書籍檔建置!BU32),基本資料填寫!$E:$EU,COLUMN(基本資料填寫!BY32),0),"")</f>
        <v/>
      </c>
      <c r="Q35" s="314" t="str">
        <f>IFERROR(VLOOKUP(基本資料填寫!$E$1&amp;"-"&amp;ROW(書籍檔建置!BV32),基本資料填寫!$E:$EU,COLUMN(基本資料填寫!BZ32),0),"")</f>
        <v/>
      </c>
      <c r="R35" s="314" t="str">
        <f>IFERROR(VLOOKUP(基本資料填寫!$E$1&amp;"-"&amp;ROW(書籍檔建置!BX32),基本資料填寫!$E:$EU,COLUMN(基本資料填寫!CB32),0),"")</f>
        <v/>
      </c>
      <c r="S35" s="314" t="str">
        <f>IFERROR(VLOOKUP(基本資料填寫!$E$1&amp;"-"&amp;ROW(書籍檔建置!BY32),基本資料填寫!$E:$EU,COLUMN(基本資料填寫!CC32),0),"")</f>
        <v/>
      </c>
      <c r="T35" s="314" t="str">
        <f>IFERROR(VLOOKUP(基本資料填寫!$E$1&amp;"-"&amp;ROW(書籍檔建置!BZ32),基本資料填寫!$E:$EU,COLUMN(基本資料填寫!CD32),0),"")</f>
        <v/>
      </c>
      <c r="U35" s="314" t="str">
        <f>IFERROR(VLOOKUP(基本資料填寫!$E$1&amp;"-"&amp;ROW(書籍檔建置!CA32),基本資料填寫!$E:$EU,COLUMN(基本資料填寫!CE32),0),"")</f>
        <v/>
      </c>
      <c r="V35" s="166" t="str">
        <f>IFERROR(VLOOKUP(基本資料填寫!$E$1&amp;"-"&amp;ROW(書籍檔建置!BL32),基本資料填寫!$E:$EU,COLUMN(基本資料填寫!BP32),0),"")</f>
        <v/>
      </c>
      <c r="W35" s="178"/>
      <c r="X35" s="178"/>
      <c r="Y35" s="178"/>
      <c r="Z35" s="178"/>
      <c r="AA35" s="178"/>
      <c r="AB35" s="178"/>
      <c r="AC35" s="314" t="str">
        <f>IFERROR(VLOOKUP(基本資料填寫!$E$1&amp;"-"&amp;ROW(書籍檔建置!S32),基本資料填寫!$E:$EU,COLUMN(基本資料填寫!W32),0),"")</f>
        <v/>
      </c>
      <c r="AD35" s="166" t="str">
        <f>IFERROR(VLOOKUP(基本資料填寫!$E$1&amp;"-"&amp;ROW(書籍檔建置!BM32),基本資料填寫!$E:$EU,COLUMN(基本資料填寫!BQ32),0),"")</f>
        <v/>
      </c>
      <c r="AE35" s="178"/>
      <c r="AF35" s="178"/>
      <c r="AG35" s="178"/>
      <c r="AH35" s="314" t="str">
        <f>IFERROR(VLOOKUP(基本資料填寫!$E$1&amp;"-"&amp;ROW(書籍檔建置!CB32),基本資料填寫!$E:$EU,COLUMN(基本資料填寫!CF32),0),"")</f>
        <v/>
      </c>
      <c r="AI35" s="314" t="str">
        <f>IFERROR(VLOOKUP(基本資料填寫!$E$1&amp;"-"&amp;ROW(書籍檔建置!CC32),基本資料填寫!$E:$EU,COLUMN(基本資料填寫!CG32),0),"")</f>
        <v/>
      </c>
      <c r="AJ35" s="314" t="str">
        <f>IFERROR(VLOOKUP(基本資料填寫!$E$1&amp;"-"&amp;ROW(書籍檔建置!H32),基本資料填寫!$E:$EU,COLUMN(基本資料填寫!K32),0),"")</f>
        <v/>
      </c>
      <c r="AK35" s="314" t="str">
        <f>IFERROR(VLOOKUP(基本資料填寫!$E$1&amp;"-"&amp;ROW(書籍檔建置!CF32),基本資料填寫!$E:$EU,COLUMN(基本資料填寫!CJ32),0),"")</f>
        <v/>
      </c>
      <c r="AL35" s="314" t="str">
        <f>IFERROR(VLOOKUP(基本資料填寫!$E$1&amp;"-"&amp;ROW(書籍檔建置!CG32),基本資料填寫!$E:$EU,COLUMN(基本資料填寫!CK32),0),"")</f>
        <v/>
      </c>
      <c r="AM35" s="314" t="str">
        <f>IFERROR(VLOOKUP(基本資料填寫!$E$1&amp;"-"&amp;ROW(書籍檔建置!BP32),基本資料填寫!$E:$EU,COLUMN(基本資料填寫!BT32),0),"")</f>
        <v/>
      </c>
      <c r="AN35" s="153"/>
    </row>
    <row r="36" spans="2:40" x14ac:dyDescent="0.3">
      <c r="B36" s="47" t="str">
        <f>IF(F36="","",COUNTA($F$4:F36))</f>
        <v/>
      </c>
      <c r="C36" s="314" t="str">
        <f>IFERROR(VLOOKUP(基本資料填寫!$E$1&amp;"-"&amp;ROW(書籍檔建置!K33),基本資料填寫!$E:$EU,COLUMN(基本資料填寫!O33),0),"")</f>
        <v/>
      </c>
      <c r="D36" s="314" t="str">
        <f>IFERROR(VLOOKUP(基本資料填寫!$E$1&amp;"-"&amp;ROW(書籍檔建置!N33),基本資料填寫!$E:$EU,COLUMN(基本資料填寫!R33),0),"")</f>
        <v/>
      </c>
      <c r="E36" s="314" t="str">
        <f>IFERROR(VLOOKUP(基本資料填寫!$E$1&amp;"-"&amp;ROW(書籍檔建置!AF33),基本資料填寫!$E:$EU,COLUMN(基本資料填寫!AJ33),0),"")</f>
        <v/>
      </c>
      <c r="F36" s="314" t="str">
        <f>IFERROR(VLOOKUP(基本資料填寫!$E$1&amp;"-"&amp;ROW(書籍檔建置!J33),基本資料填寫!$E:$EU,COLUMN(基本資料填寫!N33),0),"")</f>
        <v/>
      </c>
      <c r="G36" s="314" t="str">
        <f>IFERROR(VLOOKUP(基本資料填寫!$E$1&amp;"-"&amp;ROW(書籍檔建置!BO33),基本資料填寫!$E:$EU,COLUMN(基本資料填寫!BS33),0),"")</f>
        <v/>
      </c>
      <c r="H36" s="314" t="str">
        <f>IFERROR(VLOOKUP(基本資料填寫!$E$1&amp;"-"&amp;ROW(書籍檔建置!R33),基本資料填寫!$E:$EU,COLUMN(基本資料填寫!V33),0),"")</f>
        <v/>
      </c>
      <c r="I36" s="315" t="str">
        <f>IFERROR(VLOOKUP(基本資料填寫!$E$1&amp;"-"&amp;ROW(書籍檔建置!BQ33),基本資料填寫!$E:$EU,COLUMN(基本資料填寫!BU33),0),"")</f>
        <v/>
      </c>
      <c r="J36" s="314" t="str">
        <f>IFERROR(VLOOKUP(基本資料填寫!$E$1&amp;"-"&amp;ROW(書籍檔建置!BW33),基本資料填寫!$E:$EU,COLUMN(基本資料填寫!CA33),0),"")</f>
        <v/>
      </c>
      <c r="K36" s="314" t="str">
        <f>IFERROR(VLOOKUP(基本資料填寫!$E$1&amp;"-"&amp;ROW(書籍檔建置!BR33),基本資料填寫!$E:$EU,COLUMN(基本資料填寫!BV33),0),"")</f>
        <v/>
      </c>
      <c r="L36" s="314" t="str">
        <f>IFERROR(VLOOKUP(基本資料填寫!$E$1&amp;"-"&amp;ROW(書籍檔建置!BS33),基本資料填寫!$E:$EU,COLUMN(基本資料填寫!BW33),0),"")</f>
        <v/>
      </c>
      <c r="M36" s="166" t="str">
        <f>IFERROR(VLOOKUP(基本資料填寫!$E$1&amp;"-"&amp;ROW(書籍檔建置!BK33),基本資料填寫!$E:$EU,COLUMN(基本資料填寫!BO33),0),"")</f>
        <v/>
      </c>
      <c r="N36" s="314" t="str">
        <f>IFERROR(VLOOKUP(基本資料填寫!$E$1&amp;"-"&amp;ROW(書籍檔建置!AG33),基本資料填寫!$E:$EU,COLUMN(基本資料填寫!AK33),0),"")</f>
        <v/>
      </c>
      <c r="O36" s="314" t="str">
        <f>IFERROR(VLOOKUP(基本資料填寫!$E$1&amp;"-"&amp;ROW(書籍檔建置!BT33),基本資料填寫!$E:$EU,COLUMN(基本資料填寫!BX33),0),"")</f>
        <v/>
      </c>
      <c r="P36" s="314" t="str">
        <f>IFERROR(VLOOKUP(基本資料填寫!$E$1&amp;"-"&amp;ROW(書籍檔建置!BU33),基本資料填寫!$E:$EU,COLUMN(基本資料填寫!BY33),0),"")</f>
        <v/>
      </c>
      <c r="Q36" s="314" t="str">
        <f>IFERROR(VLOOKUP(基本資料填寫!$E$1&amp;"-"&amp;ROW(書籍檔建置!BV33),基本資料填寫!$E:$EU,COLUMN(基本資料填寫!BZ33),0),"")</f>
        <v/>
      </c>
      <c r="R36" s="314" t="str">
        <f>IFERROR(VLOOKUP(基本資料填寫!$E$1&amp;"-"&amp;ROW(書籍檔建置!BX33),基本資料填寫!$E:$EU,COLUMN(基本資料填寫!CB33),0),"")</f>
        <v/>
      </c>
      <c r="S36" s="314" t="str">
        <f>IFERROR(VLOOKUP(基本資料填寫!$E$1&amp;"-"&amp;ROW(書籍檔建置!BY33),基本資料填寫!$E:$EU,COLUMN(基本資料填寫!CC33),0),"")</f>
        <v/>
      </c>
      <c r="T36" s="314" t="str">
        <f>IFERROR(VLOOKUP(基本資料填寫!$E$1&amp;"-"&amp;ROW(書籍檔建置!BZ33),基本資料填寫!$E:$EU,COLUMN(基本資料填寫!CD33),0),"")</f>
        <v/>
      </c>
      <c r="U36" s="314" t="str">
        <f>IFERROR(VLOOKUP(基本資料填寫!$E$1&amp;"-"&amp;ROW(書籍檔建置!CA33),基本資料填寫!$E:$EU,COLUMN(基本資料填寫!CE33),0),"")</f>
        <v/>
      </c>
      <c r="V36" s="166" t="str">
        <f>IFERROR(VLOOKUP(基本資料填寫!$E$1&amp;"-"&amp;ROW(書籍檔建置!BL33),基本資料填寫!$E:$EU,COLUMN(基本資料填寫!BP33),0),"")</f>
        <v/>
      </c>
      <c r="W36" s="178"/>
      <c r="X36" s="178"/>
      <c r="Y36" s="178"/>
      <c r="Z36" s="178"/>
      <c r="AA36" s="178"/>
      <c r="AB36" s="178"/>
      <c r="AC36" s="314" t="str">
        <f>IFERROR(VLOOKUP(基本資料填寫!$E$1&amp;"-"&amp;ROW(書籍檔建置!S33),基本資料填寫!$E:$EU,COLUMN(基本資料填寫!W33),0),"")</f>
        <v/>
      </c>
      <c r="AD36" s="166" t="str">
        <f>IFERROR(VLOOKUP(基本資料填寫!$E$1&amp;"-"&amp;ROW(書籍檔建置!BM33),基本資料填寫!$E:$EU,COLUMN(基本資料填寫!BQ33),0),"")</f>
        <v/>
      </c>
      <c r="AE36" s="178"/>
      <c r="AF36" s="178"/>
      <c r="AG36" s="178"/>
      <c r="AH36" s="314" t="str">
        <f>IFERROR(VLOOKUP(基本資料填寫!$E$1&amp;"-"&amp;ROW(書籍檔建置!CB33),基本資料填寫!$E:$EU,COLUMN(基本資料填寫!CF33),0),"")</f>
        <v/>
      </c>
      <c r="AI36" s="314" t="str">
        <f>IFERROR(VLOOKUP(基本資料填寫!$E$1&amp;"-"&amp;ROW(書籍檔建置!CC33),基本資料填寫!$E:$EU,COLUMN(基本資料填寫!CG33),0),"")</f>
        <v/>
      </c>
      <c r="AJ36" s="314" t="str">
        <f>IFERROR(VLOOKUP(基本資料填寫!$E$1&amp;"-"&amp;ROW(書籍檔建置!H33),基本資料填寫!$E:$EU,COLUMN(基本資料填寫!K33),0),"")</f>
        <v/>
      </c>
      <c r="AK36" s="314" t="str">
        <f>IFERROR(VLOOKUP(基本資料填寫!$E$1&amp;"-"&amp;ROW(書籍檔建置!CF33),基本資料填寫!$E:$EU,COLUMN(基本資料填寫!CJ33),0),"")</f>
        <v/>
      </c>
      <c r="AL36" s="314" t="str">
        <f>IFERROR(VLOOKUP(基本資料填寫!$E$1&amp;"-"&amp;ROW(書籍檔建置!CG33),基本資料填寫!$E:$EU,COLUMN(基本資料填寫!CK33),0),"")</f>
        <v/>
      </c>
      <c r="AM36" s="314" t="str">
        <f>IFERROR(VLOOKUP(基本資料填寫!$E$1&amp;"-"&amp;ROW(書籍檔建置!BP33),基本資料填寫!$E:$EU,COLUMN(基本資料填寫!BT33),0),"")</f>
        <v/>
      </c>
      <c r="AN36" s="153"/>
    </row>
    <row r="37" spans="2:40" x14ac:dyDescent="0.3">
      <c r="B37" s="47" t="str">
        <f>IF(F37="","",COUNTA($F$4:F37))</f>
        <v/>
      </c>
      <c r="C37" s="314" t="str">
        <f>IFERROR(VLOOKUP(基本資料填寫!$E$1&amp;"-"&amp;ROW(書籍檔建置!K34),基本資料填寫!$E:$EU,COLUMN(基本資料填寫!O34),0),"")</f>
        <v/>
      </c>
      <c r="D37" s="314" t="str">
        <f>IFERROR(VLOOKUP(基本資料填寫!$E$1&amp;"-"&amp;ROW(書籍檔建置!N34),基本資料填寫!$E:$EU,COLUMN(基本資料填寫!R34),0),"")</f>
        <v/>
      </c>
      <c r="E37" s="314" t="str">
        <f>IFERROR(VLOOKUP(基本資料填寫!$E$1&amp;"-"&amp;ROW(書籍檔建置!AF34),基本資料填寫!$E:$EU,COLUMN(基本資料填寫!AJ34),0),"")</f>
        <v/>
      </c>
      <c r="F37" s="314" t="str">
        <f>IFERROR(VLOOKUP(基本資料填寫!$E$1&amp;"-"&amp;ROW(書籍檔建置!J34),基本資料填寫!$E:$EU,COLUMN(基本資料填寫!N34),0),"")</f>
        <v/>
      </c>
      <c r="G37" s="314" t="str">
        <f>IFERROR(VLOOKUP(基本資料填寫!$E$1&amp;"-"&amp;ROW(書籍檔建置!BO34),基本資料填寫!$E:$EU,COLUMN(基本資料填寫!BS34),0),"")</f>
        <v/>
      </c>
      <c r="H37" s="314" t="str">
        <f>IFERROR(VLOOKUP(基本資料填寫!$E$1&amp;"-"&amp;ROW(書籍檔建置!R34),基本資料填寫!$E:$EU,COLUMN(基本資料填寫!V34),0),"")</f>
        <v/>
      </c>
      <c r="I37" s="315" t="str">
        <f>IFERROR(VLOOKUP(基本資料填寫!$E$1&amp;"-"&amp;ROW(書籍檔建置!BQ34),基本資料填寫!$E:$EU,COLUMN(基本資料填寫!BU34),0),"")</f>
        <v/>
      </c>
      <c r="J37" s="314" t="str">
        <f>IFERROR(VLOOKUP(基本資料填寫!$E$1&amp;"-"&amp;ROW(書籍檔建置!BW34),基本資料填寫!$E:$EU,COLUMN(基本資料填寫!CA34),0),"")</f>
        <v/>
      </c>
      <c r="K37" s="314" t="str">
        <f>IFERROR(VLOOKUP(基本資料填寫!$E$1&amp;"-"&amp;ROW(書籍檔建置!BR34),基本資料填寫!$E:$EU,COLUMN(基本資料填寫!BV34),0),"")</f>
        <v/>
      </c>
      <c r="L37" s="314" t="str">
        <f>IFERROR(VLOOKUP(基本資料填寫!$E$1&amp;"-"&amp;ROW(書籍檔建置!BS34),基本資料填寫!$E:$EU,COLUMN(基本資料填寫!BW34),0),"")</f>
        <v/>
      </c>
      <c r="M37" s="166" t="str">
        <f>IFERROR(VLOOKUP(基本資料填寫!$E$1&amp;"-"&amp;ROW(書籍檔建置!BK34),基本資料填寫!$E:$EU,COLUMN(基本資料填寫!BO34),0),"")</f>
        <v/>
      </c>
      <c r="N37" s="314" t="str">
        <f>IFERROR(VLOOKUP(基本資料填寫!$E$1&amp;"-"&amp;ROW(書籍檔建置!AG34),基本資料填寫!$E:$EU,COLUMN(基本資料填寫!AK34),0),"")</f>
        <v/>
      </c>
      <c r="O37" s="314" t="str">
        <f>IFERROR(VLOOKUP(基本資料填寫!$E$1&amp;"-"&amp;ROW(書籍檔建置!BT34),基本資料填寫!$E:$EU,COLUMN(基本資料填寫!BX34),0),"")</f>
        <v/>
      </c>
      <c r="P37" s="314" t="str">
        <f>IFERROR(VLOOKUP(基本資料填寫!$E$1&amp;"-"&amp;ROW(書籍檔建置!BU34),基本資料填寫!$E:$EU,COLUMN(基本資料填寫!BY34),0),"")</f>
        <v/>
      </c>
      <c r="Q37" s="314" t="str">
        <f>IFERROR(VLOOKUP(基本資料填寫!$E$1&amp;"-"&amp;ROW(書籍檔建置!BV34),基本資料填寫!$E:$EU,COLUMN(基本資料填寫!BZ34),0),"")</f>
        <v/>
      </c>
      <c r="R37" s="314" t="str">
        <f>IFERROR(VLOOKUP(基本資料填寫!$E$1&amp;"-"&amp;ROW(書籍檔建置!BX34),基本資料填寫!$E:$EU,COLUMN(基本資料填寫!CB34),0),"")</f>
        <v/>
      </c>
      <c r="S37" s="314" t="str">
        <f>IFERROR(VLOOKUP(基本資料填寫!$E$1&amp;"-"&amp;ROW(書籍檔建置!BY34),基本資料填寫!$E:$EU,COLUMN(基本資料填寫!CC34),0),"")</f>
        <v/>
      </c>
      <c r="T37" s="314" t="str">
        <f>IFERROR(VLOOKUP(基本資料填寫!$E$1&amp;"-"&amp;ROW(書籍檔建置!BZ34),基本資料填寫!$E:$EU,COLUMN(基本資料填寫!CD34),0),"")</f>
        <v/>
      </c>
      <c r="U37" s="314" t="str">
        <f>IFERROR(VLOOKUP(基本資料填寫!$E$1&amp;"-"&amp;ROW(書籍檔建置!CA34),基本資料填寫!$E:$EU,COLUMN(基本資料填寫!CE34),0),"")</f>
        <v/>
      </c>
      <c r="V37" s="166" t="str">
        <f>IFERROR(VLOOKUP(基本資料填寫!$E$1&amp;"-"&amp;ROW(書籍檔建置!BL34),基本資料填寫!$E:$EU,COLUMN(基本資料填寫!BP34),0),"")</f>
        <v/>
      </c>
      <c r="W37" s="178"/>
      <c r="X37" s="178"/>
      <c r="Y37" s="178"/>
      <c r="Z37" s="178"/>
      <c r="AA37" s="178"/>
      <c r="AB37" s="178"/>
      <c r="AC37" s="314" t="str">
        <f>IFERROR(VLOOKUP(基本資料填寫!$E$1&amp;"-"&amp;ROW(書籍檔建置!S34),基本資料填寫!$E:$EU,COLUMN(基本資料填寫!W34),0),"")</f>
        <v/>
      </c>
      <c r="AD37" s="166" t="str">
        <f>IFERROR(VLOOKUP(基本資料填寫!$E$1&amp;"-"&amp;ROW(書籍檔建置!BM34),基本資料填寫!$E:$EU,COLUMN(基本資料填寫!BQ34),0),"")</f>
        <v/>
      </c>
      <c r="AE37" s="178"/>
      <c r="AF37" s="178"/>
      <c r="AG37" s="178"/>
      <c r="AH37" s="314" t="str">
        <f>IFERROR(VLOOKUP(基本資料填寫!$E$1&amp;"-"&amp;ROW(書籍檔建置!CB34),基本資料填寫!$E:$EU,COLUMN(基本資料填寫!CF34),0),"")</f>
        <v/>
      </c>
      <c r="AI37" s="314" t="str">
        <f>IFERROR(VLOOKUP(基本資料填寫!$E$1&amp;"-"&amp;ROW(書籍檔建置!CC34),基本資料填寫!$E:$EU,COLUMN(基本資料填寫!CG34),0),"")</f>
        <v/>
      </c>
      <c r="AJ37" s="314" t="str">
        <f>IFERROR(VLOOKUP(基本資料填寫!$E$1&amp;"-"&amp;ROW(書籍檔建置!H34),基本資料填寫!$E:$EU,COLUMN(基本資料填寫!K34),0),"")</f>
        <v/>
      </c>
      <c r="AK37" s="314" t="str">
        <f>IFERROR(VLOOKUP(基本資料填寫!$E$1&amp;"-"&amp;ROW(書籍檔建置!CF34),基本資料填寫!$E:$EU,COLUMN(基本資料填寫!CJ34),0),"")</f>
        <v/>
      </c>
      <c r="AL37" s="314" t="str">
        <f>IFERROR(VLOOKUP(基本資料填寫!$E$1&amp;"-"&amp;ROW(書籍檔建置!CG34),基本資料填寫!$E:$EU,COLUMN(基本資料填寫!CK34),0),"")</f>
        <v/>
      </c>
      <c r="AM37" s="314" t="str">
        <f>IFERROR(VLOOKUP(基本資料填寫!$E$1&amp;"-"&amp;ROW(書籍檔建置!BP34),基本資料填寫!$E:$EU,COLUMN(基本資料填寫!BT34),0),"")</f>
        <v/>
      </c>
      <c r="AN37" s="153"/>
    </row>
    <row r="38" spans="2:40" x14ac:dyDescent="0.3">
      <c r="B38" s="47" t="str">
        <f>IF(F38="","",COUNTA($F$4:F38))</f>
        <v/>
      </c>
      <c r="C38" s="314" t="str">
        <f>IFERROR(VLOOKUP(基本資料填寫!$E$1&amp;"-"&amp;ROW(書籍檔建置!K35),基本資料填寫!$E:$EU,COLUMN(基本資料填寫!O35),0),"")</f>
        <v/>
      </c>
      <c r="D38" s="314" t="str">
        <f>IFERROR(VLOOKUP(基本資料填寫!$E$1&amp;"-"&amp;ROW(書籍檔建置!N35),基本資料填寫!$E:$EU,COLUMN(基本資料填寫!R35),0),"")</f>
        <v/>
      </c>
      <c r="E38" s="314" t="str">
        <f>IFERROR(VLOOKUP(基本資料填寫!$E$1&amp;"-"&amp;ROW(書籍檔建置!AF35),基本資料填寫!$E:$EU,COLUMN(基本資料填寫!AJ35),0),"")</f>
        <v/>
      </c>
      <c r="F38" s="314" t="str">
        <f>IFERROR(VLOOKUP(基本資料填寫!$E$1&amp;"-"&amp;ROW(書籍檔建置!J35),基本資料填寫!$E:$EU,COLUMN(基本資料填寫!N35),0),"")</f>
        <v/>
      </c>
      <c r="G38" s="314" t="str">
        <f>IFERROR(VLOOKUP(基本資料填寫!$E$1&amp;"-"&amp;ROW(書籍檔建置!BO35),基本資料填寫!$E:$EU,COLUMN(基本資料填寫!BS35),0),"")</f>
        <v/>
      </c>
      <c r="H38" s="314" t="str">
        <f>IFERROR(VLOOKUP(基本資料填寫!$E$1&amp;"-"&amp;ROW(書籍檔建置!R35),基本資料填寫!$E:$EU,COLUMN(基本資料填寫!V35),0),"")</f>
        <v/>
      </c>
      <c r="I38" s="315" t="str">
        <f>IFERROR(VLOOKUP(基本資料填寫!$E$1&amp;"-"&amp;ROW(書籍檔建置!BQ35),基本資料填寫!$E:$EU,COLUMN(基本資料填寫!BU35),0),"")</f>
        <v/>
      </c>
      <c r="J38" s="314" t="str">
        <f>IFERROR(VLOOKUP(基本資料填寫!$E$1&amp;"-"&amp;ROW(書籍檔建置!BW35),基本資料填寫!$E:$EU,COLUMN(基本資料填寫!CA35),0),"")</f>
        <v/>
      </c>
      <c r="K38" s="314" t="str">
        <f>IFERROR(VLOOKUP(基本資料填寫!$E$1&amp;"-"&amp;ROW(書籍檔建置!BR35),基本資料填寫!$E:$EU,COLUMN(基本資料填寫!BV35),0),"")</f>
        <v/>
      </c>
      <c r="L38" s="314" t="str">
        <f>IFERROR(VLOOKUP(基本資料填寫!$E$1&amp;"-"&amp;ROW(書籍檔建置!BS35),基本資料填寫!$E:$EU,COLUMN(基本資料填寫!BW35),0),"")</f>
        <v/>
      </c>
      <c r="M38" s="166" t="str">
        <f>IFERROR(VLOOKUP(基本資料填寫!$E$1&amp;"-"&amp;ROW(書籍檔建置!BK35),基本資料填寫!$E:$EU,COLUMN(基本資料填寫!BO35),0),"")</f>
        <v/>
      </c>
      <c r="N38" s="314" t="str">
        <f>IFERROR(VLOOKUP(基本資料填寫!$E$1&amp;"-"&amp;ROW(書籍檔建置!AG35),基本資料填寫!$E:$EU,COLUMN(基本資料填寫!AK35),0),"")</f>
        <v/>
      </c>
      <c r="O38" s="314" t="str">
        <f>IFERROR(VLOOKUP(基本資料填寫!$E$1&amp;"-"&amp;ROW(書籍檔建置!BT35),基本資料填寫!$E:$EU,COLUMN(基本資料填寫!BX35),0),"")</f>
        <v/>
      </c>
      <c r="P38" s="314" t="str">
        <f>IFERROR(VLOOKUP(基本資料填寫!$E$1&amp;"-"&amp;ROW(書籍檔建置!BU35),基本資料填寫!$E:$EU,COLUMN(基本資料填寫!BY35),0),"")</f>
        <v/>
      </c>
      <c r="Q38" s="314" t="str">
        <f>IFERROR(VLOOKUP(基本資料填寫!$E$1&amp;"-"&amp;ROW(書籍檔建置!BV35),基本資料填寫!$E:$EU,COLUMN(基本資料填寫!BZ35),0),"")</f>
        <v/>
      </c>
      <c r="R38" s="314" t="str">
        <f>IFERROR(VLOOKUP(基本資料填寫!$E$1&amp;"-"&amp;ROW(書籍檔建置!BX35),基本資料填寫!$E:$EU,COLUMN(基本資料填寫!CB35),0),"")</f>
        <v/>
      </c>
      <c r="S38" s="314" t="str">
        <f>IFERROR(VLOOKUP(基本資料填寫!$E$1&amp;"-"&amp;ROW(書籍檔建置!BY35),基本資料填寫!$E:$EU,COLUMN(基本資料填寫!CC35),0),"")</f>
        <v/>
      </c>
      <c r="T38" s="314" t="str">
        <f>IFERROR(VLOOKUP(基本資料填寫!$E$1&amp;"-"&amp;ROW(書籍檔建置!BZ35),基本資料填寫!$E:$EU,COLUMN(基本資料填寫!CD35),0),"")</f>
        <v/>
      </c>
      <c r="U38" s="314" t="str">
        <f>IFERROR(VLOOKUP(基本資料填寫!$E$1&amp;"-"&amp;ROW(書籍檔建置!CA35),基本資料填寫!$E:$EU,COLUMN(基本資料填寫!CE35),0),"")</f>
        <v/>
      </c>
      <c r="V38" s="166" t="str">
        <f>IFERROR(VLOOKUP(基本資料填寫!$E$1&amp;"-"&amp;ROW(書籍檔建置!BL35),基本資料填寫!$E:$EU,COLUMN(基本資料填寫!BP35),0),"")</f>
        <v/>
      </c>
      <c r="W38" s="178"/>
      <c r="X38" s="178"/>
      <c r="Y38" s="178"/>
      <c r="Z38" s="178"/>
      <c r="AA38" s="178"/>
      <c r="AB38" s="178"/>
      <c r="AC38" s="314" t="str">
        <f>IFERROR(VLOOKUP(基本資料填寫!$E$1&amp;"-"&amp;ROW(書籍檔建置!S35),基本資料填寫!$E:$EU,COLUMN(基本資料填寫!W35),0),"")</f>
        <v/>
      </c>
      <c r="AD38" s="166" t="str">
        <f>IFERROR(VLOOKUP(基本資料填寫!$E$1&amp;"-"&amp;ROW(書籍檔建置!BM35),基本資料填寫!$E:$EU,COLUMN(基本資料填寫!BQ35),0),"")</f>
        <v/>
      </c>
      <c r="AE38" s="178"/>
      <c r="AF38" s="178"/>
      <c r="AG38" s="178"/>
      <c r="AH38" s="314" t="str">
        <f>IFERROR(VLOOKUP(基本資料填寫!$E$1&amp;"-"&amp;ROW(書籍檔建置!CB35),基本資料填寫!$E:$EU,COLUMN(基本資料填寫!CF35),0),"")</f>
        <v/>
      </c>
      <c r="AI38" s="314" t="str">
        <f>IFERROR(VLOOKUP(基本資料填寫!$E$1&amp;"-"&amp;ROW(書籍檔建置!CC35),基本資料填寫!$E:$EU,COLUMN(基本資料填寫!CG35),0),"")</f>
        <v/>
      </c>
      <c r="AJ38" s="314" t="str">
        <f>IFERROR(VLOOKUP(基本資料填寫!$E$1&amp;"-"&amp;ROW(書籍檔建置!H35),基本資料填寫!$E:$EU,COLUMN(基本資料填寫!K35),0),"")</f>
        <v/>
      </c>
      <c r="AK38" s="314" t="str">
        <f>IFERROR(VLOOKUP(基本資料填寫!$E$1&amp;"-"&amp;ROW(書籍檔建置!CF35),基本資料填寫!$E:$EU,COLUMN(基本資料填寫!CJ35),0),"")</f>
        <v/>
      </c>
      <c r="AL38" s="314" t="str">
        <f>IFERROR(VLOOKUP(基本資料填寫!$E$1&amp;"-"&amp;ROW(書籍檔建置!CG35),基本資料填寫!$E:$EU,COLUMN(基本資料填寫!CK35),0),"")</f>
        <v/>
      </c>
      <c r="AM38" s="314" t="str">
        <f>IFERROR(VLOOKUP(基本資料填寫!$E$1&amp;"-"&amp;ROW(書籍檔建置!BP35),基本資料填寫!$E:$EU,COLUMN(基本資料填寫!BT35),0),"")</f>
        <v/>
      </c>
      <c r="AN38" s="153"/>
    </row>
    <row r="39" spans="2:40" x14ac:dyDescent="0.3">
      <c r="B39" s="47" t="str">
        <f>IF(F39="","",COUNTA($F$4:F39))</f>
        <v/>
      </c>
      <c r="C39" s="314" t="str">
        <f>IFERROR(VLOOKUP(基本資料填寫!$E$1&amp;"-"&amp;ROW(書籍檔建置!K36),基本資料填寫!$E:$EU,COLUMN(基本資料填寫!O36),0),"")</f>
        <v/>
      </c>
      <c r="D39" s="314" t="str">
        <f>IFERROR(VLOOKUP(基本資料填寫!$E$1&amp;"-"&amp;ROW(書籍檔建置!N36),基本資料填寫!$E:$EU,COLUMN(基本資料填寫!R36),0),"")</f>
        <v/>
      </c>
      <c r="E39" s="314" t="str">
        <f>IFERROR(VLOOKUP(基本資料填寫!$E$1&amp;"-"&amp;ROW(書籍檔建置!AF36),基本資料填寫!$E:$EU,COLUMN(基本資料填寫!AJ36),0),"")</f>
        <v/>
      </c>
      <c r="F39" s="314" t="str">
        <f>IFERROR(VLOOKUP(基本資料填寫!$E$1&amp;"-"&amp;ROW(書籍檔建置!J36),基本資料填寫!$E:$EU,COLUMN(基本資料填寫!N36),0),"")</f>
        <v/>
      </c>
      <c r="G39" s="314" t="str">
        <f>IFERROR(VLOOKUP(基本資料填寫!$E$1&amp;"-"&amp;ROW(書籍檔建置!BO36),基本資料填寫!$E:$EU,COLUMN(基本資料填寫!BS36),0),"")</f>
        <v/>
      </c>
      <c r="H39" s="314" t="str">
        <f>IFERROR(VLOOKUP(基本資料填寫!$E$1&amp;"-"&amp;ROW(書籍檔建置!R36),基本資料填寫!$E:$EU,COLUMN(基本資料填寫!V36),0),"")</f>
        <v/>
      </c>
      <c r="I39" s="315" t="str">
        <f>IFERROR(VLOOKUP(基本資料填寫!$E$1&amp;"-"&amp;ROW(書籍檔建置!BQ36),基本資料填寫!$E:$EU,COLUMN(基本資料填寫!BU36),0),"")</f>
        <v/>
      </c>
      <c r="J39" s="314" t="str">
        <f>IFERROR(VLOOKUP(基本資料填寫!$E$1&amp;"-"&amp;ROW(書籍檔建置!BW36),基本資料填寫!$E:$EU,COLUMN(基本資料填寫!CA36),0),"")</f>
        <v/>
      </c>
      <c r="K39" s="314" t="str">
        <f>IFERROR(VLOOKUP(基本資料填寫!$E$1&amp;"-"&amp;ROW(書籍檔建置!BR36),基本資料填寫!$E:$EU,COLUMN(基本資料填寫!BV36),0),"")</f>
        <v/>
      </c>
      <c r="L39" s="314" t="str">
        <f>IFERROR(VLOOKUP(基本資料填寫!$E$1&amp;"-"&amp;ROW(書籍檔建置!BS36),基本資料填寫!$E:$EU,COLUMN(基本資料填寫!BW36),0),"")</f>
        <v/>
      </c>
      <c r="M39" s="166" t="str">
        <f>IFERROR(VLOOKUP(基本資料填寫!$E$1&amp;"-"&amp;ROW(書籍檔建置!BK36),基本資料填寫!$E:$EU,COLUMN(基本資料填寫!BO36),0),"")</f>
        <v/>
      </c>
      <c r="N39" s="314" t="str">
        <f>IFERROR(VLOOKUP(基本資料填寫!$E$1&amp;"-"&amp;ROW(書籍檔建置!AG36),基本資料填寫!$E:$EU,COLUMN(基本資料填寫!AK36),0),"")</f>
        <v/>
      </c>
      <c r="O39" s="314" t="str">
        <f>IFERROR(VLOOKUP(基本資料填寫!$E$1&amp;"-"&amp;ROW(書籍檔建置!BT36),基本資料填寫!$E:$EU,COLUMN(基本資料填寫!BX36),0),"")</f>
        <v/>
      </c>
      <c r="P39" s="314" t="str">
        <f>IFERROR(VLOOKUP(基本資料填寫!$E$1&amp;"-"&amp;ROW(書籍檔建置!BU36),基本資料填寫!$E:$EU,COLUMN(基本資料填寫!BY36),0),"")</f>
        <v/>
      </c>
      <c r="Q39" s="314" t="str">
        <f>IFERROR(VLOOKUP(基本資料填寫!$E$1&amp;"-"&amp;ROW(書籍檔建置!BV36),基本資料填寫!$E:$EU,COLUMN(基本資料填寫!BZ36),0),"")</f>
        <v/>
      </c>
      <c r="R39" s="314" t="str">
        <f>IFERROR(VLOOKUP(基本資料填寫!$E$1&amp;"-"&amp;ROW(書籍檔建置!BX36),基本資料填寫!$E:$EU,COLUMN(基本資料填寫!CB36),0),"")</f>
        <v/>
      </c>
      <c r="S39" s="314" t="str">
        <f>IFERROR(VLOOKUP(基本資料填寫!$E$1&amp;"-"&amp;ROW(書籍檔建置!BY36),基本資料填寫!$E:$EU,COLUMN(基本資料填寫!CC36),0),"")</f>
        <v/>
      </c>
      <c r="T39" s="314" t="str">
        <f>IFERROR(VLOOKUP(基本資料填寫!$E$1&amp;"-"&amp;ROW(書籍檔建置!BZ36),基本資料填寫!$E:$EU,COLUMN(基本資料填寫!CD36),0),"")</f>
        <v/>
      </c>
      <c r="U39" s="314" t="str">
        <f>IFERROR(VLOOKUP(基本資料填寫!$E$1&amp;"-"&amp;ROW(書籍檔建置!CA36),基本資料填寫!$E:$EU,COLUMN(基本資料填寫!CE36),0),"")</f>
        <v/>
      </c>
      <c r="V39" s="166" t="str">
        <f>IFERROR(VLOOKUP(基本資料填寫!$E$1&amp;"-"&amp;ROW(書籍檔建置!BL36),基本資料填寫!$E:$EU,COLUMN(基本資料填寫!BP36),0),"")</f>
        <v/>
      </c>
      <c r="W39" s="178"/>
      <c r="X39" s="178"/>
      <c r="Y39" s="178"/>
      <c r="Z39" s="178"/>
      <c r="AA39" s="178"/>
      <c r="AB39" s="178"/>
      <c r="AC39" s="314" t="str">
        <f>IFERROR(VLOOKUP(基本資料填寫!$E$1&amp;"-"&amp;ROW(書籍檔建置!S36),基本資料填寫!$E:$EU,COLUMN(基本資料填寫!W36),0),"")</f>
        <v/>
      </c>
      <c r="AD39" s="166" t="str">
        <f>IFERROR(VLOOKUP(基本資料填寫!$E$1&amp;"-"&amp;ROW(書籍檔建置!BM36),基本資料填寫!$E:$EU,COLUMN(基本資料填寫!BQ36),0),"")</f>
        <v/>
      </c>
      <c r="AE39" s="178"/>
      <c r="AF39" s="178"/>
      <c r="AG39" s="178"/>
      <c r="AH39" s="314" t="str">
        <f>IFERROR(VLOOKUP(基本資料填寫!$E$1&amp;"-"&amp;ROW(書籍檔建置!CB36),基本資料填寫!$E:$EU,COLUMN(基本資料填寫!CF36),0),"")</f>
        <v/>
      </c>
      <c r="AI39" s="314" t="str">
        <f>IFERROR(VLOOKUP(基本資料填寫!$E$1&amp;"-"&amp;ROW(書籍檔建置!CC36),基本資料填寫!$E:$EU,COLUMN(基本資料填寫!CG36),0),"")</f>
        <v/>
      </c>
      <c r="AJ39" s="314" t="str">
        <f>IFERROR(VLOOKUP(基本資料填寫!$E$1&amp;"-"&amp;ROW(書籍檔建置!H36),基本資料填寫!$E:$EU,COLUMN(基本資料填寫!K36),0),"")</f>
        <v/>
      </c>
      <c r="AK39" s="314" t="str">
        <f>IFERROR(VLOOKUP(基本資料填寫!$E$1&amp;"-"&amp;ROW(書籍檔建置!CF36),基本資料填寫!$E:$EU,COLUMN(基本資料填寫!CJ36),0),"")</f>
        <v/>
      </c>
      <c r="AL39" s="314" t="str">
        <f>IFERROR(VLOOKUP(基本資料填寫!$E$1&amp;"-"&amp;ROW(書籍檔建置!CG36),基本資料填寫!$E:$EU,COLUMN(基本資料填寫!CK36),0),"")</f>
        <v/>
      </c>
      <c r="AM39" s="314" t="str">
        <f>IFERROR(VLOOKUP(基本資料填寫!$E$1&amp;"-"&amp;ROW(書籍檔建置!BP36),基本資料填寫!$E:$EU,COLUMN(基本資料填寫!BT36),0),"")</f>
        <v/>
      </c>
      <c r="AN39" s="153"/>
    </row>
    <row r="40" spans="2:40" x14ac:dyDescent="0.3">
      <c r="B40" s="47" t="str">
        <f>IF(F40="","",COUNTA($F$4:F40))</f>
        <v/>
      </c>
      <c r="C40" s="314" t="str">
        <f>IFERROR(VLOOKUP(基本資料填寫!$E$1&amp;"-"&amp;ROW(書籍檔建置!K37),基本資料填寫!$E:$EU,COLUMN(基本資料填寫!O37),0),"")</f>
        <v/>
      </c>
      <c r="D40" s="314" t="str">
        <f>IFERROR(VLOOKUP(基本資料填寫!$E$1&amp;"-"&amp;ROW(書籍檔建置!N37),基本資料填寫!$E:$EU,COLUMN(基本資料填寫!R37),0),"")</f>
        <v/>
      </c>
      <c r="E40" s="314" t="str">
        <f>IFERROR(VLOOKUP(基本資料填寫!$E$1&amp;"-"&amp;ROW(書籍檔建置!AF37),基本資料填寫!$E:$EU,COLUMN(基本資料填寫!AJ37),0),"")</f>
        <v/>
      </c>
      <c r="F40" s="314" t="str">
        <f>IFERROR(VLOOKUP(基本資料填寫!$E$1&amp;"-"&amp;ROW(書籍檔建置!J37),基本資料填寫!$E:$EU,COLUMN(基本資料填寫!N37),0),"")</f>
        <v/>
      </c>
      <c r="G40" s="314" t="str">
        <f>IFERROR(VLOOKUP(基本資料填寫!$E$1&amp;"-"&amp;ROW(書籍檔建置!BO37),基本資料填寫!$E:$EU,COLUMN(基本資料填寫!BS37),0),"")</f>
        <v/>
      </c>
      <c r="H40" s="314" t="str">
        <f>IFERROR(VLOOKUP(基本資料填寫!$E$1&amp;"-"&amp;ROW(書籍檔建置!R37),基本資料填寫!$E:$EU,COLUMN(基本資料填寫!V37),0),"")</f>
        <v/>
      </c>
      <c r="I40" s="315" t="str">
        <f>IFERROR(VLOOKUP(基本資料填寫!$E$1&amp;"-"&amp;ROW(書籍檔建置!BQ37),基本資料填寫!$E:$EU,COLUMN(基本資料填寫!BU37),0),"")</f>
        <v/>
      </c>
      <c r="J40" s="314" t="str">
        <f>IFERROR(VLOOKUP(基本資料填寫!$E$1&amp;"-"&amp;ROW(書籍檔建置!BW37),基本資料填寫!$E:$EU,COLUMN(基本資料填寫!CA37),0),"")</f>
        <v/>
      </c>
      <c r="K40" s="314" t="str">
        <f>IFERROR(VLOOKUP(基本資料填寫!$E$1&amp;"-"&amp;ROW(書籍檔建置!BR37),基本資料填寫!$E:$EU,COLUMN(基本資料填寫!BV37),0),"")</f>
        <v/>
      </c>
      <c r="L40" s="314" t="str">
        <f>IFERROR(VLOOKUP(基本資料填寫!$E$1&amp;"-"&amp;ROW(書籍檔建置!BS37),基本資料填寫!$E:$EU,COLUMN(基本資料填寫!BW37),0),"")</f>
        <v/>
      </c>
      <c r="M40" s="166" t="str">
        <f>IFERROR(VLOOKUP(基本資料填寫!$E$1&amp;"-"&amp;ROW(書籍檔建置!BK37),基本資料填寫!$E:$EU,COLUMN(基本資料填寫!BO37),0),"")</f>
        <v/>
      </c>
      <c r="N40" s="314" t="str">
        <f>IFERROR(VLOOKUP(基本資料填寫!$E$1&amp;"-"&amp;ROW(書籍檔建置!AG37),基本資料填寫!$E:$EU,COLUMN(基本資料填寫!AK37),0),"")</f>
        <v/>
      </c>
      <c r="O40" s="314" t="str">
        <f>IFERROR(VLOOKUP(基本資料填寫!$E$1&amp;"-"&amp;ROW(書籍檔建置!BT37),基本資料填寫!$E:$EU,COLUMN(基本資料填寫!BX37),0),"")</f>
        <v/>
      </c>
      <c r="P40" s="314" t="str">
        <f>IFERROR(VLOOKUP(基本資料填寫!$E$1&amp;"-"&amp;ROW(書籍檔建置!BU37),基本資料填寫!$E:$EU,COLUMN(基本資料填寫!BY37),0),"")</f>
        <v/>
      </c>
      <c r="Q40" s="314" t="str">
        <f>IFERROR(VLOOKUP(基本資料填寫!$E$1&amp;"-"&amp;ROW(書籍檔建置!BV37),基本資料填寫!$E:$EU,COLUMN(基本資料填寫!BZ37),0),"")</f>
        <v/>
      </c>
      <c r="R40" s="314" t="str">
        <f>IFERROR(VLOOKUP(基本資料填寫!$E$1&amp;"-"&amp;ROW(書籍檔建置!BX37),基本資料填寫!$E:$EU,COLUMN(基本資料填寫!CB37),0),"")</f>
        <v/>
      </c>
      <c r="S40" s="314" t="str">
        <f>IFERROR(VLOOKUP(基本資料填寫!$E$1&amp;"-"&amp;ROW(書籍檔建置!BY37),基本資料填寫!$E:$EU,COLUMN(基本資料填寫!CC37),0),"")</f>
        <v/>
      </c>
      <c r="T40" s="314" t="str">
        <f>IFERROR(VLOOKUP(基本資料填寫!$E$1&amp;"-"&amp;ROW(書籍檔建置!BZ37),基本資料填寫!$E:$EU,COLUMN(基本資料填寫!CD37),0),"")</f>
        <v/>
      </c>
      <c r="U40" s="314" t="str">
        <f>IFERROR(VLOOKUP(基本資料填寫!$E$1&amp;"-"&amp;ROW(書籍檔建置!CA37),基本資料填寫!$E:$EU,COLUMN(基本資料填寫!CE37),0),"")</f>
        <v/>
      </c>
      <c r="V40" s="166" t="str">
        <f>IFERROR(VLOOKUP(基本資料填寫!$E$1&amp;"-"&amp;ROW(書籍檔建置!BL37),基本資料填寫!$E:$EU,COLUMN(基本資料填寫!BP37),0),"")</f>
        <v/>
      </c>
      <c r="W40" s="178"/>
      <c r="X40" s="178"/>
      <c r="Y40" s="178"/>
      <c r="Z40" s="178"/>
      <c r="AA40" s="178"/>
      <c r="AB40" s="178"/>
      <c r="AC40" s="314" t="str">
        <f>IFERROR(VLOOKUP(基本資料填寫!$E$1&amp;"-"&amp;ROW(書籍檔建置!S37),基本資料填寫!$E:$EU,COLUMN(基本資料填寫!W37),0),"")</f>
        <v/>
      </c>
      <c r="AD40" s="166" t="str">
        <f>IFERROR(VLOOKUP(基本資料填寫!$E$1&amp;"-"&amp;ROW(書籍檔建置!BM37),基本資料填寫!$E:$EU,COLUMN(基本資料填寫!BQ37),0),"")</f>
        <v/>
      </c>
      <c r="AE40" s="178"/>
      <c r="AF40" s="178"/>
      <c r="AG40" s="178"/>
      <c r="AH40" s="314" t="str">
        <f>IFERROR(VLOOKUP(基本資料填寫!$E$1&amp;"-"&amp;ROW(書籍檔建置!CB37),基本資料填寫!$E:$EU,COLUMN(基本資料填寫!CF37),0),"")</f>
        <v/>
      </c>
      <c r="AI40" s="314" t="str">
        <f>IFERROR(VLOOKUP(基本資料填寫!$E$1&amp;"-"&amp;ROW(書籍檔建置!CC37),基本資料填寫!$E:$EU,COLUMN(基本資料填寫!CG37),0),"")</f>
        <v/>
      </c>
      <c r="AJ40" s="314" t="str">
        <f>IFERROR(VLOOKUP(基本資料填寫!$E$1&amp;"-"&amp;ROW(書籍檔建置!H37),基本資料填寫!$E:$EU,COLUMN(基本資料填寫!K37),0),"")</f>
        <v/>
      </c>
      <c r="AK40" s="314" t="str">
        <f>IFERROR(VLOOKUP(基本資料填寫!$E$1&amp;"-"&amp;ROW(書籍檔建置!CF37),基本資料填寫!$E:$EU,COLUMN(基本資料填寫!CJ37),0),"")</f>
        <v/>
      </c>
      <c r="AL40" s="314" t="str">
        <f>IFERROR(VLOOKUP(基本資料填寫!$E$1&amp;"-"&amp;ROW(書籍檔建置!CG37),基本資料填寫!$E:$EU,COLUMN(基本資料填寫!CK37),0),"")</f>
        <v/>
      </c>
      <c r="AM40" s="314" t="str">
        <f>IFERROR(VLOOKUP(基本資料填寫!$E$1&amp;"-"&amp;ROW(書籍檔建置!BP37),基本資料填寫!$E:$EU,COLUMN(基本資料填寫!BT37),0),"")</f>
        <v/>
      </c>
      <c r="AN40" s="153"/>
    </row>
    <row r="41" spans="2:40" x14ac:dyDescent="0.3">
      <c r="B41" s="47" t="str">
        <f>IF(F41="","",COUNTA($F$4:F41))</f>
        <v/>
      </c>
      <c r="C41" s="314" t="str">
        <f>IFERROR(VLOOKUP(基本資料填寫!$E$1&amp;"-"&amp;ROW(書籍檔建置!K38),基本資料填寫!$E:$EU,COLUMN(基本資料填寫!O38),0),"")</f>
        <v/>
      </c>
      <c r="D41" s="314" t="str">
        <f>IFERROR(VLOOKUP(基本資料填寫!$E$1&amp;"-"&amp;ROW(書籍檔建置!N38),基本資料填寫!$E:$EU,COLUMN(基本資料填寫!R38),0),"")</f>
        <v/>
      </c>
      <c r="E41" s="314" t="str">
        <f>IFERROR(VLOOKUP(基本資料填寫!$E$1&amp;"-"&amp;ROW(書籍檔建置!AF38),基本資料填寫!$E:$EU,COLUMN(基本資料填寫!AJ38),0),"")</f>
        <v/>
      </c>
      <c r="F41" s="314" t="str">
        <f>IFERROR(VLOOKUP(基本資料填寫!$E$1&amp;"-"&amp;ROW(書籍檔建置!J38),基本資料填寫!$E:$EU,COLUMN(基本資料填寫!N38),0),"")</f>
        <v/>
      </c>
      <c r="G41" s="314" t="str">
        <f>IFERROR(VLOOKUP(基本資料填寫!$E$1&amp;"-"&amp;ROW(書籍檔建置!BO38),基本資料填寫!$E:$EU,COLUMN(基本資料填寫!BS38),0),"")</f>
        <v/>
      </c>
      <c r="H41" s="314" t="str">
        <f>IFERROR(VLOOKUP(基本資料填寫!$E$1&amp;"-"&amp;ROW(書籍檔建置!R38),基本資料填寫!$E:$EU,COLUMN(基本資料填寫!V38),0),"")</f>
        <v/>
      </c>
      <c r="I41" s="315" t="str">
        <f>IFERROR(VLOOKUP(基本資料填寫!$E$1&amp;"-"&amp;ROW(書籍檔建置!BQ38),基本資料填寫!$E:$EU,COLUMN(基本資料填寫!BU38),0),"")</f>
        <v/>
      </c>
      <c r="J41" s="314" t="str">
        <f>IFERROR(VLOOKUP(基本資料填寫!$E$1&amp;"-"&amp;ROW(書籍檔建置!BW38),基本資料填寫!$E:$EU,COLUMN(基本資料填寫!CA38),0),"")</f>
        <v/>
      </c>
      <c r="K41" s="314" t="str">
        <f>IFERROR(VLOOKUP(基本資料填寫!$E$1&amp;"-"&amp;ROW(書籍檔建置!BR38),基本資料填寫!$E:$EU,COLUMN(基本資料填寫!BV38),0),"")</f>
        <v/>
      </c>
      <c r="L41" s="314" t="str">
        <f>IFERROR(VLOOKUP(基本資料填寫!$E$1&amp;"-"&amp;ROW(書籍檔建置!BS38),基本資料填寫!$E:$EU,COLUMN(基本資料填寫!BW38),0),"")</f>
        <v/>
      </c>
      <c r="M41" s="166" t="str">
        <f>IFERROR(VLOOKUP(基本資料填寫!$E$1&amp;"-"&amp;ROW(書籍檔建置!BK38),基本資料填寫!$E:$EU,COLUMN(基本資料填寫!BO38),0),"")</f>
        <v/>
      </c>
      <c r="N41" s="314" t="str">
        <f>IFERROR(VLOOKUP(基本資料填寫!$E$1&amp;"-"&amp;ROW(書籍檔建置!AG38),基本資料填寫!$E:$EU,COLUMN(基本資料填寫!AK38),0),"")</f>
        <v/>
      </c>
      <c r="O41" s="314" t="str">
        <f>IFERROR(VLOOKUP(基本資料填寫!$E$1&amp;"-"&amp;ROW(書籍檔建置!BT38),基本資料填寫!$E:$EU,COLUMN(基本資料填寫!BX38),0),"")</f>
        <v/>
      </c>
      <c r="P41" s="314" t="str">
        <f>IFERROR(VLOOKUP(基本資料填寫!$E$1&amp;"-"&amp;ROW(書籍檔建置!BU38),基本資料填寫!$E:$EU,COLUMN(基本資料填寫!BY38),0),"")</f>
        <v/>
      </c>
      <c r="Q41" s="314" t="str">
        <f>IFERROR(VLOOKUP(基本資料填寫!$E$1&amp;"-"&amp;ROW(書籍檔建置!BV38),基本資料填寫!$E:$EU,COLUMN(基本資料填寫!BZ38),0),"")</f>
        <v/>
      </c>
      <c r="R41" s="314" t="str">
        <f>IFERROR(VLOOKUP(基本資料填寫!$E$1&amp;"-"&amp;ROW(書籍檔建置!BX38),基本資料填寫!$E:$EU,COLUMN(基本資料填寫!CB38),0),"")</f>
        <v/>
      </c>
      <c r="S41" s="314" t="str">
        <f>IFERROR(VLOOKUP(基本資料填寫!$E$1&amp;"-"&amp;ROW(書籍檔建置!BY38),基本資料填寫!$E:$EU,COLUMN(基本資料填寫!CC38),0),"")</f>
        <v/>
      </c>
      <c r="T41" s="314" t="str">
        <f>IFERROR(VLOOKUP(基本資料填寫!$E$1&amp;"-"&amp;ROW(書籍檔建置!BZ38),基本資料填寫!$E:$EU,COLUMN(基本資料填寫!CD38),0),"")</f>
        <v/>
      </c>
      <c r="U41" s="314" t="str">
        <f>IFERROR(VLOOKUP(基本資料填寫!$E$1&amp;"-"&amp;ROW(書籍檔建置!CA38),基本資料填寫!$E:$EU,COLUMN(基本資料填寫!CE38),0),"")</f>
        <v/>
      </c>
      <c r="V41" s="166" t="str">
        <f>IFERROR(VLOOKUP(基本資料填寫!$E$1&amp;"-"&amp;ROW(書籍檔建置!BL38),基本資料填寫!$E:$EU,COLUMN(基本資料填寫!BP38),0),"")</f>
        <v/>
      </c>
      <c r="W41" s="178"/>
      <c r="X41" s="178"/>
      <c r="Y41" s="178"/>
      <c r="Z41" s="178"/>
      <c r="AA41" s="178"/>
      <c r="AB41" s="178"/>
      <c r="AC41" s="314" t="str">
        <f>IFERROR(VLOOKUP(基本資料填寫!$E$1&amp;"-"&amp;ROW(書籍檔建置!S38),基本資料填寫!$E:$EU,COLUMN(基本資料填寫!W38),0),"")</f>
        <v/>
      </c>
      <c r="AD41" s="166" t="str">
        <f>IFERROR(VLOOKUP(基本資料填寫!$E$1&amp;"-"&amp;ROW(書籍檔建置!BM38),基本資料填寫!$E:$EU,COLUMN(基本資料填寫!BQ38),0),"")</f>
        <v/>
      </c>
      <c r="AE41" s="178"/>
      <c r="AF41" s="178"/>
      <c r="AG41" s="178"/>
      <c r="AH41" s="314" t="str">
        <f>IFERROR(VLOOKUP(基本資料填寫!$E$1&amp;"-"&amp;ROW(書籍檔建置!CB38),基本資料填寫!$E:$EU,COLUMN(基本資料填寫!CF38),0),"")</f>
        <v/>
      </c>
      <c r="AI41" s="314" t="str">
        <f>IFERROR(VLOOKUP(基本資料填寫!$E$1&amp;"-"&amp;ROW(書籍檔建置!CC38),基本資料填寫!$E:$EU,COLUMN(基本資料填寫!CG38),0),"")</f>
        <v/>
      </c>
      <c r="AJ41" s="314" t="str">
        <f>IFERROR(VLOOKUP(基本資料填寫!$E$1&amp;"-"&amp;ROW(書籍檔建置!H38),基本資料填寫!$E:$EU,COLUMN(基本資料填寫!K38),0),"")</f>
        <v/>
      </c>
      <c r="AK41" s="314" t="str">
        <f>IFERROR(VLOOKUP(基本資料填寫!$E$1&amp;"-"&amp;ROW(書籍檔建置!CF38),基本資料填寫!$E:$EU,COLUMN(基本資料填寫!CJ38),0),"")</f>
        <v/>
      </c>
      <c r="AL41" s="314" t="str">
        <f>IFERROR(VLOOKUP(基本資料填寫!$E$1&amp;"-"&amp;ROW(書籍檔建置!CG38),基本資料填寫!$E:$EU,COLUMN(基本資料填寫!CK38),0),"")</f>
        <v/>
      </c>
      <c r="AM41" s="314" t="str">
        <f>IFERROR(VLOOKUP(基本資料填寫!$E$1&amp;"-"&amp;ROW(書籍檔建置!BP38),基本資料填寫!$E:$EU,COLUMN(基本資料填寫!BT38),0),"")</f>
        <v/>
      </c>
      <c r="AN41" s="153"/>
    </row>
    <row r="42" spans="2:40" x14ac:dyDescent="0.3">
      <c r="B42" s="47" t="str">
        <f>IF(F42="","",COUNTA($F$4:F42))</f>
        <v/>
      </c>
      <c r="C42" s="314" t="str">
        <f>IFERROR(VLOOKUP(基本資料填寫!$E$1&amp;"-"&amp;ROW(書籍檔建置!K39),基本資料填寫!$E:$EU,COLUMN(基本資料填寫!O39),0),"")</f>
        <v/>
      </c>
      <c r="D42" s="314" t="str">
        <f>IFERROR(VLOOKUP(基本資料填寫!$E$1&amp;"-"&amp;ROW(書籍檔建置!N39),基本資料填寫!$E:$EU,COLUMN(基本資料填寫!R39),0),"")</f>
        <v/>
      </c>
      <c r="E42" s="314" t="str">
        <f>IFERROR(VLOOKUP(基本資料填寫!$E$1&amp;"-"&amp;ROW(書籍檔建置!AF39),基本資料填寫!$E:$EU,COLUMN(基本資料填寫!AJ39),0),"")</f>
        <v/>
      </c>
      <c r="F42" s="314" t="str">
        <f>IFERROR(VLOOKUP(基本資料填寫!$E$1&amp;"-"&amp;ROW(書籍檔建置!J39),基本資料填寫!$E:$EU,COLUMN(基本資料填寫!N39),0),"")</f>
        <v/>
      </c>
      <c r="G42" s="314" t="str">
        <f>IFERROR(VLOOKUP(基本資料填寫!$E$1&amp;"-"&amp;ROW(書籍檔建置!BO39),基本資料填寫!$E:$EU,COLUMN(基本資料填寫!BS39),0),"")</f>
        <v/>
      </c>
      <c r="H42" s="314" t="str">
        <f>IFERROR(VLOOKUP(基本資料填寫!$E$1&amp;"-"&amp;ROW(書籍檔建置!R39),基本資料填寫!$E:$EU,COLUMN(基本資料填寫!V39),0),"")</f>
        <v/>
      </c>
      <c r="I42" s="315" t="str">
        <f>IFERROR(VLOOKUP(基本資料填寫!$E$1&amp;"-"&amp;ROW(書籍檔建置!BQ39),基本資料填寫!$E:$EU,COLUMN(基本資料填寫!BU39),0),"")</f>
        <v/>
      </c>
      <c r="J42" s="314" t="str">
        <f>IFERROR(VLOOKUP(基本資料填寫!$E$1&amp;"-"&amp;ROW(書籍檔建置!BW39),基本資料填寫!$E:$EU,COLUMN(基本資料填寫!CA39),0),"")</f>
        <v/>
      </c>
      <c r="K42" s="314" t="str">
        <f>IFERROR(VLOOKUP(基本資料填寫!$E$1&amp;"-"&amp;ROW(書籍檔建置!BR39),基本資料填寫!$E:$EU,COLUMN(基本資料填寫!BV39),0),"")</f>
        <v/>
      </c>
      <c r="L42" s="314" t="str">
        <f>IFERROR(VLOOKUP(基本資料填寫!$E$1&amp;"-"&amp;ROW(書籍檔建置!BS39),基本資料填寫!$E:$EU,COLUMN(基本資料填寫!BW39),0),"")</f>
        <v/>
      </c>
      <c r="M42" s="166" t="str">
        <f>IFERROR(VLOOKUP(基本資料填寫!$E$1&amp;"-"&amp;ROW(書籍檔建置!BK39),基本資料填寫!$E:$EU,COLUMN(基本資料填寫!BO39),0),"")</f>
        <v/>
      </c>
      <c r="N42" s="314" t="str">
        <f>IFERROR(VLOOKUP(基本資料填寫!$E$1&amp;"-"&amp;ROW(書籍檔建置!AG39),基本資料填寫!$E:$EU,COLUMN(基本資料填寫!AK39),0),"")</f>
        <v/>
      </c>
      <c r="O42" s="314" t="str">
        <f>IFERROR(VLOOKUP(基本資料填寫!$E$1&amp;"-"&amp;ROW(書籍檔建置!BT39),基本資料填寫!$E:$EU,COLUMN(基本資料填寫!BX39),0),"")</f>
        <v/>
      </c>
      <c r="P42" s="314" t="str">
        <f>IFERROR(VLOOKUP(基本資料填寫!$E$1&amp;"-"&amp;ROW(書籍檔建置!BU39),基本資料填寫!$E:$EU,COLUMN(基本資料填寫!BY39),0),"")</f>
        <v/>
      </c>
      <c r="Q42" s="314" t="str">
        <f>IFERROR(VLOOKUP(基本資料填寫!$E$1&amp;"-"&amp;ROW(書籍檔建置!BV39),基本資料填寫!$E:$EU,COLUMN(基本資料填寫!BZ39),0),"")</f>
        <v/>
      </c>
      <c r="R42" s="314" t="str">
        <f>IFERROR(VLOOKUP(基本資料填寫!$E$1&amp;"-"&amp;ROW(書籍檔建置!BX39),基本資料填寫!$E:$EU,COLUMN(基本資料填寫!CB39),0),"")</f>
        <v/>
      </c>
      <c r="S42" s="314" t="str">
        <f>IFERROR(VLOOKUP(基本資料填寫!$E$1&amp;"-"&amp;ROW(書籍檔建置!BY39),基本資料填寫!$E:$EU,COLUMN(基本資料填寫!CC39),0),"")</f>
        <v/>
      </c>
      <c r="T42" s="314" t="str">
        <f>IFERROR(VLOOKUP(基本資料填寫!$E$1&amp;"-"&amp;ROW(書籍檔建置!BZ39),基本資料填寫!$E:$EU,COLUMN(基本資料填寫!CD39),0),"")</f>
        <v/>
      </c>
      <c r="U42" s="314" t="str">
        <f>IFERROR(VLOOKUP(基本資料填寫!$E$1&amp;"-"&amp;ROW(書籍檔建置!CA39),基本資料填寫!$E:$EU,COLUMN(基本資料填寫!CE39),0),"")</f>
        <v/>
      </c>
      <c r="V42" s="166" t="str">
        <f>IFERROR(VLOOKUP(基本資料填寫!$E$1&amp;"-"&amp;ROW(書籍檔建置!BL39),基本資料填寫!$E:$EU,COLUMN(基本資料填寫!BP39),0),"")</f>
        <v/>
      </c>
      <c r="W42" s="178"/>
      <c r="X42" s="178"/>
      <c r="Y42" s="178"/>
      <c r="Z42" s="178"/>
      <c r="AA42" s="178"/>
      <c r="AB42" s="178"/>
      <c r="AC42" s="314" t="str">
        <f>IFERROR(VLOOKUP(基本資料填寫!$E$1&amp;"-"&amp;ROW(書籍檔建置!S39),基本資料填寫!$E:$EU,COLUMN(基本資料填寫!W39),0),"")</f>
        <v/>
      </c>
      <c r="AD42" s="166" t="str">
        <f>IFERROR(VLOOKUP(基本資料填寫!$E$1&amp;"-"&amp;ROW(書籍檔建置!BM39),基本資料填寫!$E:$EU,COLUMN(基本資料填寫!BQ39),0),"")</f>
        <v/>
      </c>
      <c r="AE42" s="178"/>
      <c r="AF42" s="178"/>
      <c r="AG42" s="178"/>
      <c r="AH42" s="314" t="str">
        <f>IFERROR(VLOOKUP(基本資料填寫!$E$1&amp;"-"&amp;ROW(書籍檔建置!CB39),基本資料填寫!$E:$EU,COLUMN(基本資料填寫!CF39),0),"")</f>
        <v/>
      </c>
      <c r="AI42" s="314" t="str">
        <f>IFERROR(VLOOKUP(基本資料填寫!$E$1&amp;"-"&amp;ROW(書籍檔建置!CC39),基本資料填寫!$E:$EU,COLUMN(基本資料填寫!CG39),0),"")</f>
        <v/>
      </c>
      <c r="AJ42" s="314" t="str">
        <f>IFERROR(VLOOKUP(基本資料填寫!$E$1&amp;"-"&amp;ROW(書籍檔建置!H39),基本資料填寫!$E:$EU,COLUMN(基本資料填寫!K39),0),"")</f>
        <v/>
      </c>
      <c r="AK42" s="314" t="str">
        <f>IFERROR(VLOOKUP(基本資料填寫!$E$1&amp;"-"&amp;ROW(書籍檔建置!CF39),基本資料填寫!$E:$EU,COLUMN(基本資料填寫!CJ39),0),"")</f>
        <v/>
      </c>
      <c r="AL42" s="314" t="str">
        <f>IFERROR(VLOOKUP(基本資料填寫!$E$1&amp;"-"&amp;ROW(書籍檔建置!CG39),基本資料填寫!$E:$EU,COLUMN(基本資料填寫!CK39),0),"")</f>
        <v/>
      </c>
      <c r="AM42" s="314" t="str">
        <f>IFERROR(VLOOKUP(基本資料填寫!$E$1&amp;"-"&amp;ROW(書籍檔建置!BP39),基本資料填寫!$E:$EU,COLUMN(基本資料填寫!BT39),0),"")</f>
        <v/>
      </c>
      <c r="AN42" s="153"/>
    </row>
    <row r="43" spans="2:40" x14ac:dyDescent="0.3">
      <c r="B43" s="47" t="str">
        <f>IF(F43="","",COUNTA($F$4:F43))</f>
        <v/>
      </c>
      <c r="C43" s="314" t="str">
        <f>IFERROR(VLOOKUP(基本資料填寫!$E$1&amp;"-"&amp;ROW(書籍檔建置!K40),基本資料填寫!$E:$EU,COLUMN(基本資料填寫!O40),0),"")</f>
        <v/>
      </c>
      <c r="D43" s="314" t="str">
        <f>IFERROR(VLOOKUP(基本資料填寫!$E$1&amp;"-"&amp;ROW(書籍檔建置!N40),基本資料填寫!$E:$EU,COLUMN(基本資料填寫!R40),0),"")</f>
        <v/>
      </c>
      <c r="E43" s="314" t="str">
        <f>IFERROR(VLOOKUP(基本資料填寫!$E$1&amp;"-"&amp;ROW(書籍檔建置!AF40),基本資料填寫!$E:$EU,COLUMN(基本資料填寫!AJ40),0),"")</f>
        <v/>
      </c>
      <c r="F43" s="314" t="str">
        <f>IFERROR(VLOOKUP(基本資料填寫!$E$1&amp;"-"&amp;ROW(書籍檔建置!J40),基本資料填寫!$E:$EU,COLUMN(基本資料填寫!N40),0),"")</f>
        <v/>
      </c>
      <c r="G43" s="314" t="str">
        <f>IFERROR(VLOOKUP(基本資料填寫!$E$1&amp;"-"&amp;ROW(書籍檔建置!BO40),基本資料填寫!$E:$EU,COLUMN(基本資料填寫!BS40),0),"")</f>
        <v/>
      </c>
      <c r="H43" s="314" t="str">
        <f>IFERROR(VLOOKUP(基本資料填寫!$E$1&amp;"-"&amp;ROW(書籍檔建置!R40),基本資料填寫!$E:$EU,COLUMN(基本資料填寫!V40),0),"")</f>
        <v/>
      </c>
      <c r="I43" s="315" t="str">
        <f>IFERROR(VLOOKUP(基本資料填寫!$E$1&amp;"-"&amp;ROW(書籍檔建置!BQ40),基本資料填寫!$E:$EU,COLUMN(基本資料填寫!BU40),0),"")</f>
        <v/>
      </c>
      <c r="J43" s="314" t="str">
        <f>IFERROR(VLOOKUP(基本資料填寫!$E$1&amp;"-"&amp;ROW(書籍檔建置!BW40),基本資料填寫!$E:$EU,COLUMN(基本資料填寫!CA40),0),"")</f>
        <v/>
      </c>
      <c r="K43" s="314" t="str">
        <f>IFERROR(VLOOKUP(基本資料填寫!$E$1&amp;"-"&amp;ROW(書籍檔建置!BR40),基本資料填寫!$E:$EU,COLUMN(基本資料填寫!BV40),0),"")</f>
        <v/>
      </c>
      <c r="L43" s="314" t="str">
        <f>IFERROR(VLOOKUP(基本資料填寫!$E$1&amp;"-"&amp;ROW(書籍檔建置!BS40),基本資料填寫!$E:$EU,COLUMN(基本資料填寫!BW40),0),"")</f>
        <v/>
      </c>
      <c r="M43" s="166" t="str">
        <f>IFERROR(VLOOKUP(基本資料填寫!$E$1&amp;"-"&amp;ROW(書籍檔建置!BK40),基本資料填寫!$E:$EU,COLUMN(基本資料填寫!BO40),0),"")</f>
        <v/>
      </c>
      <c r="N43" s="314" t="str">
        <f>IFERROR(VLOOKUP(基本資料填寫!$E$1&amp;"-"&amp;ROW(書籍檔建置!AG40),基本資料填寫!$E:$EU,COLUMN(基本資料填寫!AK40),0),"")</f>
        <v/>
      </c>
      <c r="O43" s="314" t="str">
        <f>IFERROR(VLOOKUP(基本資料填寫!$E$1&amp;"-"&amp;ROW(書籍檔建置!BT40),基本資料填寫!$E:$EU,COLUMN(基本資料填寫!BX40),0),"")</f>
        <v/>
      </c>
      <c r="P43" s="314" t="str">
        <f>IFERROR(VLOOKUP(基本資料填寫!$E$1&amp;"-"&amp;ROW(書籍檔建置!BU40),基本資料填寫!$E:$EU,COLUMN(基本資料填寫!BY40),0),"")</f>
        <v/>
      </c>
      <c r="Q43" s="314" t="str">
        <f>IFERROR(VLOOKUP(基本資料填寫!$E$1&amp;"-"&amp;ROW(書籍檔建置!BV40),基本資料填寫!$E:$EU,COLUMN(基本資料填寫!BZ40),0),"")</f>
        <v/>
      </c>
      <c r="R43" s="314" t="str">
        <f>IFERROR(VLOOKUP(基本資料填寫!$E$1&amp;"-"&amp;ROW(書籍檔建置!BX40),基本資料填寫!$E:$EU,COLUMN(基本資料填寫!CB40),0),"")</f>
        <v/>
      </c>
      <c r="S43" s="314" t="str">
        <f>IFERROR(VLOOKUP(基本資料填寫!$E$1&amp;"-"&amp;ROW(書籍檔建置!BY40),基本資料填寫!$E:$EU,COLUMN(基本資料填寫!CC40),0),"")</f>
        <v/>
      </c>
      <c r="T43" s="314" t="str">
        <f>IFERROR(VLOOKUP(基本資料填寫!$E$1&amp;"-"&amp;ROW(書籍檔建置!BZ40),基本資料填寫!$E:$EU,COLUMN(基本資料填寫!CD40),0),"")</f>
        <v/>
      </c>
      <c r="U43" s="314" t="str">
        <f>IFERROR(VLOOKUP(基本資料填寫!$E$1&amp;"-"&amp;ROW(書籍檔建置!CA40),基本資料填寫!$E:$EU,COLUMN(基本資料填寫!CE40),0),"")</f>
        <v/>
      </c>
      <c r="V43" s="166" t="str">
        <f>IFERROR(VLOOKUP(基本資料填寫!$E$1&amp;"-"&amp;ROW(書籍檔建置!BL40),基本資料填寫!$E:$EU,COLUMN(基本資料填寫!BP40),0),"")</f>
        <v/>
      </c>
      <c r="W43" s="178"/>
      <c r="X43" s="178"/>
      <c r="Y43" s="178"/>
      <c r="Z43" s="178"/>
      <c r="AA43" s="178"/>
      <c r="AB43" s="178"/>
      <c r="AC43" s="314" t="str">
        <f>IFERROR(VLOOKUP(基本資料填寫!$E$1&amp;"-"&amp;ROW(書籍檔建置!S40),基本資料填寫!$E:$EU,COLUMN(基本資料填寫!W40),0),"")</f>
        <v/>
      </c>
      <c r="AD43" s="166" t="str">
        <f>IFERROR(VLOOKUP(基本資料填寫!$E$1&amp;"-"&amp;ROW(書籍檔建置!BM40),基本資料填寫!$E:$EU,COLUMN(基本資料填寫!BQ40),0),"")</f>
        <v/>
      </c>
      <c r="AE43" s="178"/>
      <c r="AF43" s="178"/>
      <c r="AG43" s="178"/>
      <c r="AH43" s="314" t="str">
        <f>IFERROR(VLOOKUP(基本資料填寫!$E$1&amp;"-"&amp;ROW(書籍檔建置!CB40),基本資料填寫!$E:$EU,COLUMN(基本資料填寫!CF40),0),"")</f>
        <v/>
      </c>
      <c r="AI43" s="314" t="str">
        <f>IFERROR(VLOOKUP(基本資料填寫!$E$1&amp;"-"&amp;ROW(書籍檔建置!CC40),基本資料填寫!$E:$EU,COLUMN(基本資料填寫!CG40),0),"")</f>
        <v/>
      </c>
      <c r="AJ43" s="314" t="str">
        <f>IFERROR(VLOOKUP(基本資料填寫!$E$1&amp;"-"&amp;ROW(書籍檔建置!H40),基本資料填寫!$E:$EU,COLUMN(基本資料填寫!K40),0),"")</f>
        <v/>
      </c>
      <c r="AK43" s="314" t="str">
        <f>IFERROR(VLOOKUP(基本資料填寫!$E$1&amp;"-"&amp;ROW(書籍檔建置!CF40),基本資料填寫!$E:$EU,COLUMN(基本資料填寫!CJ40),0),"")</f>
        <v/>
      </c>
      <c r="AL43" s="314" t="str">
        <f>IFERROR(VLOOKUP(基本資料填寫!$E$1&amp;"-"&amp;ROW(書籍檔建置!CG40),基本資料填寫!$E:$EU,COLUMN(基本資料填寫!CK40),0),"")</f>
        <v/>
      </c>
      <c r="AM43" s="314" t="str">
        <f>IFERROR(VLOOKUP(基本資料填寫!$E$1&amp;"-"&amp;ROW(書籍檔建置!BP40),基本資料填寫!$E:$EU,COLUMN(基本資料填寫!BT40),0),"")</f>
        <v/>
      </c>
      <c r="AN43" s="153"/>
    </row>
    <row r="44" spans="2:40" x14ac:dyDescent="0.3">
      <c r="B44" s="47" t="str">
        <f>IF(F44="","",COUNTA($F$4:F44))</f>
        <v/>
      </c>
      <c r="C44" s="314" t="str">
        <f>IFERROR(VLOOKUP(基本資料填寫!$E$1&amp;"-"&amp;ROW(書籍檔建置!K41),基本資料填寫!$E:$EU,COLUMN(基本資料填寫!O41),0),"")</f>
        <v/>
      </c>
      <c r="D44" s="314" t="str">
        <f>IFERROR(VLOOKUP(基本資料填寫!$E$1&amp;"-"&amp;ROW(書籍檔建置!N41),基本資料填寫!$E:$EU,COLUMN(基本資料填寫!R41),0),"")</f>
        <v/>
      </c>
      <c r="E44" s="314" t="str">
        <f>IFERROR(VLOOKUP(基本資料填寫!$E$1&amp;"-"&amp;ROW(書籍檔建置!AF41),基本資料填寫!$E:$EU,COLUMN(基本資料填寫!AJ41),0),"")</f>
        <v/>
      </c>
      <c r="F44" s="314" t="str">
        <f>IFERROR(VLOOKUP(基本資料填寫!$E$1&amp;"-"&amp;ROW(書籍檔建置!J41),基本資料填寫!$E:$EU,COLUMN(基本資料填寫!N41),0),"")</f>
        <v/>
      </c>
      <c r="G44" s="314" t="str">
        <f>IFERROR(VLOOKUP(基本資料填寫!$E$1&amp;"-"&amp;ROW(書籍檔建置!BO41),基本資料填寫!$E:$EU,COLUMN(基本資料填寫!BS41),0),"")</f>
        <v/>
      </c>
      <c r="H44" s="314" t="str">
        <f>IFERROR(VLOOKUP(基本資料填寫!$E$1&amp;"-"&amp;ROW(書籍檔建置!R41),基本資料填寫!$E:$EU,COLUMN(基本資料填寫!V41),0),"")</f>
        <v/>
      </c>
      <c r="I44" s="315" t="str">
        <f>IFERROR(VLOOKUP(基本資料填寫!$E$1&amp;"-"&amp;ROW(書籍檔建置!BQ41),基本資料填寫!$E:$EU,COLUMN(基本資料填寫!BU41),0),"")</f>
        <v/>
      </c>
      <c r="J44" s="314" t="str">
        <f>IFERROR(VLOOKUP(基本資料填寫!$E$1&amp;"-"&amp;ROW(書籍檔建置!BW41),基本資料填寫!$E:$EU,COLUMN(基本資料填寫!CA41),0),"")</f>
        <v/>
      </c>
      <c r="K44" s="314" t="str">
        <f>IFERROR(VLOOKUP(基本資料填寫!$E$1&amp;"-"&amp;ROW(書籍檔建置!BR41),基本資料填寫!$E:$EU,COLUMN(基本資料填寫!BV41),0),"")</f>
        <v/>
      </c>
      <c r="L44" s="314" t="str">
        <f>IFERROR(VLOOKUP(基本資料填寫!$E$1&amp;"-"&amp;ROW(書籍檔建置!BS41),基本資料填寫!$E:$EU,COLUMN(基本資料填寫!BW41),0),"")</f>
        <v/>
      </c>
      <c r="M44" s="166" t="str">
        <f>IFERROR(VLOOKUP(基本資料填寫!$E$1&amp;"-"&amp;ROW(書籍檔建置!BK41),基本資料填寫!$E:$EU,COLUMN(基本資料填寫!BO41),0),"")</f>
        <v/>
      </c>
      <c r="N44" s="314" t="str">
        <f>IFERROR(VLOOKUP(基本資料填寫!$E$1&amp;"-"&amp;ROW(書籍檔建置!AG41),基本資料填寫!$E:$EU,COLUMN(基本資料填寫!AK41),0),"")</f>
        <v/>
      </c>
      <c r="O44" s="314" t="str">
        <f>IFERROR(VLOOKUP(基本資料填寫!$E$1&amp;"-"&amp;ROW(書籍檔建置!BT41),基本資料填寫!$E:$EU,COLUMN(基本資料填寫!BX41),0),"")</f>
        <v/>
      </c>
      <c r="P44" s="314" t="str">
        <f>IFERROR(VLOOKUP(基本資料填寫!$E$1&amp;"-"&amp;ROW(書籍檔建置!BU41),基本資料填寫!$E:$EU,COLUMN(基本資料填寫!BY41),0),"")</f>
        <v/>
      </c>
      <c r="Q44" s="314" t="str">
        <f>IFERROR(VLOOKUP(基本資料填寫!$E$1&amp;"-"&amp;ROW(書籍檔建置!BV41),基本資料填寫!$E:$EU,COLUMN(基本資料填寫!BZ41),0),"")</f>
        <v/>
      </c>
      <c r="R44" s="314" t="str">
        <f>IFERROR(VLOOKUP(基本資料填寫!$E$1&amp;"-"&amp;ROW(書籍檔建置!BX41),基本資料填寫!$E:$EU,COLUMN(基本資料填寫!CB41),0),"")</f>
        <v/>
      </c>
      <c r="S44" s="314" t="str">
        <f>IFERROR(VLOOKUP(基本資料填寫!$E$1&amp;"-"&amp;ROW(書籍檔建置!BY41),基本資料填寫!$E:$EU,COLUMN(基本資料填寫!CC41),0),"")</f>
        <v/>
      </c>
      <c r="T44" s="314" t="str">
        <f>IFERROR(VLOOKUP(基本資料填寫!$E$1&amp;"-"&amp;ROW(書籍檔建置!BZ41),基本資料填寫!$E:$EU,COLUMN(基本資料填寫!CD41),0),"")</f>
        <v/>
      </c>
      <c r="U44" s="314" t="str">
        <f>IFERROR(VLOOKUP(基本資料填寫!$E$1&amp;"-"&amp;ROW(書籍檔建置!CA41),基本資料填寫!$E:$EU,COLUMN(基本資料填寫!CE41),0),"")</f>
        <v/>
      </c>
      <c r="V44" s="166" t="str">
        <f>IFERROR(VLOOKUP(基本資料填寫!$E$1&amp;"-"&amp;ROW(書籍檔建置!BL41),基本資料填寫!$E:$EU,COLUMN(基本資料填寫!BP41),0),"")</f>
        <v/>
      </c>
      <c r="W44" s="178"/>
      <c r="X44" s="178"/>
      <c r="Y44" s="178"/>
      <c r="Z44" s="178"/>
      <c r="AA44" s="178"/>
      <c r="AB44" s="178"/>
      <c r="AC44" s="314" t="str">
        <f>IFERROR(VLOOKUP(基本資料填寫!$E$1&amp;"-"&amp;ROW(書籍檔建置!S41),基本資料填寫!$E:$EU,COLUMN(基本資料填寫!W41),0),"")</f>
        <v/>
      </c>
      <c r="AD44" s="166" t="str">
        <f>IFERROR(VLOOKUP(基本資料填寫!$E$1&amp;"-"&amp;ROW(書籍檔建置!BM41),基本資料填寫!$E:$EU,COLUMN(基本資料填寫!BQ41),0),"")</f>
        <v/>
      </c>
      <c r="AE44" s="178"/>
      <c r="AF44" s="178"/>
      <c r="AG44" s="178"/>
      <c r="AH44" s="314" t="str">
        <f>IFERROR(VLOOKUP(基本資料填寫!$E$1&amp;"-"&amp;ROW(書籍檔建置!CB41),基本資料填寫!$E:$EU,COLUMN(基本資料填寫!CF41),0),"")</f>
        <v/>
      </c>
      <c r="AI44" s="314" t="str">
        <f>IFERROR(VLOOKUP(基本資料填寫!$E$1&amp;"-"&amp;ROW(書籍檔建置!CC41),基本資料填寫!$E:$EU,COLUMN(基本資料填寫!CG41),0),"")</f>
        <v/>
      </c>
      <c r="AJ44" s="314" t="str">
        <f>IFERROR(VLOOKUP(基本資料填寫!$E$1&amp;"-"&amp;ROW(書籍檔建置!H41),基本資料填寫!$E:$EU,COLUMN(基本資料填寫!K41),0),"")</f>
        <v/>
      </c>
      <c r="AK44" s="314" t="str">
        <f>IFERROR(VLOOKUP(基本資料填寫!$E$1&amp;"-"&amp;ROW(書籍檔建置!CF41),基本資料填寫!$E:$EU,COLUMN(基本資料填寫!CJ41),0),"")</f>
        <v/>
      </c>
      <c r="AL44" s="314" t="str">
        <f>IFERROR(VLOOKUP(基本資料填寫!$E$1&amp;"-"&amp;ROW(書籍檔建置!CG41),基本資料填寫!$E:$EU,COLUMN(基本資料填寫!CK41),0),"")</f>
        <v/>
      </c>
      <c r="AM44" s="314" t="str">
        <f>IFERROR(VLOOKUP(基本資料填寫!$E$1&amp;"-"&amp;ROW(書籍檔建置!BP41),基本資料填寫!$E:$EU,COLUMN(基本資料填寫!BT41),0),"")</f>
        <v/>
      </c>
      <c r="AN44" s="153"/>
    </row>
    <row r="45" spans="2:40" x14ac:dyDescent="0.3">
      <c r="B45" s="47" t="str">
        <f>IF(F45="","",COUNTA($F$4:F45))</f>
        <v/>
      </c>
      <c r="C45" s="314" t="str">
        <f>IFERROR(VLOOKUP(基本資料填寫!$E$1&amp;"-"&amp;ROW(書籍檔建置!K42),基本資料填寫!$E:$EU,COLUMN(基本資料填寫!O42),0),"")</f>
        <v/>
      </c>
      <c r="D45" s="314" t="str">
        <f>IFERROR(VLOOKUP(基本資料填寫!$E$1&amp;"-"&amp;ROW(書籍檔建置!N42),基本資料填寫!$E:$EU,COLUMN(基本資料填寫!R42),0),"")</f>
        <v/>
      </c>
      <c r="E45" s="314" t="str">
        <f>IFERROR(VLOOKUP(基本資料填寫!$E$1&amp;"-"&amp;ROW(書籍檔建置!AF42),基本資料填寫!$E:$EU,COLUMN(基本資料填寫!AJ42),0),"")</f>
        <v/>
      </c>
      <c r="F45" s="314" t="str">
        <f>IFERROR(VLOOKUP(基本資料填寫!$E$1&amp;"-"&amp;ROW(書籍檔建置!J42),基本資料填寫!$E:$EU,COLUMN(基本資料填寫!N42),0),"")</f>
        <v/>
      </c>
      <c r="G45" s="314" t="str">
        <f>IFERROR(VLOOKUP(基本資料填寫!$E$1&amp;"-"&amp;ROW(書籍檔建置!BO42),基本資料填寫!$E:$EU,COLUMN(基本資料填寫!BS42),0),"")</f>
        <v/>
      </c>
      <c r="H45" s="314" t="str">
        <f>IFERROR(VLOOKUP(基本資料填寫!$E$1&amp;"-"&amp;ROW(書籍檔建置!R42),基本資料填寫!$E:$EU,COLUMN(基本資料填寫!V42),0),"")</f>
        <v/>
      </c>
      <c r="I45" s="315" t="str">
        <f>IFERROR(VLOOKUP(基本資料填寫!$E$1&amp;"-"&amp;ROW(書籍檔建置!BQ42),基本資料填寫!$E:$EU,COLUMN(基本資料填寫!BU42),0),"")</f>
        <v/>
      </c>
      <c r="J45" s="314" t="str">
        <f>IFERROR(VLOOKUP(基本資料填寫!$E$1&amp;"-"&amp;ROW(書籍檔建置!BW42),基本資料填寫!$E:$EU,COLUMN(基本資料填寫!CA42),0),"")</f>
        <v/>
      </c>
      <c r="K45" s="314" t="str">
        <f>IFERROR(VLOOKUP(基本資料填寫!$E$1&amp;"-"&amp;ROW(書籍檔建置!BR42),基本資料填寫!$E:$EU,COLUMN(基本資料填寫!BV42),0),"")</f>
        <v/>
      </c>
      <c r="L45" s="314" t="str">
        <f>IFERROR(VLOOKUP(基本資料填寫!$E$1&amp;"-"&amp;ROW(書籍檔建置!BS42),基本資料填寫!$E:$EU,COLUMN(基本資料填寫!BW42),0),"")</f>
        <v/>
      </c>
      <c r="M45" s="166" t="str">
        <f>IFERROR(VLOOKUP(基本資料填寫!$E$1&amp;"-"&amp;ROW(書籍檔建置!BK42),基本資料填寫!$E:$EU,COLUMN(基本資料填寫!BO42),0),"")</f>
        <v/>
      </c>
      <c r="N45" s="314" t="str">
        <f>IFERROR(VLOOKUP(基本資料填寫!$E$1&amp;"-"&amp;ROW(書籍檔建置!AG42),基本資料填寫!$E:$EU,COLUMN(基本資料填寫!AK42),0),"")</f>
        <v/>
      </c>
      <c r="O45" s="314" t="str">
        <f>IFERROR(VLOOKUP(基本資料填寫!$E$1&amp;"-"&amp;ROW(書籍檔建置!BT42),基本資料填寫!$E:$EU,COLUMN(基本資料填寫!BX42),0),"")</f>
        <v/>
      </c>
      <c r="P45" s="314" t="str">
        <f>IFERROR(VLOOKUP(基本資料填寫!$E$1&amp;"-"&amp;ROW(書籍檔建置!BU42),基本資料填寫!$E:$EU,COLUMN(基本資料填寫!BY42),0),"")</f>
        <v/>
      </c>
      <c r="Q45" s="314" t="str">
        <f>IFERROR(VLOOKUP(基本資料填寫!$E$1&amp;"-"&amp;ROW(書籍檔建置!BV42),基本資料填寫!$E:$EU,COLUMN(基本資料填寫!BZ42),0),"")</f>
        <v/>
      </c>
      <c r="R45" s="314" t="str">
        <f>IFERROR(VLOOKUP(基本資料填寫!$E$1&amp;"-"&amp;ROW(書籍檔建置!BX42),基本資料填寫!$E:$EU,COLUMN(基本資料填寫!CB42),0),"")</f>
        <v/>
      </c>
      <c r="S45" s="314" t="str">
        <f>IFERROR(VLOOKUP(基本資料填寫!$E$1&amp;"-"&amp;ROW(書籍檔建置!BY42),基本資料填寫!$E:$EU,COLUMN(基本資料填寫!CC42),0),"")</f>
        <v/>
      </c>
      <c r="T45" s="314" t="str">
        <f>IFERROR(VLOOKUP(基本資料填寫!$E$1&amp;"-"&amp;ROW(書籍檔建置!BZ42),基本資料填寫!$E:$EU,COLUMN(基本資料填寫!CD42),0),"")</f>
        <v/>
      </c>
      <c r="U45" s="314" t="str">
        <f>IFERROR(VLOOKUP(基本資料填寫!$E$1&amp;"-"&amp;ROW(書籍檔建置!CA42),基本資料填寫!$E:$EU,COLUMN(基本資料填寫!CE42),0),"")</f>
        <v/>
      </c>
      <c r="V45" s="166" t="str">
        <f>IFERROR(VLOOKUP(基本資料填寫!$E$1&amp;"-"&amp;ROW(書籍檔建置!BL42),基本資料填寫!$E:$EU,COLUMN(基本資料填寫!BP42),0),"")</f>
        <v/>
      </c>
      <c r="W45" s="178"/>
      <c r="X45" s="178"/>
      <c r="Y45" s="178"/>
      <c r="Z45" s="178"/>
      <c r="AA45" s="178"/>
      <c r="AB45" s="178"/>
      <c r="AC45" s="314" t="str">
        <f>IFERROR(VLOOKUP(基本資料填寫!$E$1&amp;"-"&amp;ROW(書籍檔建置!S42),基本資料填寫!$E:$EU,COLUMN(基本資料填寫!W42),0),"")</f>
        <v/>
      </c>
      <c r="AD45" s="166" t="str">
        <f>IFERROR(VLOOKUP(基本資料填寫!$E$1&amp;"-"&amp;ROW(書籍檔建置!BM42),基本資料填寫!$E:$EU,COLUMN(基本資料填寫!BQ42),0),"")</f>
        <v/>
      </c>
      <c r="AE45" s="178"/>
      <c r="AF45" s="178"/>
      <c r="AG45" s="178"/>
      <c r="AH45" s="314" t="str">
        <f>IFERROR(VLOOKUP(基本資料填寫!$E$1&amp;"-"&amp;ROW(書籍檔建置!CB42),基本資料填寫!$E:$EU,COLUMN(基本資料填寫!CF42),0),"")</f>
        <v/>
      </c>
      <c r="AI45" s="314" t="str">
        <f>IFERROR(VLOOKUP(基本資料填寫!$E$1&amp;"-"&amp;ROW(書籍檔建置!CC42),基本資料填寫!$E:$EU,COLUMN(基本資料填寫!CG42),0),"")</f>
        <v/>
      </c>
      <c r="AJ45" s="314" t="str">
        <f>IFERROR(VLOOKUP(基本資料填寫!$E$1&amp;"-"&amp;ROW(書籍檔建置!H42),基本資料填寫!$E:$EU,COLUMN(基本資料填寫!K42),0),"")</f>
        <v/>
      </c>
      <c r="AK45" s="314" t="str">
        <f>IFERROR(VLOOKUP(基本資料填寫!$E$1&amp;"-"&amp;ROW(書籍檔建置!CF42),基本資料填寫!$E:$EU,COLUMN(基本資料填寫!CJ42),0),"")</f>
        <v/>
      </c>
      <c r="AL45" s="314" t="str">
        <f>IFERROR(VLOOKUP(基本資料填寫!$E$1&amp;"-"&amp;ROW(書籍檔建置!CG42),基本資料填寫!$E:$EU,COLUMN(基本資料填寫!CK42),0),"")</f>
        <v/>
      </c>
      <c r="AM45" s="314" t="str">
        <f>IFERROR(VLOOKUP(基本資料填寫!$E$1&amp;"-"&amp;ROW(書籍檔建置!BP42),基本資料填寫!$E:$EU,COLUMN(基本資料填寫!BT42),0),"")</f>
        <v/>
      </c>
      <c r="AN45" s="153"/>
    </row>
    <row r="46" spans="2:40" x14ac:dyDescent="0.3">
      <c r="B46" s="47" t="str">
        <f>IF(F46="","",COUNTA($F$4:F46))</f>
        <v/>
      </c>
      <c r="C46" s="314" t="str">
        <f>IFERROR(VLOOKUP(基本資料填寫!$E$1&amp;"-"&amp;ROW(書籍檔建置!K43),基本資料填寫!$E:$EU,COLUMN(基本資料填寫!O43),0),"")</f>
        <v/>
      </c>
      <c r="D46" s="314" t="str">
        <f>IFERROR(VLOOKUP(基本資料填寫!$E$1&amp;"-"&amp;ROW(書籍檔建置!N43),基本資料填寫!$E:$EU,COLUMN(基本資料填寫!R43),0),"")</f>
        <v/>
      </c>
      <c r="E46" s="314" t="str">
        <f>IFERROR(VLOOKUP(基本資料填寫!$E$1&amp;"-"&amp;ROW(書籍檔建置!AF43),基本資料填寫!$E:$EU,COLUMN(基本資料填寫!AJ43),0),"")</f>
        <v/>
      </c>
      <c r="F46" s="314" t="str">
        <f>IFERROR(VLOOKUP(基本資料填寫!$E$1&amp;"-"&amp;ROW(書籍檔建置!J43),基本資料填寫!$E:$EU,COLUMN(基本資料填寫!N43),0),"")</f>
        <v/>
      </c>
      <c r="G46" s="314" t="str">
        <f>IFERROR(VLOOKUP(基本資料填寫!$E$1&amp;"-"&amp;ROW(書籍檔建置!BO43),基本資料填寫!$E:$EU,COLUMN(基本資料填寫!BS43),0),"")</f>
        <v/>
      </c>
      <c r="H46" s="314" t="str">
        <f>IFERROR(VLOOKUP(基本資料填寫!$E$1&amp;"-"&amp;ROW(書籍檔建置!R43),基本資料填寫!$E:$EU,COLUMN(基本資料填寫!V43),0),"")</f>
        <v/>
      </c>
      <c r="I46" s="315" t="str">
        <f>IFERROR(VLOOKUP(基本資料填寫!$E$1&amp;"-"&amp;ROW(書籍檔建置!BQ43),基本資料填寫!$E:$EU,COLUMN(基本資料填寫!BU43),0),"")</f>
        <v/>
      </c>
      <c r="J46" s="314" t="str">
        <f>IFERROR(VLOOKUP(基本資料填寫!$E$1&amp;"-"&amp;ROW(書籍檔建置!BW43),基本資料填寫!$E:$EU,COLUMN(基本資料填寫!CA43),0),"")</f>
        <v/>
      </c>
      <c r="K46" s="314" t="str">
        <f>IFERROR(VLOOKUP(基本資料填寫!$E$1&amp;"-"&amp;ROW(書籍檔建置!BR43),基本資料填寫!$E:$EU,COLUMN(基本資料填寫!BV43),0),"")</f>
        <v/>
      </c>
      <c r="L46" s="314" t="str">
        <f>IFERROR(VLOOKUP(基本資料填寫!$E$1&amp;"-"&amp;ROW(書籍檔建置!BS43),基本資料填寫!$E:$EU,COLUMN(基本資料填寫!BW43),0),"")</f>
        <v/>
      </c>
      <c r="M46" s="166" t="str">
        <f>IFERROR(VLOOKUP(基本資料填寫!$E$1&amp;"-"&amp;ROW(書籍檔建置!BK43),基本資料填寫!$E:$EU,COLUMN(基本資料填寫!BO43),0),"")</f>
        <v/>
      </c>
      <c r="N46" s="314" t="str">
        <f>IFERROR(VLOOKUP(基本資料填寫!$E$1&amp;"-"&amp;ROW(書籍檔建置!AG43),基本資料填寫!$E:$EU,COLUMN(基本資料填寫!AK43),0),"")</f>
        <v/>
      </c>
      <c r="O46" s="314" t="str">
        <f>IFERROR(VLOOKUP(基本資料填寫!$E$1&amp;"-"&amp;ROW(書籍檔建置!BT43),基本資料填寫!$E:$EU,COLUMN(基本資料填寫!BX43),0),"")</f>
        <v/>
      </c>
      <c r="P46" s="314" t="str">
        <f>IFERROR(VLOOKUP(基本資料填寫!$E$1&amp;"-"&amp;ROW(書籍檔建置!BU43),基本資料填寫!$E:$EU,COLUMN(基本資料填寫!BY43),0),"")</f>
        <v/>
      </c>
      <c r="Q46" s="314" t="str">
        <f>IFERROR(VLOOKUP(基本資料填寫!$E$1&amp;"-"&amp;ROW(書籍檔建置!BV43),基本資料填寫!$E:$EU,COLUMN(基本資料填寫!BZ43),0),"")</f>
        <v/>
      </c>
      <c r="R46" s="314" t="str">
        <f>IFERROR(VLOOKUP(基本資料填寫!$E$1&amp;"-"&amp;ROW(書籍檔建置!BX43),基本資料填寫!$E:$EU,COLUMN(基本資料填寫!CB43),0),"")</f>
        <v/>
      </c>
      <c r="S46" s="314" t="str">
        <f>IFERROR(VLOOKUP(基本資料填寫!$E$1&amp;"-"&amp;ROW(書籍檔建置!BY43),基本資料填寫!$E:$EU,COLUMN(基本資料填寫!CC43),0),"")</f>
        <v/>
      </c>
      <c r="T46" s="314" t="str">
        <f>IFERROR(VLOOKUP(基本資料填寫!$E$1&amp;"-"&amp;ROW(書籍檔建置!BZ43),基本資料填寫!$E:$EU,COLUMN(基本資料填寫!CD43),0),"")</f>
        <v/>
      </c>
      <c r="U46" s="314" t="str">
        <f>IFERROR(VLOOKUP(基本資料填寫!$E$1&amp;"-"&amp;ROW(書籍檔建置!CA43),基本資料填寫!$E:$EU,COLUMN(基本資料填寫!CE43),0),"")</f>
        <v/>
      </c>
      <c r="V46" s="166" t="str">
        <f>IFERROR(VLOOKUP(基本資料填寫!$E$1&amp;"-"&amp;ROW(書籍檔建置!BL43),基本資料填寫!$E:$EU,COLUMN(基本資料填寫!BP43),0),"")</f>
        <v/>
      </c>
      <c r="W46" s="178"/>
      <c r="X46" s="178"/>
      <c r="Y46" s="178"/>
      <c r="Z46" s="178"/>
      <c r="AA46" s="178"/>
      <c r="AB46" s="178"/>
      <c r="AC46" s="314" t="str">
        <f>IFERROR(VLOOKUP(基本資料填寫!$E$1&amp;"-"&amp;ROW(書籍檔建置!S43),基本資料填寫!$E:$EU,COLUMN(基本資料填寫!W43),0),"")</f>
        <v/>
      </c>
      <c r="AD46" s="166" t="str">
        <f>IFERROR(VLOOKUP(基本資料填寫!$E$1&amp;"-"&amp;ROW(書籍檔建置!BM43),基本資料填寫!$E:$EU,COLUMN(基本資料填寫!BQ43),0),"")</f>
        <v/>
      </c>
      <c r="AE46" s="178"/>
      <c r="AF46" s="178"/>
      <c r="AG46" s="178"/>
      <c r="AH46" s="314" t="str">
        <f>IFERROR(VLOOKUP(基本資料填寫!$E$1&amp;"-"&amp;ROW(書籍檔建置!CB43),基本資料填寫!$E:$EU,COLUMN(基本資料填寫!CF43),0),"")</f>
        <v/>
      </c>
      <c r="AI46" s="314" t="str">
        <f>IFERROR(VLOOKUP(基本資料填寫!$E$1&amp;"-"&amp;ROW(書籍檔建置!CC43),基本資料填寫!$E:$EU,COLUMN(基本資料填寫!CG43),0),"")</f>
        <v/>
      </c>
      <c r="AJ46" s="314" t="str">
        <f>IFERROR(VLOOKUP(基本資料填寫!$E$1&amp;"-"&amp;ROW(書籍檔建置!H43),基本資料填寫!$E:$EU,COLUMN(基本資料填寫!K43),0),"")</f>
        <v/>
      </c>
      <c r="AK46" s="314" t="str">
        <f>IFERROR(VLOOKUP(基本資料填寫!$E$1&amp;"-"&amp;ROW(書籍檔建置!CF43),基本資料填寫!$E:$EU,COLUMN(基本資料填寫!CJ43),0),"")</f>
        <v/>
      </c>
      <c r="AL46" s="314" t="str">
        <f>IFERROR(VLOOKUP(基本資料填寫!$E$1&amp;"-"&amp;ROW(書籍檔建置!CG43),基本資料填寫!$E:$EU,COLUMN(基本資料填寫!CK43),0),"")</f>
        <v/>
      </c>
      <c r="AM46" s="314" t="str">
        <f>IFERROR(VLOOKUP(基本資料填寫!$E$1&amp;"-"&amp;ROW(書籍檔建置!BP43),基本資料填寫!$E:$EU,COLUMN(基本資料填寫!BT43),0),"")</f>
        <v/>
      </c>
      <c r="AN46" s="153"/>
    </row>
    <row r="47" spans="2:40" x14ac:dyDescent="0.3">
      <c r="B47" s="47" t="str">
        <f>IF(F47="","",COUNTA($F$4:F47))</f>
        <v/>
      </c>
      <c r="C47" s="314" t="str">
        <f>IFERROR(VLOOKUP(基本資料填寫!$E$1&amp;"-"&amp;ROW(書籍檔建置!K44),基本資料填寫!$E:$EU,COLUMN(基本資料填寫!O44),0),"")</f>
        <v/>
      </c>
      <c r="D47" s="314" t="str">
        <f>IFERROR(VLOOKUP(基本資料填寫!$E$1&amp;"-"&amp;ROW(書籍檔建置!N44),基本資料填寫!$E:$EU,COLUMN(基本資料填寫!R44),0),"")</f>
        <v/>
      </c>
      <c r="E47" s="314" t="str">
        <f>IFERROR(VLOOKUP(基本資料填寫!$E$1&amp;"-"&amp;ROW(書籍檔建置!AF44),基本資料填寫!$E:$EU,COLUMN(基本資料填寫!AJ44),0),"")</f>
        <v/>
      </c>
      <c r="F47" s="314" t="str">
        <f>IFERROR(VLOOKUP(基本資料填寫!$E$1&amp;"-"&amp;ROW(書籍檔建置!J44),基本資料填寫!$E:$EU,COLUMN(基本資料填寫!N44),0),"")</f>
        <v/>
      </c>
      <c r="G47" s="314" t="str">
        <f>IFERROR(VLOOKUP(基本資料填寫!$E$1&amp;"-"&amp;ROW(書籍檔建置!BO44),基本資料填寫!$E:$EU,COLUMN(基本資料填寫!BS44),0),"")</f>
        <v/>
      </c>
      <c r="H47" s="314" t="str">
        <f>IFERROR(VLOOKUP(基本資料填寫!$E$1&amp;"-"&amp;ROW(書籍檔建置!R44),基本資料填寫!$E:$EU,COLUMN(基本資料填寫!V44),0),"")</f>
        <v/>
      </c>
      <c r="I47" s="315" t="str">
        <f>IFERROR(VLOOKUP(基本資料填寫!$E$1&amp;"-"&amp;ROW(書籍檔建置!BQ44),基本資料填寫!$E:$EU,COLUMN(基本資料填寫!BU44),0),"")</f>
        <v/>
      </c>
      <c r="J47" s="314" t="str">
        <f>IFERROR(VLOOKUP(基本資料填寫!$E$1&amp;"-"&amp;ROW(書籍檔建置!BW44),基本資料填寫!$E:$EU,COLUMN(基本資料填寫!CA44),0),"")</f>
        <v/>
      </c>
      <c r="K47" s="314" t="str">
        <f>IFERROR(VLOOKUP(基本資料填寫!$E$1&amp;"-"&amp;ROW(書籍檔建置!BR44),基本資料填寫!$E:$EU,COLUMN(基本資料填寫!BV44),0),"")</f>
        <v/>
      </c>
      <c r="L47" s="314" t="str">
        <f>IFERROR(VLOOKUP(基本資料填寫!$E$1&amp;"-"&amp;ROW(書籍檔建置!BS44),基本資料填寫!$E:$EU,COLUMN(基本資料填寫!BW44),0),"")</f>
        <v/>
      </c>
      <c r="M47" s="166" t="str">
        <f>IFERROR(VLOOKUP(基本資料填寫!$E$1&amp;"-"&amp;ROW(書籍檔建置!BK44),基本資料填寫!$E:$EU,COLUMN(基本資料填寫!BO44),0),"")</f>
        <v/>
      </c>
      <c r="N47" s="314" t="str">
        <f>IFERROR(VLOOKUP(基本資料填寫!$E$1&amp;"-"&amp;ROW(書籍檔建置!AG44),基本資料填寫!$E:$EU,COLUMN(基本資料填寫!AK44),0),"")</f>
        <v/>
      </c>
      <c r="O47" s="314" t="str">
        <f>IFERROR(VLOOKUP(基本資料填寫!$E$1&amp;"-"&amp;ROW(書籍檔建置!BT44),基本資料填寫!$E:$EU,COLUMN(基本資料填寫!BX44),0),"")</f>
        <v/>
      </c>
      <c r="P47" s="314" t="str">
        <f>IFERROR(VLOOKUP(基本資料填寫!$E$1&amp;"-"&amp;ROW(書籍檔建置!BU44),基本資料填寫!$E:$EU,COLUMN(基本資料填寫!BY44),0),"")</f>
        <v/>
      </c>
      <c r="Q47" s="314" t="str">
        <f>IFERROR(VLOOKUP(基本資料填寫!$E$1&amp;"-"&amp;ROW(書籍檔建置!BV44),基本資料填寫!$E:$EU,COLUMN(基本資料填寫!BZ44),0),"")</f>
        <v/>
      </c>
      <c r="R47" s="314" t="str">
        <f>IFERROR(VLOOKUP(基本資料填寫!$E$1&amp;"-"&amp;ROW(書籍檔建置!BX44),基本資料填寫!$E:$EU,COLUMN(基本資料填寫!CB44),0),"")</f>
        <v/>
      </c>
      <c r="S47" s="314" t="str">
        <f>IFERROR(VLOOKUP(基本資料填寫!$E$1&amp;"-"&amp;ROW(書籍檔建置!BY44),基本資料填寫!$E:$EU,COLUMN(基本資料填寫!CC44),0),"")</f>
        <v/>
      </c>
      <c r="T47" s="314" t="str">
        <f>IFERROR(VLOOKUP(基本資料填寫!$E$1&amp;"-"&amp;ROW(書籍檔建置!BZ44),基本資料填寫!$E:$EU,COLUMN(基本資料填寫!CD44),0),"")</f>
        <v/>
      </c>
      <c r="U47" s="314" t="str">
        <f>IFERROR(VLOOKUP(基本資料填寫!$E$1&amp;"-"&amp;ROW(書籍檔建置!CA44),基本資料填寫!$E:$EU,COLUMN(基本資料填寫!CE44),0),"")</f>
        <v/>
      </c>
      <c r="V47" s="166" t="str">
        <f>IFERROR(VLOOKUP(基本資料填寫!$E$1&amp;"-"&amp;ROW(書籍檔建置!BL44),基本資料填寫!$E:$EU,COLUMN(基本資料填寫!BP44),0),"")</f>
        <v/>
      </c>
      <c r="W47" s="178"/>
      <c r="X47" s="178"/>
      <c r="Y47" s="178"/>
      <c r="Z47" s="178"/>
      <c r="AA47" s="178"/>
      <c r="AB47" s="178"/>
      <c r="AC47" s="314" t="str">
        <f>IFERROR(VLOOKUP(基本資料填寫!$E$1&amp;"-"&amp;ROW(書籍檔建置!S44),基本資料填寫!$E:$EU,COLUMN(基本資料填寫!W44),0),"")</f>
        <v/>
      </c>
      <c r="AD47" s="166" t="str">
        <f>IFERROR(VLOOKUP(基本資料填寫!$E$1&amp;"-"&amp;ROW(書籍檔建置!BM44),基本資料填寫!$E:$EU,COLUMN(基本資料填寫!BQ44),0),"")</f>
        <v/>
      </c>
      <c r="AE47" s="178"/>
      <c r="AF47" s="178"/>
      <c r="AG47" s="178"/>
      <c r="AH47" s="314" t="str">
        <f>IFERROR(VLOOKUP(基本資料填寫!$E$1&amp;"-"&amp;ROW(書籍檔建置!CB44),基本資料填寫!$E:$EU,COLUMN(基本資料填寫!CF44),0),"")</f>
        <v/>
      </c>
      <c r="AI47" s="314" t="str">
        <f>IFERROR(VLOOKUP(基本資料填寫!$E$1&amp;"-"&amp;ROW(書籍檔建置!CC44),基本資料填寫!$E:$EU,COLUMN(基本資料填寫!CG44),0),"")</f>
        <v/>
      </c>
      <c r="AJ47" s="314" t="str">
        <f>IFERROR(VLOOKUP(基本資料填寫!$E$1&amp;"-"&amp;ROW(書籍檔建置!H44),基本資料填寫!$E:$EU,COLUMN(基本資料填寫!K44),0),"")</f>
        <v/>
      </c>
      <c r="AK47" s="314" t="str">
        <f>IFERROR(VLOOKUP(基本資料填寫!$E$1&amp;"-"&amp;ROW(書籍檔建置!CF44),基本資料填寫!$E:$EU,COLUMN(基本資料填寫!CJ44),0),"")</f>
        <v/>
      </c>
      <c r="AL47" s="314" t="str">
        <f>IFERROR(VLOOKUP(基本資料填寫!$E$1&amp;"-"&amp;ROW(書籍檔建置!CG44),基本資料填寫!$E:$EU,COLUMN(基本資料填寫!CK44),0),"")</f>
        <v/>
      </c>
      <c r="AM47" s="314" t="str">
        <f>IFERROR(VLOOKUP(基本資料填寫!$E$1&amp;"-"&amp;ROW(書籍檔建置!BP44),基本資料填寫!$E:$EU,COLUMN(基本資料填寫!BT44),0),"")</f>
        <v/>
      </c>
      <c r="AN47" s="153"/>
    </row>
    <row r="48" spans="2:40" x14ac:dyDescent="0.3">
      <c r="B48" s="47" t="str">
        <f>IF(F48="","",COUNTA($F$4:F48))</f>
        <v/>
      </c>
      <c r="C48" s="314" t="str">
        <f>IFERROR(VLOOKUP(基本資料填寫!$E$1&amp;"-"&amp;ROW(書籍檔建置!K45),基本資料填寫!$E:$EU,COLUMN(基本資料填寫!O45),0),"")</f>
        <v/>
      </c>
      <c r="D48" s="314" t="str">
        <f>IFERROR(VLOOKUP(基本資料填寫!$E$1&amp;"-"&amp;ROW(書籍檔建置!N45),基本資料填寫!$E:$EU,COLUMN(基本資料填寫!R45),0),"")</f>
        <v/>
      </c>
      <c r="E48" s="314" t="str">
        <f>IFERROR(VLOOKUP(基本資料填寫!$E$1&amp;"-"&amp;ROW(書籍檔建置!AF45),基本資料填寫!$E:$EU,COLUMN(基本資料填寫!AJ45),0),"")</f>
        <v/>
      </c>
      <c r="F48" s="314" t="str">
        <f>IFERROR(VLOOKUP(基本資料填寫!$E$1&amp;"-"&amp;ROW(書籍檔建置!J45),基本資料填寫!$E:$EU,COLUMN(基本資料填寫!N45),0),"")</f>
        <v/>
      </c>
      <c r="G48" s="314" t="str">
        <f>IFERROR(VLOOKUP(基本資料填寫!$E$1&amp;"-"&amp;ROW(書籍檔建置!BO45),基本資料填寫!$E:$EU,COLUMN(基本資料填寫!BS45),0),"")</f>
        <v/>
      </c>
      <c r="H48" s="314" t="str">
        <f>IFERROR(VLOOKUP(基本資料填寫!$E$1&amp;"-"&amp;ROW(書籍檔建置!R45),基本資料填寫!$E:$EU,COLUMN(基本資料填寫!V45),0),"")</f>
        <v/>
      </c>
      <c r="I48" s="315" t="str">
        <f>IFERROR(VLOOKUP(基本資料填寫!$E$1&amp;"-"&amp;ROW(書籍檔建置!BQ45),基本資料填寫!$E:$EU,COLUMN(基本資料填寫!BU45),0),"")</f>
        <v/>
      </c>
      <c r="J48" s="314" t="str">
        <f>IFERROR(VLOOKUP(基本資料填寫!$E$1&amp;"-"&amp;ROW(書籍檔建置!BW45),基本資料填寫!$E:$EU,COLUMN(基本資料填寫!CA45),0),"")</f>
        <v/>
      </c>
      <c r="K48" s="314" t="str">
        <f>IFERROR(VLOOKUP(基本資料填寫!$E$1&amp;"-"&amp;ROW(書籍檔建置!BR45),基本資料填寫!$E:$EU,COLUMN(基本資料填寫!BV45),0),"")</f>
        <v/>
      </c>
      <c r="L48" s="314" t="str">
        <f>IFERROR(VLOOKUP(基本資料填寫!$E$1&amp;"-"&amp;ROW(書籍檔建置!BS45),基本資料填寫!$E:$EU,COLUMN(基本資料填寫!BW45),0),"")</f>
        <v/>
      </c>
      <c r="M48" s="166" t="str">
        <f>IFERROR(VLOOKUP(基本資料填寫!$E$1&amp;"-"&amp;ROW(書籍檔建置!BK45),基本資料填寫!$E:$EU,COLUMN(基本資料填寫!BO45),0),"")</f>
        <v/>
      </c>
      <c r="N48" s="314" t="str">
        <f>IFERROR(VLOOKUP(基本資料填寫!$E$1&amp;"-"&amp;ROW(書籍檔建置!AG45),基本資料填寫!$E:$EU,COLUMN(基本資料填寫!AK45),0),"")</f>
        <v/>
      </c>
      <c r="O48" s="314" t="str">
        <f>IFERROR(VLOOKUP(基本資料填寫!$E$1&amp;"-"&amp;ROW(書籍檔建置!BT45),基本資料填寫!$E:$EU,COLUMN(基本資料填寫!BX45),0),"")</f>
        <v/>
      </c>
      <c r="P48" s="314" t="str">
        <f>IFERROR(VLOOKUP(基本資料填寫!$E$1&amp;"-"&amp;ROW(書籍檔建置!BU45),基本資料填寫!$E:$EU,COLUMN(基本資料填寫!BY45),0),"")</f>
        <v/>
      </c>
      <c r="Q48" s="314" t="str">
        <f>IFERROR(VLOOKUP(基本資料填寫!$E$1&amp;"-"&amp;ROW(書籍檔建置!BV45),基本資料填寫!$E:$EU,COLUMN(基本資料填寫!BZ45),0),"")</f>
        <v/>
      </c>
      <c r="R48" s="314" t="str">
        <f>IFERROR(VLOOKUP(基本資料填寫!$E$1&amp;"-"&amp;ROW(書籍檔建置!BX45),基本資料填寫!$E:$EU,COLUMN(基本資料填寫!CB45),0),"")</f>
        <v/>
      </c>
      <c r="S48" s="314" t="str">
        <f>IFERROR(VLOOKUP(基本資料填寫!$E$1&amp;"-"&amp;ROW(書籍檔建置!BY45),基本資料填寫!$E:$EU,COLUMN(基本資料填寫!CC45),0),"")</f>
        <v/>
      </c>
      <c r="T48" s="314" t="str">
        <f>IFERROR(VLOOKUP(基本資料填寫!$E$1&amp;"-"&amp;ROW(書籍檔建置!BZ45),基本資料填寫!$E:$EU,COLUMN(基本資料填寫!CD45),0),"")</f>
        <v/>
      </c>
      <c r="U48" s="314" t="str">
        <f>IFERROR(VLOOKUP(基本資料填寫!$E$1&amp;"-"&amp;ROW(書籍檔建置!CA45),基本資料填寫!$E:$EU,COLUMN(基本資料填寫!CE45),0),"")</f>
        <v/>
      </c>
      <c r="V48" s="166" t="str">
        <f>IFERROR(VLOOKUP(基本資料填寫!$E$1&amp;"-"&amp;ROW(書籍檔建置!BL45),基本資料填寫!$E:$EU,COLUMN(基本資料填寫!BP45),0),"")</f>
        <v/>
      </c>
      <c r="W48" s="178"/>
      <c r="X48" s="178"/>
      <c r="Y48" s="178"/>
      <c r="Z48" s="178"/>
      <c r="AA48" s="178"/>
      <c r="AB48" s="178"/>
      <c r="AC48" s="314" t="str">
        <f>IFERROR(VLOOKUP(基本資料填寫!$E$1&amp;"-"&amp;ROW(書籍檔建置!S45),基本資料填寫!$E:$EU,COLUMN(基本資料填寫!W45),0),"")</f>
        <v/>
      </c>
      <c r="AD48" s="166" t="str">
        <f>IFERROR(VLOOKUP(基本資料填寫!$E$1&amp;"-"&amp;ROW(書籍檔建置!BM45),基本資料填寫!$E:$EU,COLUMN(基本資料填寫!BQ45),0),"")</f>
        <v/>
      </c>
      <c r="AE48" s="178"/>
      <c r="AF48" s="178"/>
      <c r="AG48" s="178"/>
      <c r="AH48" s="314" t="str">
        <f>IFERROR(VLOOKUP(基本資料填寫!$E$1&amp;"-"&amp;ROW(書籍檔建置!CB45),基本資料填寫!$E:$EU,COLUMN(基本資料填寫!CF45),0),"")</f>
        <v/>
      </c>
      <c r="AI48" s="314" t="str">
        <f>IFERROR(VLOOKUP(基本資料填寫!$E$1&amp;"-"&amp;ROW(書籍檔建置!CC45),基本資料填寫!$E:$EU,COLUMN(基本資料填寫!CG45),0),"")</f>
        <v/>
      </c>
      <c r="AJ48" s="314" t="str">
        <f>IFERROR(VLOOKUP(基本資料填寫!$E$1&amp;"-"&amp;ROW(書籍檔建置!H45),基本資料填寫!$E:$EU,COLUMN(基本資料填寫!K45),0),"")</f>
        <v/>
      </c>
      <c r="AK48" s="314" t="str">
        <f>IFERROR(VLOOKUP(基本資料填寫!$E$1&amp;"-"&amp;ROW(書籍檔建置!CF45),基本資料填寫!$E:$EU,COLUMN(基本資料填寫!CJ45),0),"")</f>
        <v/>
      </c>
      <c r="AL48" s="314" t="str">
        <f>IFERROR(VLOOKUP(基本資料填寫!$E$1&amp;"-"&amp;ROW(書籍檔建置!CG45),基本資料填寫!$E:$EU,COLUMN(基本資料填寫!CK45),0),"")</f>
        <v/>
      </c>
      <c r="AM48" s="314" t="str">
        <f>IFERROR(VLOOKUP(基本資料填寫!$E$1&amp;"-"&amp;ROW(書籍檔建置!BP45),基本資料填寫!$E:$EU,COLUMN(基本資料填寫!BT45),0),"")</f>
        <v/>
      </c>
      <c r="AN48" s="153"/>
    </row>
    <row r="49" spans="2:40" x14ac:dyDescent="0.3">
      <c r="B49" s="47" t="str">
        <f>IF(F49="","",COUNTA($F$4:F49))</f>
        <v/>
      </c>
      <c r="C49" s="314" t="str">
        <f>IFERROR(VLOOKUP(基本資料填寫!$E$1&amp;"-"&amp;ROW(書籍檔建置!K46),基本資料填寫!$E:$EU,COLUMN(基本資料填寫!O46),0),"")</f>
        <v/>
      </c>
      <c r="D49" s="314" t="str">
        <f>IFERROR(VLOOKUP(基本資料填寫!$E$1&amp;"-"&amp;ROW(書籍檔建置!N46),基本資料填寫!$E:$EU,COLUMN(基本資料填寫!R46),0),"")</f>
        <v/>
      </c>
      <c r="E49" s="314" t="str">
        <f>IFERROR(VLOOKUP(基本資料填寫!$E$1&amp;"-"&amp;ROW(書籍檔建置!AF46),基本資料填寫!$E:$EU,COLUMN(基本資料填寫!AJ46),0),"")</f>
        <v/>
      </c>
      <c r="F49" s="314" t="str">
        <f>IFERROR(VLOOKUP(基本資料填寫!$E$1&amp;"-"&amp;ROW(書籍檔建置!J46),基本資料填寫!$E:$EU,COLUMN(基本資料填寫!N46),0),"")</f>
        <v/>
      </c>
      <c r="G49" s="314" t="str">
        <f>IFERROR(VLOOKUP(基本資料填寫!$E$1&amp;"-"&amp;ROW(書籍檔建置!BO46),基本資料填寫!$E:$EU,COLUMN(基本資料填寫!BS46),0),"")</f>
        <v/>
      </c>
      <c r="H49" s="314" t="str">
        <f>IFERROR(VLOOKUP(基本資料填寫!$E$1&amp;"-"&amp;ROW(書籍檔建置!R46),基本資料填寫!$E:$EU,COLUMN(基本資料填寫!V46),0),"")</f>
        <v/>
      </c>
      <c r="I49" s="315" t="str">
        <f>IFERROR(VLOOKUP(基本資料填寫!$E$1&amp;"-"&amp;ROW(書籍檔建置!BQ46),基本資料填寫!$E:$EU,COLUMN(基本資料填寫!BU46),0),"")</f>
        <v/>
      </c>
      <c r="J49" s="314" t="str">
        <f>IFERROR(VLOOKUP(基本資料填寫!$E$1&amp;"-"&amp;ROW(書籍檔建置!BW46),基本資料填寫!$E:$EU,COLUMN(基本資料填寫!CA46),0),"")</f>
        <v/>
      </c>
      <c r="K49" s="314" t="str">
        <f>IFERROR(VLOOKUP(基本資料填寫!$E$1&amp;"-"&amp;ROW(書籍檔建置!BR46),基本資料填寫!$E:$EU,COLUMN(基本資料填寫!BV46),0),"")</f>
        <v/>
      </c>
      <c r="L49" s="314" t="str">
        <f>IFERROR(VLOOKUP(基本資料填寫!$E$1&amp;"-"&amp;ROW(書籍檔建置!BS46),基本資料填寫!$E:$EU,COLUMN(基本資料填寫!BW46),0),"")</f>
        <v/>
      </c>
      <c r="M49" s="166" t="str">
        <f>IFERROR(VLOOKUP(基本資料填寫!$E$1&amp;"-"&amp;ROW(書籍檔建置!BK46),基本資料填寫!$E:$EU,COLUMN(基本資料填寫!BO46),0),"")</f>
        <v/>
      </c>
      <c r="N49" s="314" t="str">
        <f>IFERROR(VLOOKUP(基本資料填寫!$E$1&amp;"-"&amp;ROW(書籍檔建置!AG46),基本資料填寫!$E:$EU,COLUMN(基本資料填寫!AK46),0),"")</f>
        <v/>
      </c>
      <c r="O49" s="314" t="str">
        <f>IFERROR(VLOOKUP(基本資料填寫!$E$1&amp;"-"&amp;ROW(書籍檔建置!BT46),基本資料填寫!$E:$EU,COLUMN(基本資料填寫!BX46),0),"")</f>
        <v/>
      </c>
      <c r="P49" s="314" t="str">
        <f>IFERROR(VLOOKUP(基本資料填寫!$E$1&amp;"-"&amp;ROW(書籍檔建置!BU46),基本資料填寫!$E:$EU,COLUMN(基本資料填寫!BY46),0),"")</f>
        <v/>
      </c>
      <c r="Q49" s="314" t="str">
        <f>IFERROR(VLOOKUP(基本資料填寫!$E$1&amp;"-"&amp;ROW(書籍檔建置!BV46),基本資料填寫!$E:$EU,COLUMN(基本資料填寫!BZ46),0),"")</f>
        <v/>
      </c>
      <c r="R49" s="314" t="str">
        <f>IFERROR(VLOOKUP(基本資料填寫!$E$1&amp;"-"&amp;ROW(書籍檔建置!BX46),基本資料填寫!$E:$EU,COLUMN(基本資料填寫!CB46),0),"")</f>
        <v/>
      </c>
      <c r="S49" s="314" t="str">
        <f>IFERROR(VLOOKUP(基本資料填寫!$E$1&amp;"-"&amp;ROW(書籍檔建置!BY46),基本資料填寫!$E:$EU,COLUMN(基本資料填寫!CC46),0),"")</f>
        <v/>
      </c>
      <c r="T49" s="314" t="str">
        <f>IFERROR(VLOOKUP(基本資料填寫!$E$1&amp;"-"&amp;ROW(書籍檔建置!BZ46),基本資料填寫!$E:$EU,COLUMN(基本資料填寫!CD46),0),"")</f>
        <v/>
      </c>
      <c r="U49" s="314" t="str">
        <f>IFERROR(VLOOKUP(基本資料填寫!$E$1&amp;"-"&amp;ROW(書籍檔建置!CA46),基本資料填寫!$E:$EU,COLUMN(基本資料填寫!CE46),0),"")</f>
        <v/>
      </c>
      <c r="V49" s="166" t="str">
        <f>IFERROR(VLOOKUP(基本資料填寫!$E$1&amp;"-"&amp;ROW(書籍檔建置!BL46),基本資料填寫!$E:$EU,COLUMN(基本資料填寫!BP46),0),"")</f>
        <v/>
      </c>
      <c r="W49" s="178"/>
      <c r="X49" s="178"/>
      <c r="Y49" s="178"/>
      <c r="Z49" s="178"/>
      <c r="AA49" s="178"/>
      <c r="AB49" s="178"/>
      <c r="AC49" s="314" t="str">
        <f>IFERROR(VLOOKUP(基本資料填寫!$E$1&amp;"-"&amp;ROW(書籍檔建置!S46),基本資料填寫!$E:$EU,COLUMN(基本資料填寫!W46),0),"")</f>
        <v/>
      </c>
      <c r="AD49" s="166" t="str">
        <f>IFERROR(VLOOKUP(基本資料填寫!$E$1&amp;"-"&amp;ROW(書籍檔建置!BM46),基本資料填寫!$E:$EU,COLUMN(基本資料填寫!BQ46),0),"")</f>
        <v/>
      </c>
      <c r="AE49" s="178"/>
      <c r="AF49" s="178"/>
      <c r="AG49" s="178"/>
      <c r="AH49" s="314" t="str">
        <f>IFERROR(VLOOKUP(基本資料填寫!$E$1&amp;"-"&amp;ROW(書籍檔建置!CB46),基本資料填寫!$E:$EU,COLUMN(基本資料填寫!CF46),0),"")</f>
        <v/>
      </c>
      <c r="AI49" s="314" t="str">
        <f>IFERROR(VLOOKUP(基本資料填寫!$E$1&amp;"-"&amp;ROW(書籍檔建置!CC46),基本資料填寫!$E:$EU,COLUMN(基本資料填寫!CG46),0),"")</f>
        <v/>
      </c>
      <c r="AJ49" s="314" t="str">
        <f>IFERROR(VLOOKUP(基本資料填寫!$E$1&amp;"-"&amp;ROW(書籍檔建置!H46),基本資料填寫!$E:$EU,COLUMN(基本資料填寫!K46),0),"")</f>
        <v/>
      </c>
      <c r="AK49" s="314" t="str">
        <f>IFERROR(VLOOKUP(基本資料填寫!$E$1&amp;"-"&amp;ROW(書籍檔建置!CF46),基本資料填寫!$E:$EU,COLUMN(基本資料填寫!CJ46),0),"")</f>
        <v/>
      </c>
      <c r="AL49" s="314" t="str">
        <f>IFERROR(VLOOKUP(基本資料填寫!$E$1&amp;"-"&amp;ROW(書籍檔建置!CG46),基本資料填寫!$E:$EU,COLUMN(基本資料填寫!CK46),0),"")</f>
        <v/>
      </c>
      <c r="AM49" s="314" t="str">
        <f>IFERROR(VLOOKUP(基本資料填寫!$E$1&amp;"-"&amp;ROW(書籍檔建置!BP46),基本資料填寫!$E:$EU,COLUMN(基本資料填寫!BT46),0),"")</f>
        <v/>
      </c>
      <c r="AN49" s="153"/>
    </row>
    <row r="50" spans="2:40" x14ac:dyDescent="0.3">
      <c r="B50" s="47" t="str">
        <f>IF(F50="","",COUNTA($F$4:F50))</f>
        <v/>
      </c>
      <c r="C50" s="314" t="str">
        <f>IFERROR(VLOOKUP(基本資料填寫!$E$1&amp;"-"&amp;ROW(書籍檔建置!K47),基本資料填寫!$E:$EU,COLUMN(基本資料填寫!O47),0),"")</f>
        <v/>
      </c>
      <c r="D50" s="314" t="str">
        <f>IFERROR(VLOOKUP(基本資料填寫!$E$1&amp;"-"&amp;ROW(書籍檔建置!N47),基本資料填寫!$E:$EU,COLUMN(基本資料填寫!R47),0),"")</f>
        <v/>
      </c>
      <c r="E50" s="314" t="str">
        <f>IFERROR(VLOOKUP(基本資料填寫!$E$1&amp;"-"&amp;ROW(書籍檔建置!AF47),基本資料填寫!$E:$EU,COLUMN(基本資料填寫!AJ47),0),"")</f>
        <v/>
      </c>
      <c r="F50" s="314" t="str">
        <f>IFERROR(VLOOKUP(基本資料填寫!$E$1&amp;"-"&amp;ROW(書籍檔建置!J47),基本資料填寫!$E:$EU,COLUMN(基本資料填寫!N47),0),"")</f>
        <v/>
      </c>
      <c r="G50" s="314" t="str">
        <f>IFERROR(VLOOKUP(基本資料填寫!$E$1&amp;"-"&amp;ROW(書籍檔建置!BO47),基本資料填寫!$E:$EU,COLUMN(基本資料填寫!BS47),0),"")</f>
        <v/>
      </c>
      <c r="H50" s="314" t="str">
        <f>IFERROR(VLOOKUP(基本資料填寫!$E$1&amp;"-"&amp;ROW(書籍檔建置!R47),基本資料填寫!$E:$EU,COLUMN(基本資料填寫!V47),0),"")</f>
        <v/>
      </c>
      <c r="I50" s="315" t="str">
        <f>IFERROR(VLOOKUP(基本資料填寫!$E$1&amp;"-"&amp;ROW(書籍檔建置!BQ47),基本資料填寫!$E:$EU,COLUMN(基本資料填寫!BU47),0),"")</f>
        <v/>
      </c>
      <c r="J50" s="314" t="str">
        <f>IFERROR(VLOOKUP(基本資料填寫!$E$1&amp;"-"&amp;ROW(書籍檔建置!BW47),基本資料填寫!$E:$EU,COLUMN(基本資料填寫!CA47),0),"")</f>
        <v/>
      </c>
      <c r="K50" s="314" t="str">
        <f>IFERROR(VLOOKUP(基本資料填寫!$E$1&amp;"-"&amp;ROW(書籍檔建置!BR47),基本資料填寫!$E:$EU,COLUMN(基本資料填寫!BV47),0),"")</f>
        <v/>
      </c>
      <c r="L50" s="314" t="str">
        <f>IFERROR(VLOOKUP(基本資料填寫!$E$1&amp;"-"&amp;ROW(書籍檔建置!BS47),基本資料填寫!$E:$EU,COLUMN(基本資料填寫!BW47),0),"")</f>
        <v/>
      </c>
      <c r="M50" s="166" t="str">
        <f>IFERROR(VLOOKUP(基本資料填寫!$E$1&amp;"-"&amp;ROW(書籍檔建置!BK47),基本資料填寫!$E:$EU,COLUMN(基本資料填寫!BO47),0),"")</f>
        <v/>
      </c>
      <c r="N50" s="314" t="str">
        <f>IFERROR(VLOOKUP(基本資料填寫!$E$1&amp;"-"&amp;ROW(書籍檔建置!AG47),基本資料填寫!$E:$EU,COLUMN(基本資料填寫!AK47),0),"")</f>
        <v/>
      </c>
      <c r="O50" s="314" t="str">
        <f>IFERROR(VLOOKUP(基本資料填寫!$E$1&amp;"-"&amp;ROW(書籍檔建置!BT47),基本資料填寫!$E:$EU,COLUMN(基本資料填寫!BX47),0),"")</f>
        <v/>
      </c>
      <c r="P50" s="314" t="str">
        <f>IFERROR(VLOOKUP(基本資料填寫!$E$1&amp;"-"&amp;ROW(書籍檔建置!BU47),基本資料填寫!$E:$EU,COLUMN(基本資料填寫!BY47),0),"")</f>
        <v/>
      </c>
      <c r="Q50" s="314" t="str">
        <f>IFERROR(VLOOKUP(基本資料填寫!$E$1&amp;"-"&amp;ROW(書籍檔建置!BV47),基本資料填寫!$E:$EU,COLUMN(基本資料填寫!BZ47),0),"")</f>
        <v/>
      </c>
      <c r="R50" s="314" t="str">
        <f>IFERROR(VLOOKUP(基本資料填寫!$E$1&amp;"-"&amp;ROW(書籍檔建置!BX47),基本資料填寫!$E:$EU,COLUMN(基本資料填寫!CB47),0),"")</f>
        <v/>
      </c>
      <c r="S50" s="314" t="str">
        <f>IFERROR(VLOOKUP(基本資料填寫!$E$1&amp;"-"&amp;ROW(書籍檔建置!BY47),基本資料填寫!$E:$EU,COLUMN(基本資料填寫!CC47),0),"")</f>
        <v/>
      </c>
      <c r="T50" s="314" t="str">
        <f>IFERROR(VLOOKUP(基本資料填寫!$E$1&amp;"-"&amp;ROW(書籍檔建置!BZ47),基本資料填寫!$E:$EU,COLUMN(基本資料填寫!CD47),0),"")</f>
        <v/>
      </c>
      <c r="U50" s="314" t="str">
        <f>IFERROR(VLOOKUP(基本資料填寫!$E$1&amp;"-"&amp;ROW(書籍檔建置!CA47),基本資料填寫!$E:$EU,COLUMN(基本資料填寫!CE47),0),"")</f>
        <v/>
      </c>
      <c r="V50" s="166" t="str">
        <f>IFERROR(VLOOKUP(基本資料填寫!$E$1&amp;"-"&amp;ROW(書籍檔建置!BL47),基本資料填寫!$E:$EU,COLUMN(基本資料填寫!BP47),0),"")</f>
        <v/>
      </c>
      <c r="W50" s="178"/>
      <c r="X50" s="178"/>
      <c r="Y50" s="178"/>
      <c r="Z50" s="178"/>
      <c r="AA50" s="178"/>
      <c r="AB50" s="178"/>
      <c r="AC50" s="314" t="str">
        <f>IFERROR(VLOOKUP(基本資料填寫!$E$1&amp;"-"&amp;ROW(書籍檔建置!S47),基本資料填寫!$E:$EU,COLUMN(基本資料填寫!W47),0),"")</f>
        <v/>
      </c>
      <c r="AD50" s="166" t="str">
        <f>IFERROR(VLOOKUP(基本資料填寫!$E$1&amp;"-"&amp;ROW(書籍檔建置!BM47),基本資料填寫!$E:$EU,COLUMN(基本資料填寫!BQ47),0),"")</f>
        <v/>
      </c>
      <c r="AE50" s="178"/>
      <c r="AF50" s="178"/>
      <c r="AG50" s="178"/>
      <c r="AH50" s="314" t="str">
        <f>IFERROR(VLOOKUP(基本資料填寫!$E$1&amp;"-"&amp;ROW(書籍檔建置!CB47),基本資料填寫!$E:$EU,COLUMN(基本資料填寫!CF47),0),"")</f>
        <v/>
      </c>
      <c r="AI50" s="314" t="str">
        <f>IFERROR(VLOOKUP(基本資料填寫!$E$1&amp;"-"&amp;ROW(書籍檔建置!CC47),基本資料填寫!$E:$EU,COLUMN(基本資料填寫!CG47),0),"")</f>
        <v/>
      </c>
      <c r="AJ50" s="314" t="str">
        <f>IFERROR(VLOOKUP(基本資料填寫!$E$1&amp;"-"&amp;ROW(書籍檔建置!H47),基本資料填寫!$E:$EU,COLUMN(基本資料填寫!K47),0),"")</f>
        <v/>
      </c>
      <c r="AK50" s="314" t="str">
        <f>IFERROR(VLOOKUP(基本資料填寫!$E$1&amp;"-"&amp;ROW(書籍檔建置!CF47),基本資料填寫!$E:$EU,COLUMN(基本資料填寫!CJ47),0),"")</f>
        <v/>
      </c>
      <c r="AL50" s="314" t="str">
        <f>IFERROR(VLOOKUP(基本資料填寫!$E$1&amp;"-"&amp;ROW(書籍檔建置!CG47),基本資料填寫!$E:$EU,COLUMN(基本資料填寫!CK47),0),"")</f>
        <v/>
      </c>
      <c r="AM50" s="314" t="str">
        <f>IFERROR(VLOOKUP(基本資料填寫!$E$1&amp;"-"&amp;ROW(書籍檔建置!BP47),基本資料填寫!$E:$EU,COLUMN(基本資料填寫!BT47),0),"")</f>
        <v/>
      </c>
      <c r="AN50" s="153"/>
    </row>
    <row r="51" spans="2:40" x14ac:dyDescent="0.3">
      <c r="B51" s="47" t="str">
        <f>IF(F51="","",COUNTA($F$4:F51))</f>
        <v/>
      </c>
      <c r="C51" s="314" t="str">
        <f>IFERROR(VLOOKUP(基本資料填寫!$E$1&amp;"-"&amp;ROW(書籍檔建置!K48),基本資料填寫!$E:$EU,COLUMN(基本資料填寫!O48),0),"")</f>
        <v/>
      </c>
      <c r="D51" s="314" t="str">
        <f>IFERROR(VLOOKUP(基本資料填寫!$E$1&amp;"-"&amp;ROW(書籍檔建置!N48),基本資料填寫!$E:$EU,COLUMN(基本資料填寫!R48),0),"")</f>
        <v/>
      </c>
      <c r="E51" s="314" t="str">
        <f>IFERROR(VLOOKUP(基本資料填寫!$E$1&amp;"-"&amp;ROW(書籍檔建置!AF48),基本資料填寫!$E:$EU,COLUMN(基本資料填寫!AJ48),0),"")</f>
        <v/>
      </c>
      <c r="F51" s="314" t="str">
        <f>IFERROR(VLOOKUP(基本資料填寫!$E$1&amp;"-"&amp;ROW(書籍檔建置!J48),基本資料填寫!$E:$EU,COLUMN(基本資料填寫!N48),0),"")</f>
        <v/>
      </c>
      <c r="G51" s="314" t="str">
        <f>IFERROR(VLOOKUP(基本資料填寫!$E$1&amp;"-"&amp;ROW(書籍檔建置!BO48),基本資料填寫!$E:$EU,COLUMN(基本資料填寫!BS48),0),"")</f>
        <v/>
      </c>
      <c r="H51" s="314" t="str">
        <f>IFERROR(VLOOKUP(基本資料填寫!$E$1&amp;"-"&amp;ROW(書籍檔建置!R48),基本資料填寫!$E:$EU,COLUMN(基本資料填寫!V48),0),"")</f>
        <v/>
      </c>
      <c r="I51" s="315" t="str">
        <f>IFERROR(VLOOKUP(基本資料填寫!$E$1&amp;"-"&amp;ROW(書籍檔建置!BQ48),基本資料填寫!$E:$EU,COLUMN(基本資料填寫!BU48),0),"")</f>
        <v/>
      </c>
      <c r="J51" s="314" t="str">
        <f>IFERROR(VLOOKUP(基本資料填寫!$E$1&amp;"-"&amp;ROW(書籍檔建置!BW48),基本資料填寫!$E:$EU,COLUMN(基本資料填寫!CA48),0),"")</f>
        <v/>
      </c>
      <c r="K51" s="314" t="str">
        <f>IFERROR(VLOOKUP(基本資料填寫!$E$1&amp;"-"&amp;ROW(書籍檔建置!BR48),基本資料填寫!$E:$EU,COLUMN(基本資料填寫!BV48),0),"")</f>
        <v/>
      </c>
      <c r="L51" s="314" t="str">
        <f>IFERROR(VLOOKUP(基本資料填寫!$E$1&amp;"-"&amp;ROW(書籍檔建置!BS48),基本資料填寫!$E:$EU,COLUMN(基本資料填寫!BW48),0),"")</f>
        <v/>
      </c>
      <c r="M51" s="166" t="str">
        <f>IFERROR(VLOOKUP(基本資料填寫!$E$1&amp;"-"&amp;ROW(書籍檔建置!BK48),基本資料填寫!$E:$EU,COLUMN(基本資料填寫!BO48),0),"")</f>
        <v/>
      </c>
      <c r="N51" s="314" t="str">
        <f>IFERROR(VLOOKUP(基本資料填寫!$E$1&amp;"-"&amp;ROW(書籍檔建置!AG48),基本資料填寫!$E:$EU,COLUMN(基本資料填寫!AK48),0),"")</f>
        <v/>
      </c>
      <c r="O51" s="314" t="str">
        <f>IFERROR(VLOOKUP(基本資料填寫!$E$1&amp;"-"&amp;ROW(書籍檔建置!BT48),基本資料填寫!$E:$EU,COLUMN(基本資料填寫!BX48),0),"")</f>
        <v/>
      </c>
      <c r="P51" s="314" t="str">
        <f>IFERROR(VLOOKUP(基本資料填寫!$E$1&amp;"-"&amp;ROW(書籍檔建置!BU48),基本資料填寫!$E:$EU,COLUMN(基本資料填寫!BY48),0),"")</f>
        <v/>
      </c>
      <c r="Q51" s="314" t="str">
        <f>IFERROR(VLOOKUP(基本資料填寫!$E$1&amp;"-"&amp;ROW(書籍檔建置!BV48),基本資料填寫!$E:$EU,COLUMN(基本資料填寫!BZ48),0),"")</f>
        <v/>
      </c>
      <c r="R51" s="314" t="str">
        <f>IFERROR(VLOOKUP(基本資料填寫!$E$1&amp;"-"&amp;ROW(書籍檔建置!BX48),基本資料填寫!$E:$EU,COLUMN(基本資料填寫!CB48),0),"")</f>
        <v/>
      </c>
      <c r="S51" s="314" t="str">
        <f>IFERROR(VLOOKUP(基本資料填寫!$E$1&amp;"-"&amp;ROW(書籍檔建置!BY48),基本資料填寫!$E:$EU,COLUMN(基本資料填寫!CC48),0),"")</f>
        <v/>
      </c>
      <c r="T51" s="314" t="str">
        <f>IFERROR(VLOOKUP(基本資料填寫!$E$1&amp;"-"&amp;ROW(書籍檔建置!BZ48),基本資料填寫!$E:$EU,COLUMN(基本資料填寫!CD48),0),"")</f>
        <v/>
      </c>
      <c r="U51" s="314" t="str">
        <f>IFERROR(VLOOKUP(基本資料填寫!$E$1&amp;"-"&amp;ROW(書籍檔建置!CA48),基本資料填寫!$E:$EU,COLUMN(基本資料填寫!CE48),0),"")</f>
        <v/>
      </c>
      <c r="V51" s="166" t="str">
        <f>IFERROR(VLOOKUP(基本資料填寫!$E$1&amp;"-"&amp;ROW(書籍檔建置!BL48),基本資料填寫!$E:$EU,COLUMN(基本資料填寫!BP48),0),"")</f>
        <v/>
      </c>
      <c r="W51" s="178"/>
      <c r="X51" s="178"/>
      <c r="Y51" s="178"/>
      <c r="Z51" s="178"/>
      <c r="AA51" s="178"/>
      <c r="AB51" s="178"/>
      <c r="AC51" s="314" t="str">
        <f>IFERROR(VLOOKUP(基本資料填寫!$E$1&amp;"-"&amp;ROW(書籍檔建置!S48),基本資料填寫!$E:$EU,COLUMN(基本資料填寫!W48),0),"")</f>
        <v/>
      </c>
      <c r="AD51" s="166" t="str">
        <f>IFERROR(VLOOKUP(基本資料填寫!$E$1&amp;"-"&amp;ROW(書籍檔建置!BM48),基本資料填寫!$E:$EU,COLUMN(基本資料填寫!BQ48),0),"")</f>
        <v/>
      </c>
      <c r="AE51" s="178"/>
      <c r="AF51" s="178"/>
      <c r="AG51" s="178"/>
      <c r="AH51" s="314" t="str">
        <f>IFERROR(VLOOKUP(基本資料填寫!$E$1&amp;"-"&amp;ROW(書籍檔建置!CB48),基本資料填寫!$E:$EU,COLUMN(基本資料填寫!CF48),0),"")</f>
        <v/>
      </c>
      <c r="AI51" s="314" t="str">
        <f>IFERROR(VLOOKUP(基本資料填寫!$E$1&amp;"-"&amp;ROW(書籍檔建置!CC48),基本資料填寫!$E:$EU,COLUMN(基本資料填寫!CG48),0),"")</f>
        <v/>
      </c>
      <c r="AJ51" s="314" t="str">
        <f>IFERROR(VLOOKUP(基本資料填寫!$E$1&amp;"-"&amp;ROW(書籍檔建置!H48),基本資料填寫!$E:$EU,COLUMN(基本資料填寫!K48),0),"")</f>
        <v/>
      </c>
      <c r="AK51" s="314" t="str">
        <f>IFERROR(VLOOKUP(基本資料填寫!$E$1&amp;"-"&amp;ROW(書籍檔建置!CF48),基本資料填寫!$E:$EU,COLUMN(基本資料填寫!CJ48),0),"")</f>
        <v/>
      </c>
      <c r="AL51" s="314" t="str">
        <f>IFERROR(VLOOKUP(基本資料填寫!$E$1&amp;"-"&amp;ROW(書籍檔建置!CG48),基本資料填寫!$E:$EU,COLUMN(基本資料填寫!CK48),0),"")</f>
        <v/>
      </c>
      <c r="AM51" s="314" t="str">
        <f>IFERROR(VLOOKUP(基本資料填寫!$E$1&amp;"-"&amp;ROW(書籍檔建置!BP48),基本資料填寫!$E:$EU,COLUMN(基本資料填寫!BT48),0),"")</f>
        <v/>
      </c>
      <c r="AN51" s="153"/>
    </row>
    <row r="52" spans="2:40" x14ac:dyDescent="0.3">
      <c r="B52" s="47" t="str">
        <f>IF(F52="","",COUNTA($F$4:F52))</f>
        <v/>
      </c>
      <c r="C52" s="314" t="str">
        <f>IFERROR(VLOOKUP(基本資料填寫!$E$1&amp;"-"&amp;ROW(書籍檔建置!K49),基本資料填寫!$E:$EU,COLUMN(基本資料填寫!O49),0),"")</f>
        <v/>
      </c>
      <c r="D52" s="314" t="str">
        <f>IFERROR(VLOOKUP(基本資料填寫!$E$1&amp;"-"&amp;ROW(書籍檔建置!N49),基本資料填寫!$E:$EU,COLUMN(基本資料填寫!R49),0),"")</f>
        <v/>
      </c>
      <c r="E52" s="314" t="str">
        <f>IFERROR(VLOOKUP(基本資料填寫!$E$1&amp;"-"&amp;ROW(書籍檔建置!AF49),基本資料填寫!$E:$EU,COLUMN(基本資料填寫!AJ49),0),"")</f>
        <v/>
      </c>
      <c r="F52" s="314" t="str">
        <f>IFERROR(VLOOKUP(基本資料填寫!$E$1&amp;"-"&amp;ROW(書籍檔建置!J49),基本資料填寫!$E:$EU,COLUMN(基本資料填寫!N49),0),"")</f>
        <v/>
      </c>
      <c r="G52" s="314" t="str">
        <f>IFERROR(VLOOKUP(基本資料填寫!$E$1&amp;"-"&amp;ROW(書籍檔建置!BO49),基本資料填寫!$E:$EU,COLUMN(基本資料填寫!BS49),0),"")</f>
        <v/>
      </c>
      <c r="H52" s="314" t="str">
        <f>IFERROR(VLOOKUP(基本資料填寫!$E$1&amp;"-"&amp;ROW(書籍檔建置!R49),基本資料填寫!$E:$EU,COLUMN(基本資料填寫!V49),0),"")</f>
        <v/>
      </c>
      <c r="I52" s="315" t="str">
        <f>IFERROR(VLOOKUP(基本資料填寫!$E$1&amp;"-"&amp;ROW(書籍檔建置!BQ49),基本資料填寫!$E:$EU,COLUMN(基本資料填寫!BU49),0),"")</f>
        <v/>
      </c>
      <c r="J52" s="314" t="str">
        <f>IFERROR(VLOOKUP(基本資料填寫!$E$1&amp;"-"&amp;ROW(書籍檔建置!BW49),基本資料填寫!$E:$EU,COLUMN(基本資料填寫!CA49),0),"")</f>
        <v/>
      </c>
      <c r="K52" s="314" t="str">
        <f>IFERROR(VLOOKUP(基本資料填寫!$E$1&amp;"-"&amp;ROW(書籍檔建置!BR49),基本資料填寫!$E:$EU,COLUMN(基本資料填寫!BV49),0),"")</f>
        <v/>
      </c>
      <c r="L52" s="314" t="str">
        <f>IFERROR(VLOOKUP(基本資料填寫!$E$1&amp;"-"&amp;ROW(書籍檔建置!BS49),基本資料填寫!$E:$EU,COLUMN(基本資料填寫!BW49),0),"")</f>
        <v/>
      </c>
      <c r="M52" s="166" t="str">
        <f>IFERROR(VLOOKUP(基本資料填寫!$E$1&amp;"-"&amp;ROW(書籍檔建置!BK49),基本資料填寫!$E:$EU,COLUMN(基本資料填寫!BO49),0),"")</f>
        <v/>
      </c>
      <c r="N52" s="314" t="str">
        <f>IFERROR(VLOOKUP(基本資料填寫!$E$1&amp;"-"&amp;ROW(書籍檔建置!AG49),基本資料填寫!$E:$EU,COLUMN(基本資料填寫!AK49),0),"")</f>
        <v/>
      </c>
      <c r="O52" s="314" t="str">
        <f>IFERROR(VLOOKUP(基本資料填寫!$E$1&amp;"-"&amp;ROW(書籍檔建置!BT49),基本資料填寫!$E:$EU,COLUMN(基本資料填寫!BX49),0),"")</f>
        <v/>
      </c>
      <c r="P52" s="314" t="str">
        <f>IFERROR(VLOOKUP(基本資料填寫!$E$1&amp;"-"&amp;ROW(書籍檔建置!BU49),基本資料填寫!$E:$EU,COLUMN(基本資料填寫!BY49),0),"")</f>
        <v/>
      </c>
      <c r="Q52" s="314" t="str">
        <f>IFERROR(VLOOKUP(基本資料填寫!$E$1&amp;"-"&amp;ROW(書籍檔建置!BV49),基本資料填寫!$E:$EU,COLUMN(基本資料填寫!BZ49),0),"")</f>
        <v/>
      </c>
      <c r="R52" s="314" t="str">
        <f>IFERROR(VLOOKUP(基本資料填寫!$E$1&amp;"-"&amp;ROW(書籍檔建置!BX49),基本資料填寫!$E:$EU,COLUMN(基本資料填寫!CB49),0),"")</f>
        <v/>
      </c>
      <c r="S52" s="314" t="str">
        <f>IFERROR(VLOOKUP(基本資料填寫!$E$1&amp;"-"&amp;ROW(書籍檔建置!BY49),基本資料填寫!$E:$EU,COLUMN(基本資料填寫!CC49),0),"")</f>
        <v/>
      </c>
      <c r="T52" s="314" t="str">
        <f>IFERROR(VLOOKUP(基本資料填寫!$E$1&amp;"-"&amp;ROW(書籍檔建置!BZ49),基本資料填寫!$E:$EU,COLUMN(基本資料填寫!CD49),0),"")</f>
        <v/>
      </c>
      <c r="U52" s="314" t="str">
        <f>IFERROR(VLOOKUP(基本資料填寫!$E$1&amp;"-"&amp;ROW(書籍檔建置!CA49),基本資料填寫!$E:$EU,COLUMN(基本資料填寫!CE49),0),"")</f>
        <v/>
      </c>
      <c r="V52" s="166" t="str">
        <f>IFERROR(VLOOKUP(基本資料填寫!$E$1&amp;"-"&amp;ROW(書籍檔建置!BL49),基本資料填寫!$E:$EU,COLUMN(基本資料填寫!BP49),0),"")</f>
        <v/>
      </c>
      <c r="W52" s="178"/>
      <c r="X52" s="178"/>
      <c r="Y52" s="178"/>
      <c r="Z52" s="178"/>
      <c r="AA52" s="178"/>
      <c r="AB52" s="178"/>
      <c r="AC52" s="314" t="str">
        <f>IFERROR(VLOOKUP(基本資料填寫!$E$1&amp;"-"&amp;ROW(書籍檔建置!S49),基本資料填寫!$E:$EU,COLUMN(基本資料填寫!W49),0),"")</f>
        <v/>
      </c>
      <c r="AD52" s="166" t="str">
        <f>IFERROR(VLOOKUP(基本資料填寫!$E$1&amp;"-"&amp;ROW(書籍檔建置!BM49),基本資料填寫!$E:$EU,COLUMN(基本資料填寫!BQ49),0),"")</f>
        <v/>
      </c>
      <c r="AE52" s="178"/>
      <c r="AF52" s="178"/>
      <c r="AG52" s="178"/>
      <c r="AH52" s="314" t="str">
        <f>IFERROR(VLOOKUP(基本資料填寫!$E$1&amp;"-"&amp;ROW(書籍檔建置!CB49),基本資料填寫!$E:$EU,COLUMN(基本資料填寫!CF49),0),"")</f>
        <v/>
      </c>
      <c r="AI52" s="314" t="str">
        <f>IFERROR(VLOOKUP(基本資料填寫!$E$1&amp;"-"&amp;ROW(書籍檔建置!CC49),基本資料填寫!$E:$EU,COLUMN(基本資料填寫!CG49),0),"")</f>
        <v/>
      </c>
      <c r="AJ52" s="314" t="str">
        <f>IFERROR(VLOOKUP(基本資料填寫!$E$1&amp;"-"&amp;ROW(書籍檔建置!H49),基本資料填寫!$E:$EU,COLUMN(基本資料填寫!K49),0),"")</f>
        <v/>
      </c>
      <c r="AK52" s="314" t="str">
        <f>IFERROR(VLOOKUP(基本資料填寫!$E$1&amp;"-"&amp;ROW(書籍檔建置!CF49),基本資料填寫!$E:$EU,COLUMN(基本資料填寫!CJ49),0),"")</f>
        <v/>
      </c>
      <c r="AL52" s="314" t="str">
        <f>IFERROR(VLOOKUP(基本資料填寫!$E$1&amp;"-"&amp;ROW(書籍檔建置!CG49),基本資料填寫!$E:$EU,COLUMN(基本資料填寫!CK49),0),"")</f>
        <v/>
      </c>
      <c r="AM52" s="314" t="str">
        <f>IFERROR(VLOOKUP(基本資料填寫!$E$1&amp;"-"&amp;ROW(書籍檔建置!BP49),基本資料填寫!$E:$EU,COLUMN(基本資料填寫!BT49),0),"")</f>
        <v/>
      </c>
      <c r="AN52" s="153"/>
    </row>
    <row r="53" spans="2:40" x14ac:dyDescent="0.3">
      <c r="B53" s="47" t="str">
        <f>IF(F53="","",COUNTA($F$4:F53))</f>
        <v/>
      </c>
      <c r="C53" s="314" t="str">
        <f>IFERROR(VLOOKUP(基本資料填寫!$E$1&amp;"-"&amp;ROW(書籍檔建置!K50),基本資料填寫!$E:$EU,COLUMN(基本資料填寫!O50),0),"")</f>
        <v/>
      </c>
      <c r="D53" s="314" t="str">
        <f>IFERROR(VLOOKUP(基本資料填寫!$E$1&amp;"-"&amp;ROW(書籍檔建置!N50),基本資料填寫!$E:$EU,COLUMN(基本資料填寫!R50),0),"")</f>
        <v/>
      </c>
      <c r="E53" s="314" t="str">
        <f>IFERROR(VLOOKUP(基本資料填寫!$E$1&amp;"-"&amp;ROW(書籍檔建置!AF50),基本資料填寫!$E:$EU,COLUMN(基本資料填寫!AJ50),0),"")</f>
        <v/>
      </c>
      <c r="F53" s="314" t="str">
        <f>IFERROR(VLOOKUP(基本資料填寫!$E$1&amp;"-"&amp;ROW(書籍檔建置!J50),基本資料填寫!$E:$EU,COLUMN(基本資料填寫!N50),0),"")</f>
        <v/>
      </c>
      <c r="G53" s="314" t="str">
        <f>IFERROR(VLOOKUP(基本資料填寫!$E$1&amp;"-"&amp;ROW(書籍檔建置!BO50),基本資料填寫!$E:$EU,COLUMN(基本資料填寫!BS50),0),"")</f>
        <v/>
      </c>
      <c r="H53" s="314" t="str">
        <f>IFERROR(VLOOKUP(基本資料填寫!$E$1&amp;"-"&amp;ROW(書籍檔建置!R50),基本資料填寫!$E:$EU,COLUMN(基本資料填寫!V50),0),"")</f>
        <v/>
      </c>
      <c r="I53" s="315" t="str">
        <f>IFERROR(VLOOKUP(基本資料填寫!$E$1&amp;"-"&amp;ROW(書籍檔建置!BQ50),基本資料填寫!$E:$EU,COLUMN(基本資料填寫!BU50),0),"")</f>
        <v/>
      </c>
      <c r="J53" s="314" t="str">
        <f>IFERROR(VLOOKUP(基本資料填寫!$E$1&amp;"-"&amp;ROW(書籍檔建置!BW50),基本資料填寫!$E:$EU,COLUMN(基本資料填寫!CA50),0),"")</f>
        <v/>
      </c>
      <c r="K53" s="314" t="str">
        <f>IFERROR(VLOOKUP(基本資料填寫!$E$1&amp;"-"&amp;ROW(書籍檔建置!BR50),基本資料填寫!$E:$EU,COLUMN(基本資料填寫!BV50),0),"")</f>
        <v/>
      </c>
      <c r="L53" s="314" t="str">
        <f>IFERROR(VLOOKUP(基本資料填寫!$E$1&amp;"-"&amp;ROW(書籍檔建置!BS50),基本資料填寫!$E:$EU,COLUMN(基本資料填寫!BW50),0),"")</f>
        <v/>
      </c>
      <c r="M53" s="166" t="str">
        <f>IFERROR(VLOOKUP(基本資料填寫!$E$1&amp;"-"&amp;ROW(書籍檔建置!BK50),基本資料填寫!$E:$EU,COLUMN(基本資料填寫!BO50),0),"")</f>
        <v/>
      </c>
      <c r="N53" s="314" t="str">
        <f>IFERROR(VLOOKUP(基本資料填寫!$E$1&amp;"-"&amp;ROW(書籍檔建置!AG50),基本資料填寫!$E:$EU,COLUMN(基本資料填寫!AK50),0),"")</f>
        <v/>
      </c>
      <c r="O53" s="314" t="str">
        <f>IFERROR(VLOOKUP(基本資料填寫!$E$1&amp;"-"&amp;ROW(書籍檔建置!BT50),基本資料填寫!$E:$EU,COLUMN(基本資料填寫!BX50),0),"")</f>
        <v/>
      </c>
      <c r="P53" s="314" t="str">
        <f>IFERROR(VLOOKUP(基本資料填寫!$E$1&amp;"-"&amp;ROW(書籍檔建置!BU50),基本資料填寫!$E:$EU,COLUMN(基本資料填寫!BY50),0),"")</f>
        <v/>
      </c>
      <c r="Q53" s="314" t="str">
        <f>IFERROR(VLOOKUP(基本資料填寫!$E$1&amp;"-"&amp;ROW(書籍檔建置!BV50),基本資料填寫!$E:$EU,COLUMN(基本資料填寫!BZ50),0),"")</f>
        <v/>
      </c>
      <c r="R53" s="314" t="str">
        <f>IFERROR(VLOOKUP(基本資料填寫!$E$1&amp;"-"&amp;ROW(書籍檔建置!BX50),基本資料填寫!$E:$EU,COLUMN(基本資料填寫!CB50),0),"")</f>
        <v/>
      </c>
      <c r="S53" s="314" t="str">
        <f>IFERROR(VLOOKUP(基本資料填寫!$E$1&amp;"-"&amp;ROW(書籍檔建置!BY50),基本資料填寫!$E:$EU,COLUMN(基本資料填寫!CC50),0),"")</f>
        <v/>
      </c>
      <c r="T53" s="314" t="str">
        <f>IFERROR(VLOOKUP(基本資料填寫!$E$1&amp;"-"&amp;ROW(書籍檔建置!BZ50),基本資料填寫!$E:$EU,COLUMN(基本資料填寫!CD50),0),"")</f>
        <v/>
      </c>
      <c r="U53" s="314" t="str">
        <f>IFERROR(VLOOKUP(基本資料填寫!$E$1&amp;"-"&amp;ROW(書籍檔建置!CA50),基本資料填寫!$E:$EU,COLUMN(基本資料填寫!CE50),0),"")</f>
        <v/>
      </c>
      <c r="V53" s="166" t="str">
        <f>IFERROR(VLOOKUP(基本資料填寫!$E$1&amp;"-"&amp;ROW(書籍檔建置!BL50),基本資料填寫!$E:$EU,COLUMN(基本資料填寫!BP50),0),"")</f>
        <v/>
      </c>
      <c r="W53" s="178"/>
      <c r="X53" s="178"/>
      <c r="Y53" s="178"/>
      <c r="Z53" s="178"/>
      <c r="AA53" s="178"/>
      <c r="AB53" s="178"/>
      <c r="AC53" s="314" t="str">
        <f>IFERROR(VLOOKUP(基本資料填寫!$E$1&amp;"-"&amp;ROW(書籍檔建置!S50),基本資料填寫!$E:$EU,COLUMN(基本資料填寫!W50),0),"")</f>
        <v/>
      </c>
      <c r="AD53" s="166" t="str">
        <f>IFERROR(VLOOKUP(基本資料填寫!$E$1&amp;"-"&amp;ROW(書籍檔建置!BM50),基本資料填寫!$E:$EU,COLUMN(基本資料填寫!BQ50),0),"")</f>
        <v/>
      </c>
      <c r="AE53" s="178"/>
      <c r="AF53" s="178"/>
      <c r="AG53" s="178"/>
      <c r="AH53" s="314" t="str">
        <f>IFERROR(VLOOKUP(基本資料填寫!$E$1&amp;"-"&amp;ROW(書籍檔建置!CB50),基本資料填寫!$E:$EU,COLUMN(基本資料填寫!CF50),0),"")</f>
        <v/>
      </c>
      <c r="AI53" s="314" t="str">
        <f>IFERROR(VLOOKUP(基本資料填寫!$E$1&amp;"-"&amp;ROW(書籍檔建置!CC50),基本資料填寫!$E:$EU,COLUMN(基本資料填寫!CG50),0),"")</f>
        <v/>
      </c>
      <c r="AJ53" s="314" t="str">
        <f>IFERROR(VLOOKUP(基本資料填寫!$E$1&amp;"-"&amp;ROW(書籍檔建置!H50),基本資料填寫!$E:$EU,COLUMN(基本資料填寫!K50),0),"")</f>
        <v/>
      </c>
      <c r="AK53" s="314" t="str">
        <f>IFERROR(VLOOKUP(基本資料填寫!$E$1&amp;"-"&amp;ROW(書籍檔建置!CF50),基本資料填寫!$E:$EU,COLUMN(基本資料填寫!CJ50),0),"")</f>
        <v/>
      </c>
      <c r="AL53" s="314" t="str">
        <f>IFERROR(VLOOKUP(基本資料填寫!$E$1&amp;"-"&amp;ROW(書籍檔建置!CG50),基本資料填寫!$E:$EU,COLUMN(基本資料填寫!CK50),0),"")</f>
        <v/>
      </c>
      <c r="AM53" s="314" t="str">
        <f>IFERROR(VLOOKUP(基本資料填寫!$E$1&amp;"-"&amp;ROW(書籍檔建置!BP50),基本資料填寫!$E:$EU,COLUMN(基本資料填寫!BT50),0),"")</f>
        <v/>
      </c>
      <c r="AN53" s="153"/>
    </row>
    <row r="54" spans="2:40" x14ac:dyDescent="0.3">
      <c r="B54" s="47" t="str">
        <f>IF(F54="","",COUNTA($F$4:F54))</f>
        <v/>
      </c>
      <c r="C54" s="314" t="str">
        <f>IFERROR(VLOOKUP(基本資料填寫!$E$1&amp;"-"&amp;ROW(書籍檔建置!K51),基本資料填寫!$E:$EU,COLUMN(基本資料填寫!O51),0),"")</f>
        <v/>
      </c>
      <c r="D54" s="314" t="str">
        <f>IFERROR(VLOOKUP(基本資料填寫!$E$1&amp;"-"&amp;ROW(書籍檔建置!N51),基本資料填寫!$E:$EU,COLUMN(基本資料填寫!R51),0),"")</f>
        <v/>
      </c>
      <c r="E54" s="314" t="str">
        <f>IFERROR(VLOOKUP(基本資料填寫!$E$1&amp;"-"&amp;ROW(書籍檔建置!AF51),基本資料填寫!$E:$EU,COLUMN(基本資料填寫!AJ51),0),"")</f>
        <v/>
      </c>
      <c r="F54" s="314" t="str">
        <f>IFERROR(VLOOKUP(基本資料填寫!$E$1&amp;"-"&amp;ROW(書籍檔建置!J51),基本資料填寫!$E:$EU,COLUMN(基本資料填寫!N51),0),"")</f>
        <v/>
      </c>
      <c r="G54" s="314" t="str">
        <f>IFERROR(VLOOKUP(基本資料填寫!$E$1&amp;"-"&amp;ROW(書籍檔建置!BO51),基本資料填寫!$E:$EU,COLUMN(基本資料填寫!BS51),0),"")</f>
        <v/>
      </c>
      <c r="H54" s="314" t="str">
        <f>IFERROR(VLOOKUP(基本資料填寫!$E$1&amp;"-"&amp;ROW(書籍檔建置!R51),基本資料填寫!$E:$EU,COLUMN(基本資料填寫!V51),0),"")</f>
        <v/>
      </c>
      <c r="I54" s="315" t="str">
        <f>IFERROR(VLOOKUP(基本資料填寫!$E$1&amp;"-"&amp;ROW(書籍檔建置!BQ51),基本資料填寫!$E:$EU,COLUMN(基本資料填寫!BU51),0),"")</f>
        <v/>
      </c>
      <c r="J54" s="314" t="str">
        <f>IFERROR(VLOOKUP(基本資料填寫!$E$1&amp;"-"&amp;ROW(書籍檔建置!BW51),基本資料填寫!$E:$EU,COLUMN(基本資料填寫!CA51),0),"")</f>
        <v/>
      </c>
      <c r="K54" s="314" t="str">
        <f>IFERROR(VLOOKUP(基本資料填寫!$E$1&amp;"-"&amp;ROW(書籍檔建置!BR51),基本資料填寫!$E:$EU,COLUMN(基本資料填寫!BV51),0),"")</f>
        <v/>
      </c>
      <c r="L54" s="314" t="str">
        <f>IFERROR(VLOOKUP(基本資料填寫!$E$1&amp;"-"&amp;ROW(書籍檔建置!BS51),基本資料填寫!$E:$EU,COLUMN(基本資料填寫!BW51),0),"")</f>
        <v/>
      </c>
      <c r="M54" s="166" t="str">
        <f>IFERROR(VLOOKUP(基本資料填寫!$E$1&amp;"-"&amp;ROW(書籍檔建置!BK51),基本資料填寫!$E:$EU,COLUMN(基本資料填寫!BO51),0),"")</f>
        <v/>
      </c>
      <c r="N54" s="314" t="str">
        <f>IFERROR(VLOOKUP(基本資料填寫!$E$1&amp;"-"&amp;ROW(書籍檔建置!AG51),基本資料填寫!$E:$EU,COLUMN(基本資料填寫!AK51),0),"")</f>
        <v/>
      </c>
      <c r="O54" s="314" t="str">
        <f>IFERROR(VLOOKUP(基本資料填寫!$E$1&amp;"-"&amp;ROW(書籍檔建置!BT51),基本資料填寫!$E:$EU,COLUMN(基本資料填寫!BX51),0),"")</f>
        <v/>
      </c>
      <c r="P54" s="314" t="str">
        <f>IFERROR(VLOOKUP(基本資料填寫!$E$1&amp;"-"&amp;ROW(書籍檔建置!BU51),基本資料填寫!$E:$EU,COLUMN(基本資料填寫!BY51),0),"")</f>
        <v/>
      </c>
      <c r="Q54" s="314" t="str">
        <f>IFERROR(VLOOKUP(基本資料填寫!$E$1&amp;"-"&amp;ROW(書籍檔建置!BV51),基本資料填寫!$E:$EU,COLUMN(基本資料填寫!BZ51),0),"")</f>
        <v/>
      </c>
      <c r="R54" s="314" t="str">
        <f>IFERROR(VLOOKUP(基本資料填寫!$E$1&amp;"-"&amp;ROW(書籍檔建置!BX51),基本資料填寫!$E:$EU,COLUMN(基本資料填寫!CB51),0),"")</f>
        <v/>
      </c>
      <c r="S54" s="314" t="str">
        <f>IFERROR(VLOOKUP(基本資料填寫!$E$1&amp;"-"&amp;ROW(書籍檔建置!BY51),基本資料填寫!$E:$EU,COLUMN(基本資料填寫!CC51),0),"")</f>
        <v/>
      </c>
      <c r="T54" s="314" t="str">
        <f>IFERROR(VLOOKUP(基本資料填寫!$E$1&amp;"-"&amp;ROW(書籍檔建置!BZ51),基本資料填寫!$E:$EU,COLUMN(基本資料填寫!CD51),0),"")</f>
        <v/>
      </c>
      <c r="U54" s="314" t="str">
        <f>IFERROR(VLOOKUP(基本資料填寫!$E$1&amp;"-"&amp;ROW(書籍檔建置!CA51),基本資料填寫!$E:$EU,COLUMN(基本資料填寫!CE51),0),"")</f>
        <v/>
      </c>
      <c r="V54" s="166" t="str">
        <f>IFERROR(VLOOKUP(基本資料填寫!$E$1&amp;"-"&amp;ROW(書籍檔建置!BL51),基本資料填寫!$E:$EU,COLUMN(基本資料填寫!BP51),0),"")</f>
        <v/>
      </c>
      <c r="W54" s="178"/>
      <c r="X54" s="178"/>
      <c r="Y54" s="178"/>
      <c r="Z54" s="178"/>
      <c r="AA54" s="178"/>
      <c r="AB54" s="178"/>
      <c r="AC54" s="314" t="str">
        <f>IFERROR(VLOOKUP(基本資料填寫!$E$1&amp;"-"&amp;ROW(書籍檔建置!S51),基本資料填寫!$E:$EU,COLUMN(基本資料填寫!W51),0),"")</f>
        <v/>
      </c>
      <c r="AD54" s="166" t="str">
        <f>IFERROR(VLOOKUP(基本資料填寫!$E$1&amp;"-"&amp;ROW(書籍檔建置!BM51),基本資料填寫!$E:$EU,COLUMN(基本資料填寫!BQ51),0),"")</f>
        <v/>
      </c>
      <c r="AE54" s="178"/>
      <c r="AF54" s="178"/>
      <c r="AG54" s="178"/>
      <c r="AH54" s="314" t="str">
        <f>IFERROR(VLOOKUP(基本資料填寫!$E$1&amp;"-"&amp;ROW(書籍檔建置!CB51),基本資料填寫!$E:$EU,COLUMN(基本資料填寫!CF51),0),"")</f>
        <v/>
      </c>
      <c r="AI54" s="314" t="str">
        <f>IFERROR(VLOOKUP(基本資料填寫!$E$1&amp;"-"&amp;ROW(書籍檔建置!CC51),基本資料填寫!$E:$EU,COLUMN(基本資料填寫!CG51),0),"")</f>
        <v/>
      </c>
      <c r="AJ54" s="314" t="str">
        <f>IFERROR(VLOOKUP(基本資料填寫!$E$1&amp;"-"&amp;ROW(書籍檔建置!H51),基本資料填寫!$E:$EU,COLUMN(基本資料填寫!K51),0),"")</f>
        <v/>
      </c>
      <c r="AK54" s="314" t="str">
        <f>IFERROR(VLOOKUP(基本資料填寫!$E$1&amp;"-"&amp;ROW(書籍檔建置!CF51),基本資料填寫!$E:$EU,COLUMN(基本資料填寫!CJ51),0),"")</f>
        <v/>
      </c>
      <c r="AL54" s="314" t="str">
        <f>IFERROR(VLOOKUP(基本資料填寫!$E$1&amp;"-"&amp;ROW(書籍檔建置!CG51),基本資料填寫!$E:$EU,COLUMN(基本資料填寫!CK51),0),"")</f>
        <v/>
      </c>
      <c r="AM54" s="314" t="str">
        <f>IFERROR(VLOOKUP(基本資料填寫!$E$1&amp;"-"&amp;ROW(書籍檔建置!BP51),基本資料填寫!$E:$EU,COLUMN(基本資料填寫!BT51),0),"")</f>
        <v/>
      </c>
      <c r="AN54" s="153"/>
    </row>
    <row r="55" spans="2:40" x14ac:dyDescent="0.3">
      <c r="B55" s="47" t="str">
        <f>IF(F55="","",COUNTA($F$4:F55))</f>
        <v/>
      </c>
      <c r="C55" s="314" t="str">
        <f>IFERROR(VLOOKUP(基本資料填寫!$E$1&amp;"-"&amp;ROW(書籍檔建置!K52),基本資料填寫!$E:$EU,COLUMN(基本資料填寫!O52),0),"")</f>
        <v/>
      </c>
      <c r="D55" s="314" t="str">
        <f>IFERROR(VLOOKUP(基本資料填寫!$E$1&amp;"-"&amp;ROW(書籍檔建置!N52),基本資料填寫!$E:$EU,COLUMN(基本資料填寫!R52),0),"")</f>
        <v/>
      </c>
      <c r="E55" s="314" t="str">
        <f>IFERROR(VLOOKUP(基本資料填寫!$E$1&amp;"-"&amp;ROW(書籍檔建置!AF52),基本資料填寫!$E:$EU,COLUMN(基本資料填寫!AJ52),0),"")</f>
        <v/>
      </c>
      <c r="F55" s="314" t="str">
        <f>IFERROR(VLOOKUP(基本資料填寫!$E$1&amp;"-"&amp;ROW(書籍檔建置!J52),基本資料填寫!$E:$EU,COLUMN(基本資料填寫!N52),0),"")</f>
        <v/>
      </c>
      <c r="G55" s="314" t="str">
        <f>IFERROR(VLOOKUP(基本資料填寫!$E$1&amp;"-"&amp;ROW(書籍檔建置!BO52),基本資料填寫!$E:$EU,COLUMN(基本資料填寫!BS52),0),"")</f>
        <v/>
      </c>
      <c r="H55" s="314" t="str">
        <f>IFERROR(VLOOKUP(基本資料填寫!$E$1&amp;"-"&amp;ROW(書籍檔建置!R52),基本資料填寫!$E:$EU,COLUMN(基本資料填寫!V52),0),"")</f>
        <v/>
      </c>
      <c r="I55" s="315" t="str">
        <f>IFERROR(VLOOKUP(基本資料填寫!$E$1&amp;"-"&amp;ROW(書籍檔建置!BQ52),基本資料填寫!$E:$EU,COLUMN(基本資料填寫!BU52),0),"")</f>
        <v/>
      </c>
      <c r="J55" s="314" t="str">
        <f>IFERROR(VLOOKUP(基本資料填寫!$E$1&amp;"-"&amp;ROW(書籍檔建置!BW52),基本資料填寫!$E:$EU,COLUMN(基本資料填寫!CA52),0),"")</f>
        <v/>
      </c>
      <c r="K55" s="314" t="str">
        <f>IFERROR(VLOOKUP(基本資料填寫!$E$1&amp;"-"&amp;ROW(書籍檔建置!BR52),基本資料填寫!$E:$EU,COLUMN(基本資料填寫!BV52),0),"")</f>
        <v/>
      </c>
      <c r="L55" s="314" t="str">
        <f>IFERROR(VLOOKUP(基本資料填寫!$E$1&amp;"-"&amp;ROW(書籍檔建置!BS52),基本資料填寫!$E:$EU,COLUMN(基本資料填寫!BW52),0),"")</f>
        <v/>
      </c>
      <c r="M55" s="166" t="str">
        <f>IFERROR(VLOOKUP(基本資料填寫!$E$1&amp;"-"&amp;ROW(書籍檔建置!BK52),基本資料填寫!$E:$EU,COLUMN(基本資料填寫!BO52),0),"")</f>
        <v/>
      </c>
      <c r="N55" s="314" t="str">
        <f>IFERROR(VLOOKUP(基本資料填寫!$E$1&amp;"-"&amp;ROW(書籍檔建置!AG52),基本資料填寫!$E:$EU,COLUMN(基本資料填寫!AK52),0),"")</f>
        <v/>
      </c>
      <c r="O55" s="314" t="str">
        <f>IFERROR(VLOOKUP(基本資料填寫!$E$1&amp;"-"&amp;ROW(書籍檔建置!BT52),基本資料填寫!$E:$EU,COLUMN(基本資料填寫!BX52),0),"")</f>
        <v/>
      </c>
      <c r="P55" s="314" t="str">
        <f>IFERROR(VLOOKUP(基本資料填寫!$E$1&amp;"-"&amp;ROW(書籍檔建置!BU52),基本資料填寫!$E:$EU,COLUMN(基本資料填寫!BY52),0),"")</f>
        <v/>
      </c>
      <c r="Q55" s="314" t="str">
        <f>IFERROR(VLOOKUP(基本資料填寫!$E$1&amp;"-"&amp;ROW(書籍檔建置!BV52),基本資料填寫!$E:$EU,COLUMN(基本資料填寫!BZ52),0),"")</f>
        <v/>
      </c>
      <c r="R55" s="314" t="str">
        <f>IFERROR(VLOOKUP(基本資料填寫!$E$1&amp;"-"&amp;ROW(書籍檔建置!BX52),基本資料填寫!$E:$EU,COLUMN(基本資料填寫!CB52),0),"")</f>
        <v/>
      </c>
      <c r="S55" s="314" t="str">
        <f>IFERROR(VLOOKUP(基本資料填寫!$E$1&amp;"-"&amp;ROW(書籍檔建置!BY52),基本資料填寫!$E:$EU,COLUMN(基本資料填寫!CC52),0),"")</f>
        <v/>
      </c>
      <c r="T55" s="314" t="str">
        <f>IFERROR(VLOOKUP(基本資料填寫!$E$1&amp;"-"&amp;ROW(書籍檔建置!BZ52),基本資料填寫!$E:$EU,COLUMN(基本資料填寫!CD52),0),"")</f>
        <v/>
      </c>
      <c r="U55" s="314" t="str">
        <f>IFERROR(VLOOKUP(基本資料填寫!$E$1&amp;"-"&amp;ROW(書籍檔建置!CA52),基本資料填寫!$E:$EU,COLUMN(基本資料填寫!CE52),0),"")</f>
        <v/>
      </c>
      <c r="V55" s="166" t="str">
        <f>IFERROR(VLOOKUP(基本資料填寫!$E$1&amp;"-"&amp;ROW(書籍檔建置!BL52),基本資料填寫!$E:$EU,COLUMN(基本資料填寫!BP52),0),"")</f>
        <v/>
      </c>
      <c r="W55" s="178"/>
      <c r="X55" s="178"/>
      <c r="Y55" s="178"/>
      <c r="Z55" s="178"/>
      <c r="AA55" s="178"/>
      <c r="AB55" s="178"/>
      <c r="AC55" s="314" t="str">
        <f>IFERROR(VLOOKUP(基本資料填寫!$E$1&amp;"-"&amp;ROW(書籍檔建置!S52),基本資料填寫!$E:$EU,COLUMN(基本資料填寫!W52),0),"")</f>
        <v/>
      </c>
      <c r="AD55" s="166" t="str">
        <f>IFERROR(VLOOKUP(基本資料填寫!$E$1&amp;"-"&amp;ROW(書籍檔建置!BM52),基本資料填寫!$E:$EU,COLUMN(基本資料填寫!BQ52),0),"")</f>
        <v/>
      </c>
      <c r="AE55" s="178"/>
      <c r="AF55" s="178"/>
      <c r="AG55" s="178"/>
      <c r="AH55" s="314" t="str">
        <f>IFERROR(VLOOKUP(基本資料填寫!$E$1&amp;"-"&amp;ROW(書籍檔建置!CB52),基本資料填寫!$E:$EU,COLUMN(基本資料填寫!CF52),0),"")</f>
        <v/>
      </c>
      <c r="AI55" s="314" t="str">
        <f>IFERROR(VLOOKUP(基本資料填寫!$E$1&amp;"-"&amp;ROW(書籍檔建置!CC52),基本資料填寫!$E:$EU,COLUMN(基本資料填寫!CG52),0),"")</f>
        <v/>
      </c>
      <c r="AJ55" s="314" t="str">
        <f>IFERROR(VLOOKUP(基本資料填寫!$E$1&amp;"-"&amp;ROW(書籍檔建置!H52),基本資料填寫!$E:$EU,COLUMN(基本資料填寫!K52),0),"")</f>
        <v/>
      </c>
      <c r="AK55" s="314" t="str">
        <f>IFERROR(VLOOKUP(基本資料填寫!$E$1&amp;"-"&amp;ROW(書籍檔建置!CF52),基本資料填寫!$E:$EU,COLUMN(基本資料填寫!CJ52),0),"")</f>
        <v/>
      </c>
      <c r="AL55" s="314" t="str">
        <f>IFERROR(VLOOKUP(基本資料填寫!$E$1&amp;"-"&amp;ROW(書籍檔建置!CG52),基本資料填寫!$E:$EU,COLUMN(基本資料填寫!CK52),0),"")</f>
        <v/>
      </c>
      <c r="AM55" s="314" t="str">
        <f>IFERROR(VLOOKUP(基本資料填寫!$E$1&amp;"-"&amp;ROW(書籍檔建置!BP52),基本資料填寫!$E:$EU,COLUMN(基本資料填寫!BT52),0),"")</f>
        <v/>
      </c>
      <c r="AN55" s="153"/>
    </row>
    <row r="56" spans="2:40" x14ac:dyDescent="0.3">
      <c r="B56" s="47" t="str">
        <f>IF(F56="","",COUNTA($F$4:F56))</f>
        <v/>
      </c>
      <c r="C56" s="314" t="str">
        <f>IFERROR(VLOOKUP(基本資料填寫!$E$1&amp;"-"&amp;ROW(書籍檔建置!K53),基本資料填寫!$E:$EU,COLUMN(基本資料填寫!O53),0),"")</f>
        <v/>
      </c>
      <c r="D56" s="314" t="str">
        <f>IFERROR(VLOOKUP(基本資料填寫!$E$1&amp;"-"&amp;ROW(書籍檔建置!N53),基本資料填寫!$E:$EU,COLUMN(基本資料填寫!R53),0),"")</f>
        <v/>
      </c>
      <c r="E56" s="314" t="str">
        <f>IFERROR(VLOOKUP(基本資料填寫!$E$1&amp;"-"&amp;ROW(書籍檔建置!AF53),基本資料填寫!$E:$EU,COLUMN(基本資料填寫!AJ53),0),"")</f>
        <v/>
      </c>
      <c r="F56" s="314" t="str">
        <f>IFERROR(VLOOKUP(基本資料填寫!$E$1&amp;"-"&amp;ROW(書籍檔建置!J53),基本資料填寫!$E:$EU,COLUMN(基本資料填寫!N53),0),"")</f>
        <v/>
      </c>
      <c r="G56" s="314" t="str">
        <f>IFERROR(VLOOKUP(基本資料填寫!$E$1&amp;"-"&amp;ROW(書籍檔建置!BO53),基本資料填寫!$E:$EU,COLUMN(基本資料填寫!BS53),0),"")</f>
        <v/>
      </c>
      <c r="H56" s="314" t="str">
        <f>IFERROR(VLOOKUP(基本資料填寫!$E$1&amp;"-"&amp;ROW(書籍檔建置!R53),基本資料填寫!$E:$EU,COLUMN(基本資料填寫!V53),0),"")</f>
        <v/>
      </c>
      <c r="I56" s="315" t="str">
        <f>IFERROR(VLOOKUP(基本資料填寫!$E$1&amp;"-"&amp;ROW(書籍檔建置!BQ53),基本資料填寫!$E:$EU,COLUMN(基本資料填寫!BU53),0),"")</f>
        <v/>
      </c>
      <c r="J56" s="314" t="str">
        <f>IFERROR(VLOOKUP(基本資料填寫!$E$1&amp;"-"&amp;ROW(書籍檔建置!BW53),基本資料填寫!$E:$EU,COLUMN(基本資料填寫!CA53),0),"")</f>
        <v/>
      </c>
      <c r="K56" s="314" t="str">
        <f>IFERROR(VLOOKUP(基本資料填寫!$E$1&amp;"-"&amp;ROW(書籍檔建置!BR53),基本資料填寫!$E:$EU,COLUMN(基本資料填寫!BV53),0),"")</f>
        <v/>
      </c>
      <c r="L56" s="314" t="str">
        <f>IFERROR(VLOOKUP(基本資料填寫!$E$1&amp;"-"&amp;ROW(書籍檔建置!BS53),基本資料填寫!$E:$EU,COLUMN(基本資料填寫!BW53),0),"")</f>
        <v/>
      </c>
      <c r="M56" s="166" t="str">
        <f>IFERROR(VLOOKUP(基本資料填寫!$E$1&amp;"-"&amp;ROW(書籍檔建置!BK53),基本資料填寫!$E:$EU,COLUMN(基本資料填寫!BO53),0),"")</f>
        <v/>
      </c>
      <c r="N56" s="314" t="str">
        <f>IFERROR(VLOOKUP(基本資料填寫!$E$1&amp;"-"&amp;ROW(書籍檔建置!AG53),基本資料填寫!$E:$EU,COLUMN(基本資料填寫!AK53),0),"")</f>
        <v/>
      </c>
      <c r="O56" s="314" t="str">
        <f>IFERROR(VLOOKUP(基本資料填寫!$E$1&amp;"-"&amp;ROW(書籍檔建置!BT53),基本資料填寫!$E:$EU,COLUMN(基本資料填寫!BX53),0),"")</f>
        <v/>
      </c>
      <c r="P56" s="314" t="str">
        <f>IFERROR(VLOOKUP(基本資料填寫!$E$1&amp;"-"&amp;ROW(書籍檔建置!BU53),基本資料填寫!$E:$EU,COLUMN(基本資料填寫!BY53),0),"")</f>
        <v/>
      </c>
      <c r="Q56" s="314" t="str">
        <f>IFERROR(VLOOKUP(基本資料填寫!$E$1&amp;"-"&amp;ROW(書籍檔建置!BV53),基本資料填寫!$E:$EU,COLUMN(基本資料填寫!BZ53),0),"")</f>
        <v/>
      </c>
      <c r="R56" s="314" t="str">
        <f>IFERROR(VLOOKUP(基本資料填寫!$E$1&amp;"-"&amp;ROW(書籍檔建置!BX53),基本資料填寫!$E:$EU,COLUMN(基本資料填寫!CB53),0),"")</f>
        <v/>
      </c>
      <c r="S56" s="314" t="str">
        <f>IFERROR(VLOOKUP(基本資料填寫!$E$1&amp;"-"&amp;ROW(書籍檔建置!BY53),基本資料填寫!$E:$EU,COLUMN(基本資料填寫!CC53),0),"")</f>
        <v/>
      </c>
      <c r="T56" s="314" t="str">
        <f>IFERROR(VLOOKUP(基本資料填寫!$E$1&amp;"-"&amp;ROW(書籍檔建置!BZ53),基本資料填寫!$E:$EU,COLUMN(基本資料填寫!CD53),0),"")</f>
        <v/>
      </c>
      <c r="U56" s="314" t="str">
        <f>IFERROR(VLOOKUP(基本資料填寫!$E$1&amp;"-"&amp;ROW(書籍檔建置!CA53),基本資料填寫!$E:$EU,COLUMN(基本資料填寫!CE53),0),"")</f>
        <v/>
      </c>
      <c r="V56" s="166" t="str">
        <f>IFERROR(VLOOKUP(基本資料填寫!$E$1&amp;"-"&amp;ROW(書籍檔建置!BL53),基本資料填寫!$E:$EU,COLUMN(基本資料填寫!BP53),0),"")</f>
        <v/>
      </c>
      <c r="W56" s="178"/>
      <c r="X56" s="178"/>
      <c r="Y56" s="178"/>
      <c r="Z56" s="178"/>
      <c r="AA56" s="178"/>
      <c r="AB56" s="178"/>
      <c r="AC56" s="314" t="str">
        <f>IFERROR(VLOOKUP(基本資料填寫!$E$1&amp;"-"&amp;ROW(書籍檔建置!S53),基本資料填寫!$E:$EU,COLUMN(基本資料填寫!W53),0),"")</f>
        <v/>
      </c>
      <c r="AD56" s="166" t="str">
        <f>IFERROR(VLOOKUP(基本資料填寫!$E$1&amp;"-"&amp;ROW(書籍檔建置!BM53),基本資料填寫!$E:$EU,COLUMN(基本資料填寫!BQ53),0),"")</f>
        <v/>
      </c>
      <c r="AE56" s="178"/>
      <c r="AF56" s="178"/>
      <c r="AG56" s="178"/>
      <c r="AH56" s="314" t="str">
        <f>IFERROR(VLOOKUP(基本資料填寫!$E$1&amp;"-"&amp;ROW(書籍檔建置!CB53),基本資料填寫!$E:$EU,COLUMN(基本資料填寫!CF53),0),"")</f>
        <v/>
      </c>
      <c r="AI56" s="314" t="str">
        <f>IFERROR(VLOOKUP(基本資料填寫!$E$1&amp;"-"&amp;ROW(書籍檔建置!CC53),基本資料填寫!$E:$EU,COLUMN(基本資料填寫!CG53),0),"")</f>
        <v/>
      </c>
      <c r="AJ56" s="314" t="str">
        <f>IFERROR(VLOOKUP(基本資料填寫!$E$1&amp;"-"&amp;ROW(書籍檔建置!H53),基本資料填寫!$E:$EU,COLUMN(基本資料填寫!K53),0),"")</f>
        <v/>
      </c>
      <c r="AK56" s="314" t="str">
        <f>IFERROR(VLOOKUP(基本資料填寫!$E$1&amp;"-"&amp;ROW(書籍檔建置!CF53),基本資料填寫!$E:$EU,COLUMN(基本資料填寫!CJ53),0),"")</f>
        <v/>
      </c>
      <c r="AL56" s="314" t="str">
        <f>IFERROR(VLOOKUP(基本資料填寫!$E$1&amp;"-"&amp;ROW(書籍檔建置!CG53),基本資料填寫!$E:$EU,COLUMN(基本資料填寫!CK53),0),"")</f>
        <v/>
      </c>
      <c r="AM56" s="314" t="str">
        <f>IFERROR(VLOOKUP(基本資料填寫!$E$1&amp;"-"&amp;ROW(書籍檔建置!BP53),基本資料填寫!$E:$EU,COLUMN(基本資料填寫!BT53),0),"")</f>
        <v/>
      </c>
      <c r="AN56" s="153"/>
    </row>
    <row r="57" spans="2:40" x14ac:dyDescent="0.3">
      <c r="B57" s="47" t="str">
        <f>IF(F57="","",COUNTA($F$4:F57))</f>
        <v/>
      </c>
      <c r="C57" s="314" t="str">
        <f>IFERROR(VLOOKUP(基本資料填寫!$E$1&amp;"-"&amp;ROW(書籍檔建置!K54),基本資料填寫!$E:$EU,COLUMN(基本資料填寫!O54),0),"")</f>
        <v/>
      </c>
      <c r="D57" s="314" t="str">
        <f>IFERROR(VLOOKUP(基本資料填寫!$E$1&amp;"-"&amp;ROW(書籍檔建置!N54),基本資料填寫!$E:$EU,COLUMN(基本資料填寫!R54),0),"")</f>
        <v/>
      </c>
      <c r="E57" s="314" t="str">
        <f>IFERROR(VLOOKUP(基本資料填寫!$E$1&amp;"-"&amp;ROW(書籍檔建置!AF54),基本資料填寫!$E:$EU,COLUMN(基本資料填寫!AJ54),0),"")</f>
        <v/>
      </c>
      <c r="F57" s="314" t="str">
        <f>IFERROR(VLOOKUP(基本資料填寫!$E$1&amp;"-"&amp;ROW(書籍檔建置!J54),基本資料填寫!$E:$EU,COLUMN(基本資料填寫!N54),0),"")</f>
        <v/>
      </c>
      <c r="G57" s="314" t="str">
        <f>IFERROR(VLOOKUP(基本資料填寫!$E$1&amp;"-"&amp;ROW(書籍檔建置!BO54),基本資料填寫!$E:$EU,COLUMN(基本資料填寫!BS54),0),"")</f>
        <v/>
      </c>
      <c r="H57" s="314" t="str">
        <f>IFERROR(VLOOKUP(基本資料填寫!$E$1&amp;"-"&amp;ROW(書籍檔建置!R54),基本資料填寫!$E:$EU,COLUMN(基本資料填寫!V54),0),"")</f>
        <v/>
      </c>
      <c r="I57" s="315" t="str">
        <f>IFERROR(VLOOKUP(基本資料填寫!$E$1&amp;"-"&amp;ROW(書籍檔建置!BQ54),基本資料填寫!$E:$EU,COLUMN(基本資料填寫!BU54),0),"")</f>
        <v/>
      </c>
      <c r="J57" s="314" t="str">
        <f>IFERROR(VLOOKUP(基本資料填寫!$E$1&amp;"-"&amp;ROW(書籍檔建置!BW54),基本資料填寫!$E:$EU,COLUMN(基本資料填寫!CA54),0),"")</f>
        <v/>
      </c>
      <c r="K57" s="314" t="str">
        <f>IFERROR(VLOOKUP(基本資料填寫!$E$1&amp;"-"&amp;ROW(書籍檔建置!BR54),基本資料填寫!$E:$EU,COLUMN(基本資料填寫!BV54),0),"")</f>
        <v/>
      </c>
      <c r="L57" s="314" t="str">
        <f>IFERROR(VLOOKUP(基本資料填寫!$E$1&amp;"-"&amp;ROW(書籍檔建置!BS54),基本資料填寫!$E:$EU,COLUMN(基本資料填寫!BW54),0),"")</f>
        <v/>
      </c>
      <c r="M57" s="166" t="str">
        <f>IFERROR(VLOOKUP(基本資料填寫!$E$1&amp;"-"&amp;ROW(書籍檔建置!BK54),基本資料填寫!$E:$EU,COLUMN(基本資料填寫!BO54),0),"")</f>
        <v/>
      </c>
      <c r="N57" s="314" t="str">
        <f>IFERROR(VLOOKUP(基本資料填寫!$E$1&amp;"-"&amp;ROW(書籍檔建置!AG54),基本資料填寫!$E:$EU,COLUMN(基本資料填寫!AK54),0),"")</f>
        <v/>
      </c>
      <c r="O57" s="314" t="str">
        <f>IFERROR(VLOOKUP(基本資料填寫!$E$1&amp;"-"&amp;ROW(書籍檔建置!BT54),基本資料填寫!$E:$EU,COLUMN(基本資料填寫!BX54),0),"")</f>
        <v/>
      </c>
      <c r="P57" s="314" t="str">
        <f>IFERROR(VLOOKUP(基本資料填寫!$E$1&amp;"-"&amp;ROW(書籍檔建置!BU54),基本資料填寫!$E:$EU,COLUMN(基本資料填寫!BY54),0),"")</f>
        <v/>
      </c>
      <c r="Q57" s="314" t="str">
        <f>IFERROR(VLOOKUP(基本資料填寫!$E$1&amp;"-"&amp;ROW(書籍檔建置!BV54),基本資料填寫!$E:$EU,COLUMN(基本資料填寫!BZ54),0),"")</f>
        <v/>
      </c>
      <c r="R57" s="314" t="str">
        <f>IFERROR(VLOOKUP(基本資料填寫!$E$1&amp;"-"&amp;ROW(書籍檔建置!BX54),基本資料填寫!$E:$EU,COLUMN(基本資料填寫!CB54),0),"")</f>
        <v/>
      </c>
      <c r="S57" s="314" t="str">
        <f>IFERROR(VLOOKUP(基本資料填寫!$E$1&amp;"-"&amp;ROW(書籍檔建置!BY54),基本資料填寫!$E:$EU,COLUMN(基本資料填寫!CC54),0),"")</f>
        <v/>
      </c>
      <c r="T57" s="314" t="str">
        <f>IFERROR(VLOOKUP(基本資料填寫!$E$1&amp;"-"&amp;ROW(書籍檔建置!BZ54),基本資料填寫!$E:$EU,COLUMN(基本資料填寫!CD54),0),"")</f>
        <v/>
      </c>
      <c r="U57" s="314" t="str">
        <f>IFERROR(VLOOKUP(基本資料填寫!$E$1&amp;"-"&amp;ROW(書籍檔建置!CA54),基本資料填寫!$E:$EU,COLUMN(基本資料填寫!CE54),0),"")</f>
        <v/>
      </c>
      <c r="V57" s="166" t="str">
        <f>IFERROR(VLOOKUP(基本資料填寫!$E$1&amp;"-"&amp;ROW(書籍檔建置!BL54),基本資料填寫!$E:$EU,COLUMN(基本資料填寫!BP54),0),"")</f>
        <v/>
      </c>
      <c r="W57" s="178"/>
      <c r="X57" s="178"/>
      <c r="Y57" s="178"/>
      <c r="Z57" s="178"/>
      <c r="AA57" s="178"/>
      <c r="AB57" s="178"/>
      <c r="AC57" s="314" t="str">
        <f>IFERROR(VLOOKUP(基本資料填寫!$E$1&amp;"-"&amp;ROW(書籍檔建置!S54),基本資料填寫!$E:$EU,COLUMN(基本資料填寫!W54),0),"")</f>
        <v/>
      </c>
      <c r="AD57" s="166" t="str">
        <f>IFERROR(VLOOKUP(基本資料填寫!$E$1&amp;"-"&amp;ROW(書籍檔建置!BM54),基本資料填寫!$E:$EU,COLUMN(基本資料填寫!BQ54),0),"")</f>
        <v/>
      </c>
      <c r="AE57" s="178"/>
      <c r="AF57" s="178"/>
      <c r="AG57" s="178"/>
      <c r="AH57" s="314" t="str">
        <f>IFERROR(VLOOKUP(基本資料填寫!$E$1&amp;"-"&amp;ROW(書籍檔建置!CB54),基本資料填寫!$E:$EU,COLUMN(基本資料填寫!CF54),0),"")</f>
        <v/>
      </c>
      <c r="AI57" s="314" t="str">
        <f>IFERROR(VLOOKUP(基本資料填寫!$E$1&amp;"-"&amp;ROW(書籍檔建置!CC54),基本資料填寫!$E:$EU,COLUMN(基本資料填寫!CG54),0),"")</f>
        <v/>
      </c>
      <c r="AJ57" s="314" t="str">
        <f>IFERROR(VLOOKUP(基本資料填寫!$E$1&amp;"-"&amp;ROW(書籍檔建置!H54),基本資料填寫!$E:$EU,COLUMN(基本資料填寫!K54),0),"")</f>
        <v/>
      </c>
      <c r="AK57" s="314" t="str">
        <f>IFERROR(VLOOKUP(基本資料填寫!$E$1&amp;"-"&amp;ROW(書籍檔建置!CF54),基本資料填寫!$E:$EU,COLUMN(基本資料填寫!CJ54),0),"")</f>
        <v/>
      </c>
      <c r="AL57" s="314" t="str">
        <f>IFERROR(VLOOKUP(基本資料填寫!$E$1&amp;"-"&amp;ROW(書籍檔建置!CG54),基本資料填寫!$E:$EU,COLUMN(基本資料填寫!CK54),0),"")</f>
        <v/>
      </c>
      <c r="AM57" s="314" t="str">
        <f>IFERROR(VLOOKUP(基本資料填寫!$E$1&amp;"-"&amp;ROW(書籍檔建置!BP54),基本資料填寫!$E:$EU,COLUMN(基本資料填寫!BT54),0),"")</f>
        <v/>
      </c>
      <c r="AN57" s="153"/>
    </row>
    <row r="58" spans="2:40" x14ac:dyDescent="0.3">
      <c r="B58" s="47" t="str">
        <f>IF(F58="","",COUNTA($F$4:F58))</f>
        <v/>
      </c>
      <c r="C58" s="314" t="str">
        <f>IFERROR(VLOOKUP(基本資料填寫!$E$1&amp;"-"&amp;ROW(書籍檔建置!K55),基本資料填寫!$E:$EU,COLUMN(基本資料填寫!O55),0),"")</f>
        <v/>
      </c>
      <c r="D58" s="314" t="str">
        <f>IFERROR(VLOOKUP(基本資料填寫!$E$1&amp;"-"&amp;ROW(書籍檔建置!N55),基本資料填寫!$E:$EU,COLUMN(基本資料填寫!R55),0),"")</f>
        <v/>
      </c>
      <c r="E58" s="314" t="str">
        <f>IFERROR(VLOOKUP(基本資料填寫!$E$1&amp;"-"&amp;ROW(書籍檔建置!AF55),基本資料填寫!$E:$EU,COLUMN(基本資料填寫!AJ55),0),"")</f>
        <v/>
      </c>
      <c r="F58" s="314" t="str">
        <f>IFERROR(VLOOKUP(基本資料填寫!$E$1&amp;"-"&amp;ROW(書籍檔建置!J55),基本資料填寫!$E:$EU,COLUMN(基本資料填寫!N55),0),"")</f>
        <v/>
      </c>
      <c r="G58" s="314" t="str">
        <f>IFERROR(VLOOKUP(基本資料填寫!$E$1&amp;"-"&amp;ROW(書籍檔建置!BO55),基本資料填寫!$E:$EU,COLUMN(基本資料填寫!BS55),0),"")</f>
        <v/>
      </c>
      <c r="H58" s="314" t="str">
        <f>IFERROR(VLOOKUP(基本資料填寫!$E$1&amp;"-"&amp;ROW(書籍檔建置!R55),基本資料填寫!$E:$EU,COLUMN(基本資料填寫!V55),0),"")</f>
        <v/>
      </c>
      <c r="I58" s="315" t="str">
        <f>IFERROR(VLOOKUP(基本資料填寫!$E$1&amp;"-"&amp;ROW(書籍檔建置!BQ55),基本資料填寫!$E:$EU,COLUMN(基本資料填寫!BU55),0),"")</f>
        <v/>
      </c>
      <c r="J58" s="314" t="str">
        <f>IFERROR(VLOOKUP(基本資料填寫!$E$1&amp;"-"&amp;ROW(書籍檔建置!BW55),基本資料填寫!$E:$EU,COLUMN(基本資料填寫!CA55),0),"")</f>
        <v/>
      </c>
      <c r="K58" s="314" t="str">
        <f>IFERROR(VLOOKUP(基本資料填寫!$E$1&amp;"-"&amp;ROW(書籍檔建置!BR55),基本資料填寫!$E:$EU,COLUMN(基本資料填寫!BV55),0),"")</f>
        <v/>
      </c>
      <c r="L58" s="314" t="str">
        <f>IFERROR(VLOOKUP(基本資料填寫!$E$1&amp;"-"&amp;ROW(書籍檔建置!BS55),基本資料填寫!$E:$EU,COLUMN(基本資料填寫!BW55),0),"")</f>
        <v/>
      </c>
      <c r="M58" s="166" t="str">
        <f>IFERROR(VLOOKUP(基本資料填寫!$E$1&amp;"-"&amp;ROW(書籍檔建置!BK55),基本資料填寫!$E:$EU,COLUMN(基本資料填寫!BO55),0),"")</f>
        <v/>
      </c>
      <c r="N58" s="314" t="str">
        <f>IFERROR(VLOOKUP(基本資料填寫!$E$1&amp;"-"&amp;ROW(書籍檔建置!AG55),基本資料填寫!$E:$EU,COLUMN(基本資料填寫!AK55),0),"")</f>
        <v/>
      </c>
      <c r="O58" s="314" t="str">
        <f>IFERROR(VLOOKUP(基本資料填寫!$E$1&amp;"-"&amp;ROW(書籍檔建置!BT55),基本資料填寫!$E:$EU,COLUMN(基本資料填寫!BX55),0),"")</f>
        <v/>
      </c>
      <c r="P58" s="314" t="str">
        <f>IFERROR(VLOOKUP(基本資料填寫!$E$1&amp;"-"&amp;ROW(書籍檔建置!BU55),基本資料填寫!$E:$EU,COLUMN(基本資料填寫!BY55),0),"")</f>
        <v/>
      </c>
      <c r="Q58" s="314" t="str">
        <f>IFERROR(VLOOKUP(基本資料填寫!$E$1&amp;"-"&amp;ROW(書籍檔建置!BV55),基本資料填寫!$E:$EU,COLUMN(基本資料填寫!BZ55),0),"")</f>
        <v/>
      </c>
      <c r="R58" s="314" t="str">
        <f>IFERROR(VLOOKUP(基本資料填寫!$E$1&amp;"-"&amp;ROW(書籍檔建置!BX55),基本資料填寫!$E:$EU,COLUMN(基本資料填寫!CB55),0),"")</f>
        <v/>
      </c>
      <c r="S58" s="314" t="str">
        <f>IFERROR(VLOOKUP(基本資料填寫!$E$1&amp;"-"&amp;ROW(書籍檔建置!BY55),基本資料填寫!$E:$EU,COLUMN(基本資料填寫!CC55),0),"")</f>
        <v/>
      </c>
      <c r="T58" s="314" t="str">
        <f>IFERROR(VLOOKUP(基本資料填寫!$E$1&amp;"-"&amp;ROW(書籍檔建置!BZ55),基本資料填寫!$E:$EU,COLUMN(基本資料填寫!CD55),0),"")</f>
        <v/>
      </c>
      <c r="U58" s="314" t="str">
        <f>IFERROR(VLOOKUP(基本資料填寫!$E$1&amp;"-"&amp;ROW(書籍檔建置!CA55),基本資料填寫!$E:$EU,COLUMN(基本資料填寫!CE55),0),"")</f>
        <v/>
      </c>
      <c r="V58" s="166" t="str">
        <f>IFERROR(VLOOKUP(基本資料填寫!$E$1&amp;"-"&amp;ROW(書籍檔建置!BL55),基本資料填寫!$E:$EU,COLUMN(基本資料填寫!BP55),0),"")</f>
        <v/>
      </c>
      <c r="W58" s="178"/>
      <c r="X58" s="178"/>
      <c r="Y58" s="178"/>
      <c r="Z58" s="178"/>
      <c r="AA58" s="178"/>
      <c r="AB58" s="178"/>
      <c r="AC58" s="314" t="str">
        <f>IFERROR(VLOOKUP(基本資料填寫!$E$1&amp;"-"&amp;ROW(書籍檔建置!S55),基本資料填寫!$E:$EU,COLUMN(基本資料填寫!W55),0),"")</f>
        <v/>
      </c>
      <c r="AD58" s="166" t="str">
        <f>IFERROR(VLOOKUP(基本資料填寫!$E$1&amp;"-"&amp;ROW(書籍檔建置!BM55),基本資料填寫!$E:$EU,COLUMN(基本資料填寫!BQ55),0),"")</f>
        <v/>
      </c>
      <c r="AE58" s="178"/>
      <c r="AF58" s="178"/>
      <c r="AG58" s="178"/>
      <c r="AH58" s="314" t="str">
        <f>IFERROR(VLOOKUP(基本資料填寫!$E$1&amp;"-"&amp;ROW(書籍檔建置!CB55),基本資料填寫!$E:$EU,COLUMN(基本資料填寫!CF55),0),"")</f>
        <v/>
      </c>
      <c r="AI58" s="314" t="str">
        <f>IFERROR(VLOOKUP(基本資料填寫!$E$1&amp;"-"&amp;ROW(書籍檔建置!CC55),基本資料填寫!$E:$EU,COLUMN(基本資料填寫!CG55),0),"")</f>
        <v/>
      </c>
      <c r="AJ58" s="314" t="str">
        <f>IFERROR(VLOOKUP(基本資料填寫!$E$1&amp;"-"&amp;ROW(書籍檔建置!H55),基本資料填寫!$E:$EU,COLUMN(基本資料填寫!K55),0),"")</f>
        <v/>
      </c>
      <c r="AK58" s="314" t="str">
        <f>IFERROR(VLOOKUP(基本資料填寫!$E$1&amp;"-"&amp;ROW(書籍檔建置!CF55),基本資料填寫!$E:$EU,COLUMN(基本資料填寫!CJ55),0),"")</f>
        <v/>
      </c>
      <c r="AL58" s="314" t="str">
        <f>IFERROR(VLOOKUP(基本資料填寫!$E$1&amp;"-"&amp;ROW(書籍檔建置!CG55),基本資料填寫!$E:$EU,COLUMN(基本資料填寫!CK55),0),"")</f>
        <v/>
      </c>
      <c r="AM58" s="314" t="str">
        <f>IFERROR(VLOOKUP(基本資料填寫!$E$1&amp;"-"&amp;ROW(書籍檔建置!BP55),基本資料填寫!$E:$EU,COLUMN(基本資料填寫!BT55),0),"")</f>
        <v/>
      </c>
      <c r="AN58" s="153"/>
    </row>
    <row r="59" spans="2:40" x14ac:dyDescent="0.3">
      <c r="B59" s="47" t="str">
        <f>IF(F59="","",COUNTA($F$4:F59))</f>
        <v/>
      </c>
      <c r="C59" s="314" t="str">
        <f>IFERROR(VLOOKUP(基本資料填寫!$E$1&amp;"-"&amp;ROW(書籍檔建置!K56),基本資料填寫!$E:$EU,COLUMN(基本資料填寫!O56),0),"")</f>
        <v/>
      </c>
      <c r="D59" s="314" t="str">
        <f>IFERROR(VLOOKUP(基本資料填寫!$E$1&amp;"-"&amp;ROW(書籍檔建置!N56),基本資料填寫!$E:$EU,COLUMN(基本資料填寫!R56),0),"")</f>
        <v/>
      </c>
      <c r="E59" s="314" t="str">
        <f>IFERROR(VLOOKUP(基本資料填寫!$E$1&amp;"-"&amp;ROW(書籍檔建置!AF56),基本資料填寫!$E:$EU,COLUMN(基本資料填寫!AJ56),0),"")</f>
        <v/>
      </c>
      <c r="F59" s="314" t="str">
        <f>IFERROR(VLOOKUP(基本資料填寫!$E$1&amp;"-"&amp;ROW(書籍檔建置!J56),基本資料填寫!$E:$EU,COLUMN(基本資料填寫!N56),0),"")</f>
        <v/>
      </c>
      <c r="G59" s="314" t="str">
        <f>IFERROR(VLOOKUP(基本資料填寫!$E$1&amp;"-"&amp;ROW(書籍檔建置!BO56),基本資料填寫!$E:$EU,COLUMN(基本資料填寫!BS56),0),"")</f>
        <v/>
      </c>
      <c r="H59" s="314" t="str">
        <f>IFERROR(VLOOKUP(基本資料填寫!$E$1&amp;"-"&amp;ROW(書籍檔建置!R56),基本資料填寫!$E:$EU,COLUMN(基本資料填寫!V56),0),"")</f>
        <v/>
      </c>
      <c r="I59" s="315" t="str">
        <f>IFERROR(VLOOKUP(基本資料填寫!$E$1&amp;"-"&amp;ROW(書籍檔建置!BQ56),基本資料填寫!$E:$EU,COLUMN(基本資料填寫!BU56),0),"")</f>
        <v/>
      </c>
      <c r="J59" s="314" t="str">
        <f>IFERROR(VLOOKUP(基本資料填寫!$E$1&amp;"-"&amp;ROW(書籍檔建置!BW56),基本資料填寫!$E:$EU,COLUMN(基本資料填寫!CA56),0),"")</f>
        <v/>
      </c>
      <c r="K59" s="314" t="str">
        <f>IFERROR(VLOOKUP(基本資料填寫!$E$1&amp;"-"&amp;ROW(書籍檔建置!BR56),基本資料填寫!$E:$EU,COLUMN(基本資料填寫!BV56),0),"")</f>
        <v/>
      </c>
      <c r="L59" s="314" t="str">
        <f>IFERROR(VLOOKUP(基本資料填寫!$E$1&amp;"-"&amp;ROW(書籍檔建置!BS56),基本資料填寫!$E:$EU,COLUMN(基本資料填寫!BW56),0),"")</f>
        <v/>
      </c>
      <c r="M59" s="166" t="str">
        <f>IFERROR(VLOOKUP(基本資料填寫!$E$1&amp;"-"&amp;ROW(書籍檔建置!BK56),基本資料填寫!$E:$EU,COLUMN(基本資料填寫!BO56),0),"")</f>
        <v/>
      </c>
      <c r="N59" s="314" t="str">
        <f>IFERROR(VLOOKUP(基本資料填寫!$E$1&amp;"-"&amp;ROW(書籍檔建置!AG56),基本資料填寫!$E:$EU,COLUMN(基本資料填寫!AK56),0),"")</f>
        <v/>
      </c>
      <c r="O59" s="314" t="str">
        <f>IFERROR(VLOOKUP(基本資料填寫!$E$1&amp;"-"&amp;ROW(書籍檔建置!BT56),基本資料填寫!$E:$EU,COLUMN(基本資料填寫!BX56),0),"")</f>
        <v/>
      </c>
      <c r="P59" s="314" t="str">
        <f>IFERROR(VLOOKUP(基本資料填寫!$E$1&amp;"-"&amp;ROW(書籍檔建置!BU56),基本資料填寫!$E:$EU,COLUMN(基本資料填寫!BY56),0),"")</f>
        <v/>
      </c>
      <c r="Q59" s="314" t="str">
        <f>IFERROR(VLOOKUP(基本資料填寫!$E$1&amp;"-"&amp;ROW(書籍檔建置!BV56),基本資料填寫!$E:$EU,COLUMN(基本資料填寫!BZ56),0),"")</f>
        <v/>
      </c>
      <c r="R59" s="314" t="str">
        <f>IFERROR(VLOOKUP(基本資料填寫!$E$1&amp;"-"&amp;ROW(書籍檔建置!BX56),基本資料填寫!$E:$EU,COLUMN(基本資料填寫!CB56),0),"")</f>
        <v/>
      </c>
      <c r="S59" s="314" t="str">
        <f>IFERROR(VLOOKUP(基本資料填寫!$E$1&amp;"-"&amp;ROW(書籍檔建置!BY56),基本資料填寫!$E:$EU,COLUMN(基本資料填寫!CC56),0),"")</f>
        <v/>
      </c>
      <c r="T59" s="314" t="str">
        <f>IFERROR(VLOOKUP(基本資料填寫!$E$1&amp;"-"&amp;ROW(書籍檔建置!BZ56),基本資料填寫!$E:$EU,COLUMN(基本資料填寫!CD56),0),"")</f>
        <v/>
      </c>
      <c r="U59" s="314" t="str">
        <f>IFERROR(VLOOKUP(基本資料填寫!$E$1&amp;"-"&amp;ROW(書籍檔建置!CA56),基本資料填寫!$E:$EU,COLUMN(基本資料填寫!CE56),0),"")</f>
        <v/>
      </c>
      <c r="V59" s="166" t="str">
        <f>IFERROR(VLOOKUP(基本資料填寫!$E$1&amp;"-"&amp;ROW(書籍檔建置!BL56),基本資料填寫!$E:$EU,COLUMN(基本資料填寫!BP56),0),"")</f>
        <v/>
      </c>
      <c r="W59" s="178"/>
      <c r="X59" s="178"/>
      <c r="Y59" s="178"/>
      <c r="Z59" s="178"/>
      <c r="AA59" s="178"/>
      <c r="AB59" s="178"/>
      <c r="AC59" s="314" t="str">
        <f>IFERROR(VLOOKUP(基本資料填寫!$E$1&amp;"-"&amp;ROW(書籍檔建置!S56),基本資料填寫!$E:$EU,COLUMN(基本資料填寫!W56),0),"")</f>
        <v/>
      </c>
      <c r="AD59" s="166" t="str">
        <f>IFERROR(VLOOKUP(基本資料填寫!$E$1&amp;"-"&amp;ROW(書籍檔建置!BM56),基本資料填寫!$E:$EU,COLUMN(基本資料填寫!BQ56),0),"")</f>
        <v/>
      </c>
      <c r="AE59" s="178"/>
      <c r="AF59" s="178"/>
      <c r="AG59" s="178"/>
      <c r="AH59" s="314" t="str">
        <f>IFERROR(VLOOKUP(基本資料填寫!$E$1&amp;"-"&amp;ROW(書籍檔建置!CB56),基本資料填寫!$E:$EU,COLUMN(基本資料填寫!CF56),0),"")</f>
        <v/>
      </c>
      <c r="AI59" s="314" t="str">
        <f>IFERROR(VLOOKUP(基本資料填寫!$E$1&amp;"-"&amp;ROW(書籍檔建置!CC56),基本資料填寫!$E:$EU,COLUMN(基本資料填寫!CG56),0),"")</f>
        <v/>
      </c>
      <c r="AJ59" s="314" t="str">
        <f>IFERROR(VLOOKUP(基本資料填寫!$E$1&amp;"-"&amp;ROW(書籍檔建置!H56),基本資料填寫!$E:$EU,COLUMN(基本資料填寫!K56),0),"")</f>
        <v/>
      </c>
      <c r="AK59" s="314" t="str">
        <f>IFERROR(VLOOKUP(基本資料填寫!$E$1&amp;"-"&amp;ROW(書籍檔建置!CF56),基本資料填寫!$E:$EU,COLUMN(基本資料填寫!CJ56),0),"")</f>
        <v/>
      </c>
      <c r="AL59" s="314" t="str">
        <f>IFERROR(VLOOKUP(基本資料填寫!$E$1&amp;"-"&amp;ROW(書籍檔建置!CG56),基本資料填寫!$E:$EU,COLUMN(基本資料填寫!CK56),0),"")</f>
        <v/>
      </c>
      <c r="AM59" s="314" t="str">
        <f>IFERROR(VLOOKUP(基本資料填寫!$E$1&amp;"-"&amp;ROW(書籍檔建置!BP56),基本資料填寫!$E:$EU,COLUMN(基本資料填寫!BT56),0),"")</f>
        <v/>
      </c>
      <c r="AN59" s="153"/>
    </row>
    <row r="60" spans="2:40" x14ac:dyDescent="0.3">
      <c r="B60" s="47" t="str">
        <f>IF(F60="","",COUNTA($F$4:F60))</f>
        <v/>
      </c>
      <c r="C60" s="314" t="str">
        <f>IFERROR(VLOOKUP(基本資料填寫!$E$1&amp;"-"&amp;ROW(書籍檔建置!K57),基本資料填寫!$E:$EU,COLUMN(基本資料填寫!O57),0),"")</f>
        <v/>
      </c>
      <c r="D60" s="314" t="str">
        <f>IFERROR(VLOOKUP(基本資料填寫!$E$1&amp;"-"&amp;ROW(書籍檔建置!N57),基本資料填寫!$E:$EU,COLUMN(基本資料填寫!R57),0),"")</f>
        <v/>
      </c>
      <c r="E60" s="314" t="str">
        <f>IFERROR(VLOOKUP(基本資料填寫!$E$1&amp;"-"&amp;ROW(書籍檔建置!AF57),基本資料填寫!$E:$EU,COLUMN(基本資料填寫!AJ57),0),"")</f>
        <v/>
      </c>
      <c r="F60" s="314" t="str">
        <f>IFERROR(VLOOKUP(基本資料填寫!$E$1&amp;"-"&amp;ROW(書籍檔建置!J57),基本資料填寫!$E:$EU,COLUMN(基本資料填寫!N57),0),"")</f>
        <v/>
      </c>
      <c r="G60" s="314" t="str">
        <f>IFERROR(VLOOKUP(基本資料填寫!$E$1&amp;"-"&amp;ROW(書籍檔建置!BO57),基本資料填寫!$E:$EU,COLUMN(基本資料填寫!BS57),0),"")</f>
        <v/>
      </c>
      <c r="H60" s="314" t="str">
        <f>IFERROR(VLOOKUP(基本資料填寫!$E$1&amp;"-"&amp;ROW(書籍檔建置!R57),基本資料填寫!$E:$EU,COLUMN(基本資料填寫!V57),0),"")</f>
        <v/>
      </c>
      <c r="I60" s="315" t="str">
        <f>IFERROR(VLOOKUP(基本資料填寫!$E$1&amp;"-"&amp;ROW(書籍檔建置!BQ57),基本資料填寫!$E:$EU,COLUMN(基本資料填寫!BU57),0),"")</f>
        <v/>
      </c>
      <c r="J60" s="314" t="str">
        <f>IFERROR(VLOOKUP(基本資料填寫!$E$1&amp;"-"&amp;ROW(書籍檔建置!BW57),基本資料填寫!$E:$EU,COLUMN(基本資料填寫!CA57),0),"")</f>
        <v/>
      </c>
      <c r="K60" s="314" t="str">
        <f>IFERROR(VLOOKUP(基本資料填寫!$E$1&amp;"-"&amp;ROW(書籍檔建置!BR57),基本資料填寫!$E:$EU,COLUMN(基本資料填寫!BV57),0),"")</f>
        <v/>
      </c>
      <c r="L60" s="314" t="str">
        <f>IFERROR(VLOOKUP(基本資料填寫!$E$1&amp;"-"&amp;ROW(書籍檔建置!BS57),基本資料填寫!$E:$EU,COLUMN(基本資料填寫!BW57),0),"")</f>
        <v/>
      </c>
      <c r="M60" s="166" t="str">
        <f>IFERROR(VLOOKUP(基本資料填寫!$E$1&amp;"-"&amp;ROW(書籍檔建置!BK57),基本資料填寫!$E:$EU,COLUMN(基本資料填寫!BO57),0),"")</f>
        <v/>
      </c>
      <c r="N60" s="314" t="str">
        <f>IFERROR(VLOOKUP(基本資料填寫!$E$1&amp;"-"&amp;ROW(書籍檔建置!AG57),基本資料填寫!$E:$EU,COLUMN(基本資料填寫!AK57),0),"")</f>
        <v/>
      </c>
      <c r="O60" s="314" t="str">
        <f>IFERROR(VLOOKUP(基本資料填寫!$E$1&amp;"-"&amp;ROW(書籍檔建置!BT57),基本資料填寫!$E:$EU,COLUMN(基本資料填寫!BX57),0),"")</f>
        <v/>
      </c>
      <c r="P60" s="314" t="str">
        <f>IFERROR(VLOOKUP(基本資料填寫!$E$1&amp;"-"&amp;ROW(書籍檔建置!BU57),基本資料填寫!$E:$EU,COLUMN(基本資料填寫!BY57),0),"")</f>
        <v/>
      </c>
      <c r="Q60" s="314" t="str">
        <f>IFERROR(VLOOKUP(基本資料填寫!$E$1&amp;"-"&amp;ROW(書籍檔建置!BV57),基本資料填寫!$E:$EU,COLUMN(基本資料填寫!BZ57),0),"")</f>
        <v/>
      </c>
      <c r="R60" s="314" t="str">
        <f>IFERROR(VLOOKUP(基本資料填寫!$E$1&amp;"-"&amp;ROW(書籍檔建置!BX57),基本資料填寫!$E:$EU,COLUMN(基本資料填寫!CB57),0),"")</f>
        <v/>
      </c>
      <c r="S60" s="314" t="str">
        <f>IFERROR(VLOOKUP(基本資料填寫!$E$1&amp;"-"&amp;ROW(書籍檔建置!BY57),基本資料填寫!$E:$EU,COLUMN(基本資料填寫!CC57),0),"")</f>
        <v/>
      </c>
      <c r="T60" s="314" t="str">
        <f>IFERROR(VLOOKUP(基本資料填寫!$E$1&amp;"-"&amp;ROW(書籍檔建置!BZ57),基本資料填寫!$E:$EU,COLUMN(基本資料填寫!CD57),0),"")</f>
        <v/>
      </c>
      <c r="U60" s="314" t="str">
        <f>IFERROR(VLOOKUP(基本資料填寫!$E$1&amp;"-"&amp;ROW(書籍檔建置!CA57),基本資料填寫!$E:$EU,COLUMN(基本資料填寫!CE57),0),"")</f>
        <v/>
      </c>
      <c r="V60" s="166" t="str">
        <f>IFERROR(VLOOKUP(基本資料填寫!$E$1&amp;"-"&amp;ROW(書籍檔建置!BL57),基本資料填寫!$E:$EU,COLUMN(基本資料填寫!BP57),0),"")</f>
        <v/>
      </c>
      <c r="W60" s="178"/>
      <c r="X60" s="178"/>
      <c r="Y60" s="178"/>
      <c r="Z60" s="178"/>
      <c r="AA60" s="178"/>
      <c r="AB60" s="178"/>
      <c r="AC60" s="314" t="str">
        <f>IFERROR(VLOOKUP(基本資料填寫!$E$1&amp;"-"&amp;ROW(書籍檔建置!S57),基本資料填寫!$E:$EU,COLUMN(基本資料填寫!W57),0),"")</f>
        <v/>
      </c>
      <c r="AD60" s="166" t="str">
        <f>IFERROR(VLOOKUP(基本資料填寫!$E$1&amp;"-"&amp;ROW(書籍檔建置!BM57),基本資料填寫!$E:$EU,COLUMN(基本資料填寫!BQ57),0),"")</f>
        <v/>
      </c>
      <c r="AE60" s="178"/>
      <c r="AF60" s="178"/>
      <c r="AG60" s="178"/>
      <c r="AH60" s="314" t="str">
        <f>IFERROR(VLOOKUP(基本資料填寫!$E$1&amp;"-"&amp;ROW(書籍檔建置!CB57),基本資料填寫!$E:$EU,COLUMN(基本資料填寫!CF57),0),"")</f>
        <v/>
      </c>
      <c r="AI60" s="314" t="str">
        <f>IFERROR(VLOOKUP(基本資料填寫!$E$1&amp;"-"&amp;ROW(書籍檔建置!CC57),基本資料填寫!$E:$EU,COLUMN(基本資料填寫!CG57),0),"")</f>
        <v/>
      </c>
      <c r="AJ60" s="314" t="str">
        <f>IFERROR(VLOOKUP(基本資料填寫!$E$1&amp;"-"&amp;ROW(書籍檔建置!H57),基本資料填寫!$E:$EU,COLUMN(基本資料填寫!K57),0),"")</f>
        <v/>
      </c>
      <c r="AK60" s="314" t="str">
        <f>IFERROR(VLOOKUP(基本資料填寫!$E$1&amp;"-"&amp;ROW(書籍檔建置!CF57),基本資料填寫!$E:$EU,COLUMN(基本資料填寫!CJ57),0),"")</f>
        <v/>
      </c>
      <c r="AL60" s="314" t="str">
        <f>IFERROR(VLOOKUP(基本資料填寫!$E$1&amp;"-"&amp;ROW(書籍檔建置!CG57),基本資料填寫!$E:$EU,COLUMN(基本資料填寫!CK57),0),"")</f>
        <v/>
      </c>
      <c r="AM60" s="314" t="str">
        <f>IFERROR(VLOOKUP(基本資料填寫!$E$1&amp;"-"&amp;ROW(書籍檔建置!BP57),基本資料填寫!$E:$EU,COLUMN(基本資料填寫!BT57),0),"")</f>
        <v/>
      </c>
      <c r="AN60" s="153"/>
    </row>
    <row r="61" spans="2:40" x14ac:dyDescent="0.3">
      <c r="B61" s="47" t="str">
        <f>IF(F61="","",COUNTA($F$4:F61))</f>
        <v/>
      </c>
      <c r="C61" s="314" t="str">
        <f>IFERROR(VLOOKUP(基本資料填寫!$E$1&amp;"-"&amp;ROW(書籍檔建置!K58),基本資料填寫!$E:$EU,COLUMN(基本資料填寫!O58),0),"")</f>
        <v/>
      </c>
      <c r="D61" s="314" t="str">
        <f>IFERROR(VLOOKUP(基本資料填寫!$E$1&amp;"-"&amp;ROW(書籍檔建置!N58),基本資料填寫!$E:$EU,COLUMN(基本資料填寫!R58),0),"")</f>
        <v/>
      </c>
      <c r="E61" s="314" t="str">
        <f>IFERROR(VLOOKUP(基本資料填寫!$E$1&amp;"-"&amp;ROW(書籍檔建置!AF58),基本資料填寫!$E:$EU,COLUMN(基本資料填寫!AJ58),0),"")</f>
        <v/>
      </c>
      <c r="F61" s="314" t="str">
        <f>IFERROR(VLOOKUP(基本資料填寫!$E$1&amp;"-"&amp;ROW(書籍檔建置!J58),基本資料填寫!$E:$EU,COLUMN(基本資料填寫!N58),0),"")</f>
        <v/>
      </c>
      <c r="G61" s="314" t="str">
        <f>IFERROR(VLOOKUP(基本資料填寫!$E$1&amp;"-"&amp;ROW(書籍檔建置!BO58),基本資料填寫!$E:$EU,COLUMN(基本資料填寫!BS58),0),"")</f>
        <v/>
      </c>
      <c r="H61" s="314" t="str">
        <f>IFERROR(VLOOKUP(基本資料填寫!$E$1&amp;"-"&amp;ROW(書籍檔建置!R58),基本資料填寫!$E:$EU,COLUMN(基本資料填寫!V58),0),"")</f>
        <v/>
      </c>
      <c r="I61" s="315" t="str">
        <f>IFERROR(VLOOKUP(基本資料填寫!$E$1&amp;"-"&amp;ROW(書籍檔建置!BQ58),基本資料填寫!$E:$EU,COLUMN(基本資料填寫!BU58),0),"")</f>
        <v/>
      </c>
      <c r="J61" s="314" t="str">
        <f>IFERROR(VLOOKUP(基本資料填寫!$E$1&amp;"-"&amp;ROW(書籍檔建置!BW58),基本資料填寫!$E:$EU,COLUMN(基本資料填寫!CA58),0),"")</f>
        <v/>
      </c>
      <c r="K61" s="314" t="str">
        <f>IFERROR(VLOOKUP(基本資料填寫!$E$1&amp;"-"&amp;ROW(書籍檔建置!BR58),基本資料填寫!$E:$EU,COLUMN(基本資料填寫!BV58),0),"")</f>
        <v/>
      </c>
      <c r="L61" s="314" t="str">
        <f>IFERROR(VLOOKUP(基本資料填寫!$E$1&amp;"-"&amp;ROW(書籍檔建置!BS58),基本資料填寫!$E:$EU,COLUMN(基本資料填寫!BW58),0),"")</f>
        <v/>
      </c>
      <c r="M61" s="166" t="str">
        <f>IFERROR(VLOOKUP(基本資料填寫!$E$1&amp;"-"&amp;ROW(書籍檔建置!BK58),基本資料填寫!$E:$EU,COLUMN(基本資料填寫!BO58),0),"")</f>
        <v/>
      </c>
      <c r="N61" s="314" t="str">
        <f>IFERROR(VLOOKUP(基本資料填寫!$E$1&amp;"-"&amp;ROW(書籍檔建置!AG58),基本資料填寫!$E:$EU,COLUMN(基本資料填寫!AK58),0),"")</f>
        <v/>
      </c>
      <c r="O61" s="314" t="str">
        <f>IFERROR(VLOOKUP(基本資料填寫!$E$1&amp;"-"&amp;ROW(書籍檔建置!BT58),基本資料填寫!$E:$EU,COLUMN(基本資料填寫!BX58),0),"")</f>
        <v/>
      </c>
      <c r="P61" s="314" t="str">
        <f>IFERROR(VLOOKUP(基本資料填寫!$E$1&amp;"-"&amp;ROW(書籍檔建置!BU58),基本資料填寫!$E:$EU,COLUMN(基本資料填寫!BY58),0),"")</f>
        <v/>
      </c>
      <c r="Q61" s="314" t="str">
        <f>IFERROR(VLOOKUP(基本資料填寫!$E$1&amp;"-"&amp;ROW(書籍檔建置!BV58),基本資料填寫!$E:$EU,COLUMN(基本資料填寫!BZ58),0),"")</f>
        <v/>
      </c>
      <c r="R61" s="314" t="str">
        <f>IFERROR(VLOOKUP(基本資料填寫!$E$1&amp;"-"&amp;ROW(書籍檔建置!BX58),基本資料填寫!$E:$EU,COLUMN(基本資料填寫!CB58),0),"")</f>
        <v/>
      </c>
      <c r="S61" s="314" t="str">
        <f>IFERROR(VLOOKUP(基本資料填寫!$E$1&amp;"-"&amp;ROW(書籍檔建置!BY58),基本資料填寫!$E:$EU,COLUMN(基本資料填寫!CC58),0),"")</f>
        <v/>
      </c>
      <c r="T61" s="314" t="str">
        <f>IFERROR(VLOOKUP(基本資料填寫!$E$1&amp;"-"&amp;ROW(書籍檔建置!BZ58),基本資料填寫!$E:$EU,COLUMN(基本資料填寫!CD58),0),"")</f>
        <v/>
      </c>
      <c r="U61" s="314" t="str">
        <f>IFERROR(VLOOKUP(基本資料填寫!$E$1&amp;"-"&amp;ROW(書籍檔建置!CA58),基本資料填寫!$E:$EU,COLUMN(基本資料填寫!CE58),0),"")</f>
        <v/>
      </c>
      <c r="V61" s="166" t="str">
        <f>IFERROR(VLOOKUP(基本資料填寫!$E$1&amp;"-"&amp;ROW(書籍檔建置!BL58),基本資料填寫!$E:$EU,COLUMN(基本資料填寫!BP58),0),"")</f>
        <v/>
      </c>
      <c r="W61" s="178"/>
      <c r="X61" s="178"/>
      <c r="Y61" s="178"/>
      <c r="Z61" s="178"/>
      <c r="AA61" s="178"/>
      <c r="AB61" s="178"/>
      <c r="AC61" s="314" t="str">
        <f>IFERROR(VLOOKUP(基本資料填寫!$E$1&amp;"-"&amp;ROW(書籍檔建置!S58),基本資料填寫!$E:$EU,COLUMN(基本資料填寫!W58),0),"")</f>
        <v/>
      </c>
      <c r="AD61" s="166" t="str">
        <f>IFERROR(VLOOKUP(基本資料填寫!$E$1&amp;"-"&amp;ROW(書籍檔建置!BM58),基本資料填寫!$E:$EU,COLUMN(基本資料填寫!BQ58),0),"")</f>
        <v/>
      </c>
      <c r="AE61" s="178"/>
      <c r="AF61" s="178"/>
      <c r="AG61" s="178"/>
      <c r="AH61" s="314" t="str">
        <f>IFERROR(VLOOKUP(基本資料填寫!$E$1&amp;"-"&amp;ROW(書籍檔建置!CB58),基本資料填寫!$E:$EU,COLUMN(基本資料填寫!CF58),0),"")</f>
        <v/>
      </c>
      <c r="AI61" s="314" t="str">
        <f>IFERROR(VLOOKUP(基本資料填寫!$E$1&amp;"-"&amp;ROW(書籍檔建置!CC58),基本資料填寫!$E:$EU,COLUMN(基本資料填寫!CG58),0),"")</f>
        <v/>
      </c>
      <c r="AJ61" s="314" t="str">
        <f>IFERROR(VLOOKUP(基本資料填寫!$E$1&amp;"-"&amp;ROW(書籍檔建置!H58),基本資料填寫!$E:$EU,COLUMN(基本資料填寫!K58),0),"")</f>
        <v/>
      </c>
      <c r="AK61" s="314" t="str">
        <f>IFERROR(VLOOKUP(基本資料填寫!$E$1&amp;"-"&amp;ROW(書籍檔建置!CF58),基本資料填寫!$E:$EU,COLUMN(基本資料填寫!CJ58),0),"")</f>
        <v/>
      </c>
      <c r="AL61" s="314" t="str">
        <f>IFERROR(VLOOKUP(基本資料填寫!$E$1&amp;"-"&amp;ROW(書籍檔建置!CG58),基本資料填寫!$E:$EU,COLUMN(基本資料填寫!CK58),0),"")</f>
        <v/>
      </c>
      <c r="AM61" s="314" t="str">
        <f>IFERROR(VLOOKUP(基本資料填寫!$E$1&amp;"-"&amp;ROW(書籍檔建置!BP58),基本資料填寫!$E:$EU,COLUMN(基本資料填寫!BT58),0),"")</f>
        <v/>
      </c>
      <c r="AN61" s="153"/>
    </row>
    <row r="62" spans="2:40" x14ac:dyDescent="0.3">
      <c r="B62" s="47" t="str">
        <f>IF(F62="","",COUNTA($F$4:F62))</f>
        <v/>
      </c>
      <c r="C62" s="314" t="str">
        <f>IFERROR(VLOOKUP(基本資料填寫!$E$1&amp;"-"&amp;ROW(書籍檔建置!K59),基本資料填寫!$E:$EU,COLUMN(基本資料填寫!O59),0),"")</f>
        <v/>
      </c>
      <c r="D62" s="314" t="str">
        <f>IFERROR(VLOOKUP(基本資料填寫!$E$1&amp;"-"&amp;ROW(書籍檔建置!N59),基本資料填寫!$E:$EU,COLUMN(基本資料填寫!R59),0),"")</f>
        <v/>
      </c>
      <c r="E62" s="314" t="str">
        <f>IFERROR(VLOOKUP(基本資料填寫!$E$1&amp;"-"&amp;ROW(書籍檔建置!AF59),基本資料填寫!$E:$EU,COLUMN(基本資料填寫!AJ59),0),"")</f>
        <v/>
      </c>
      <c r="F62" s="314" t="str">
        <f>IFERROR(VLOOKUP(基本資料填寫!$E$1&amp;"-"&amp;ROW(書籍檔建置!J59),基本資料填寫!$E:$EU,COLUMN(基本資料填寫!N59),0),"")</f>
        <v/>
      </c>
      <c r="G62" s="314" t="str">
        <f>IFERROR(VLOOKUP(基本資料填寫!$E$1&amp;"-"&amp;ROW(書籍檔建置!BO59),基本資料填寫!$E:$EU,COLUMN(基本資料填寫!BS59),0),"")</f>
        <v/>
      </c>
      <c r="H62" s="314" t="str">
        <f>IFERROR(VLOOKUP(基本資料填寫!$E$1&amp;"-"&amp;ROW(書籍檔建置!R59),基本資料填寫!$E:$EU,COLUMN(基本資料填寫!V59),0),"")</f>
        <v/>
      </c>
      <c r="I62" s="315" t="str">
        <f>IFERROR(VLOOKUP(基本資料填寫!$E$1&amp;"-"&amp;ROW(書籍檔建置!BQ59),基本資料填寫!$E:$EU,COLUMN(基本資料填寫!BU59),0),"")</f>
        <v/>
      </c>
      <c r="J62" s="314" t="str">
        <f>IFERROR(VLOOKUP(基本資料填寫!$E$1&amp;"-"&amp;ROW(書籍檔建置!BW59),基本資料填寫!$E:$EU,COLUMN(基本資料填寫!CA59),0),"")</f>
        <v/>
      </c>
      <c r="K62" s="314" t="str">
        <f>IFERROR(VLOOKUP(基本資料填寫!$E$1&amp;"-"&amp;ROW(書籍檔建置!BR59),基本資料填寫!$E:$EU,COLUMN(基本資料填寫!BV59),0),"")</f>
        <v/>
      </c>
      <c r="L62" s="314" t="str">
        <f>IFERROR(VLOOKUP(基本資料填寫!$E$1&amp;"-"&amp;ROW(書籍檔建置!BS59),基本資料填寫!$E:$EU,COLUMN(基本資料填寫!BW59),0),"")</f>
        <v/>
      </c>
      <c r="M62" s="166" t="str">
        <f>IFERROR(VLOOKUP(基本資料填寫!$E$1&amp;"-"&amp;ROW(書籍檔建置!BK59),基本資料填寫!$E:$EU,COLUMN(基本資料填寫!BO59),0),"")</f>
        <v/>
      </c>
      <c r="N62" s="314" t="str">
        <f>IFERROR(VLOOKUP(基本資料填寫!$E$1&amp;"-"&amp;ROW(書籍檔建置!AG59),基本資料填寫!$E:$EU,COLUMN(基本資料填寫!AK59),0),"")</f>
        <v/>
      </c>
      <c r="O62" s="314" t="str">
        <f>IFERROR(VLOOKUP(基本資料填寫!$E$1&amp;"-"&amp;ROW(書籍檔建置!BT59),基本資料填寫!$E:$EU,COLUMN(基本資料填寫!BX59),0),"")</f>
        <v/>
      </c>
      <c r="P62" s="314" t="str">
        <f>IFERROR(VLOOKUP(基本資料填寫!$E$1&amp;"-"&amp;ROW(書籍檔建置!BU59),基本資料填寫!$E:$EU,COLUMN(基本資料填寫!BY59),0),"")</f>
        <v/>
      </c>
      <c r="Q62" s="314" t="str">
        <f>IFERROR(VLOOKUP(基本資料填寫!$E$1&amp;"-"&amp;ROW(書籍檔建置!BV59),基本資料填寫!$E:$EU,COLUMN(基本資料填寫!BZ59),0),"")</f>
        <v/>
      </c>
      <c r="R62" s="314" t="str">
        <f>IFERROR(VLOOKUP(基本資料填寫!$E$1&amp;"-"&amp;ROW(書籍檔建置!BX59),基本資料填寫!$E:$EU,COLUMN(基本資料填寫!CB59),0),"")</f>
        <v/>
      </c>
      <c r="S62" s="314" t="str">
        <f>IFERROR(VLOOKUP(基本資料填寫!$E$1&amp;"-"&amp;ROW(書籍檔建置!BY59),基本資料填寫!$E:$EU,COLUMN(基本資料填寫!CC59),0),"")</f>
        <v/>
      </c>
      <c r="T62" s="314" t="str">
        <f>IFERROR(VLOOKUP(基本資料填寫!$E$1&amp;"-"&amp;ROW(書籍檔建置!BZ59),基本資料填寫!$E:$EU,COLUMN(基本資料填寫!CD59),0),"")</f>
        <v/>
      </c>
      <c r="U62" s="314" t="str">
        <f>IFERROR(VLOOKUP(基本資料填寫!$E$1&amp;"-"&amp;ROW(書籍檔建置!CA59),基本資料填寫!$E:$EU,COLUMN(基本資料填寫!CE59),0),"")</f>
        <v/>
      </c>
      <c r="V62" s="166" t="str">
        <f>IFERROR(VLOOKUP(基本資料填寫!$E$1&amp;"-"&amp;ROW(書籍檔建置!BL59),基本資料填寫!$E:$EU,COLUMN(基本資料填寫!BP59),0),"")</f>
        <v/>
      </c>
      <c r="W62" s="178"/>
      <c r="X62" s="178"/>
      <c r="Y62" s="178"/>
      <c r="Z62" s="178"/>
      <c r="AA62" s="178"/>
      <c r="AB62" s="178"/>
      <c r="AC62" s="314" t="str">
        <f>IFERROR(VLOOKUP(基本資料填寫!$E$1&amp;"-"&amp;ROW(書籍檔建置!S59),基本資料填寫!$E:$EU,COLUMN(基本資料填寫!W59),0),"")</f>
        <v/>
      </c>
      <c r="AD62" s="166" t="str">
        <f>IFERROR(VLOOKUP(基本資料填寫!$E$1&amp;"-"&amp;ROW(書籍檔建置!BM59),基本資料填寫!$E:$EU,COLUMN(基本資料填寫!BQ59),0),"")</f>
        <v/>
      </c>
      <c r="AE62" s="178"/>
      <c r="AF62" s="178"/>
      <c r="AG62" s="178"/>
      <c r="AH62" s="314" t="str">
        <f>IFERROR(VLOOKUP(基本資料填寫!$E$1&amp;"-"&amp;ROW(書籍檔建置!CB59),基本資料填寫!$E:$EU,COLUMN(基本資料填寫!CF59),0),"")</f>
        <v/>
      </c>
      <c r="AI62" s="314" t="str">
        <f>IFERROR(VLOOKUP(基本資料填寫!$E$1&amp;"-"&amp;ROW(書籍檔建置!CC59),基本資料填寫!$E:$EU,COLUMN(基本資料填寫!CG59),0),"")</f>
        <v/>
      </c>
      <c r="AJ62" s="314" t="str">
        <f>IFERROR(VLOOKUP(基本資料填寫!$E$1&amp;"-"&amp;ROW(書籍檔建置!H59),基本資料填寫!$E:$EU,COLUMN(基本資料填寫!K59),0),"")</f>
        <v/>
      </c>
      <c r="AK62" s="314" t="str">
        <f>IFERROR(VLOOKUP(基本資料填寫!$E$1&amp;"-"&amp;ROW(書籍檔建置!CF59),基本資料填寫!$E:$EU,COLUMN(基本資料填寫!CJ59),0),"")</f>
        <v/>
      </c>
      <c r="AL62" s="314" t="str">
        <f>IFERROR(VLOOKUP(基本資料填寫!$E$1&amp;"-"&amp;ROW(書籍檔建置!CG59),基本資料填寫!$E:$EU,COLUMN(基本資料填寫!CK59),0),"")</f>
        <v/>
      </c>
      <c r="AM62" s="314" t="str">
        <f>IFERROR(VLOOKUP(基本資料填寫!$E$1&amp;"-"&amp;ROW(書籍檔建置!BP59),基本資料填寫!$E:$EU,COLUMN(基本資料填寫!BT59),0),"")</f>
        <v/>
      </c>
      <c r="AN62" s="153"/>
    </row>
    <row r="63" spans="2:40" x14ac:dyDescent="0.3">
      <c r="B63" s="47" t="str">
        <f>IF(F63="","",COUNTA($F$4:F63))</f>
        <v/>
      </c>
      <c r="C63" s="314" t="str">
        <f>IFERROR(VLOOKUP(基本資料填寫!$E$1&amp;"-"&amp;ROW(書籍檔建置!K60),基本資料填寫!$E:$EU,COLUMN(基本資料填寫!O60),0),"")</f>
        <v/>
      </c>
      <c r="D63" s="314" t="str">
        <f>IFERROR(VLOOKUP(基本資料填寫!$E$1&amp;"-"&amp;ROW(書籍檔建置!N60),基本資料填寫!$E:$EU,COLUMN(基本資料填寫!R60),0),"")</f>
        <v/>
      </c>
      <c r="E63" s="314" t="str">
        <f>IFERROR(VLOOKUP(基本資料填寫!$E$1&amp;"-"&amp;ROW(書籍檔建置!AF60),基本資料填寫!$E:$EU,COLUMN(基本資料填寫!AJ60),0),"")</f>
        <v/>
      </c>
      <c r="F63" s="314" t="str">
        <f>IFERROR(VLOOKUP(基本資料填寫!$E$1&amp;"-"&amp;ROW(書籍檔建置!J60),基本資料填寫!$E:$EU,COLUMN(基本資料填寫!N60),0),"")</f>
        <v/>
      </c>
      <c r="G63" s="314" t="str">
        <f>IFERROR(VLOOKUP(基本資料填寫!$E$1&amp;"-"&amp;ROW(書籍檔建置!BO60),基本資料填寫!$E:$EU,COLUMN(基本資料填寫!BS60),0),"")</f>
        <v/>
      </c>
      <c r="H63" s="314" t="str">
        <f>IFERROR(VLOOKUP(基本資料填寫!$E$1&amp;"-"&amp;ROW(書籍檔建置!R60),基本資料填寫!$E:$EU,COLUMN(基本資料填寫!V60),0),"")</f>
        <v/>
      </c>
      <c r="I63" s="315" t="str">
        <f>IFERROR(VLOOKUP(基本資料填寫!$E$1&amp;"-"&amp;ROW(書籍檔建置!BQ60),基本資料填寫!$E:$EU,COLUMN(基本資料填寫!BU60),0),"")</f>
        <v/>
      </c>
      <c r="J63" s="314" t="str">
        <f>IFERROR(VLOOKUP(基本資料填寫!$E$1&amp;"-"&amp;ROW(書籍檔建置!BW60),基本資料填寫!$E:$EU,COLUMN(基本資料填寫!CA60),0),"")</f>
        <v/>
      </c>
      <c r="K63" s="314" t="str">
        <f>IFERROR(VLOOKUP(基本資料填寫!$E$1&amp;"-"&amp;ROW(書籍檔建置!BR60),基本資料填寫!$E:$EU,COLUMN(基本資料填寫!BV60),0),"")</f>
        <v/>
      </c>
      <c r="L63" s="314" t="str">
        <f>IFERROR(VLOOKUP(基本資料填寫!$E$1&amp;"-"&amp;ROW(書籍檔建置!BS60),基本資料填寫!$E:$EU,COLUMN(基本資料填寫!BW60),0),"")</f>
        <v/>
      </c>
      <c r="M63" s="166" t="str">
        <f>IFERROR(VLOOKUP(基本資料填寫!$E$1&amp;"-"&amp;ROW(書籍檔建置!BK60),基本資料填寫!$E:$EU,COLUMN(基本資料填寫!BO60),0),"")</f>
        <v/>
      </c>
      <c r="N63" s="314" t="str">
        <f>IFERROR(VLOOKUP(基本資料填寫!$E$1&amp;"-"&amp;ROW(書籍檔建置!AG60),基本資料填寫!$E:$EU,COLUMN(基本資料填寫!AK60),0),"")</f>
        <v/>
      </c>
      <c r="O63" s="314" t="str">
        <f>IFERROR(VLOOKUP(基本資料填寫!$E$1&amp;"-"&amp;ROW(書籍檔建置!BT60),基本資料填寫!$E:$EU,COLUMN(基本資料填寫!BX60),0),"")</f>
        <v/>
      </c>
      <c r="P63" s="314" t="str">
        <f>IFERROR(VLOOKUP(基本資料填寫!$E$1&amp;"-"&amp;ROW(書籍檔建置!BU60),基本資料填寫!$E:$EU,COLUMN(基本資料填寫!BY60),0),"")</f>
        <v/>
      </c>
      <c r="Q63" s="314" t="str">
        <f>IFERROR(VLOOKUP(基本資料填寫!$E$1&amp;"-"&amp;ROW(書籍檔建置!BV60),基本資料填寫!$E:$EU,COLUMN(基本資料填寫!BZ60),0),"")</f>
        <v/>
      </c>
      <c r="R63" s="314" t="str">
        <f>IFERROR(VLOOKUP(基本資料填寫!$E$1&amp;"-"&amp;ROW(書籍檔建置!BX60),基本資料填寫!$E:$EU,COLUMN(基本資料填寫!CB60),0),"")</f>
        <v/>
      </c>
      <c r="S63" s="314" t="str">
        <f>IFERROR(VLOOKUP(基本資料填寫!$E$1&amp;"-"&amp;ROW(書籍檔建置!BY60),基本資料填寫!$E:$EU,COLUMN(基本資料填寫!CC60),0),"")</f>
        <v/>
      </c>
      <c r="T63" s="314" t="str">
        <f>IFERROR(VLOOKUP(基本資料填寫!$E$1&amp;"-"&amp;ROW(書籍檔建置!BZ60),基本資料填寫!$E:$EU,COLUMN(基本資料填寫!CD60),0),"")</f>
        <v/>
      </c>
      <c r="U63" s="314" t="str">
        <f>IFERROR(VLOOKUP(基本資料填寫!$E$1&amp;"-"&amp;ROW(書籍檔建置!CA60),基本資料填寫!$E:$EU,COLUMN(基本資料填寫!CE60),0),"")</f>
        <v/>
      </c>
      <c r="V63" s="166" t="str">
        <f>IFERROR(VLOOKUP(基本資料填寫!$E$1&amp;"-"&amp;ROW(書籍檔建置!BL60),基本資料填寫!$E:$EU,COLUMN(基本資料填寫!BP60),0),"")</f>
        <v/>
      </c>
      <c r="W63" s="178"/>
      <c r="X63" s="178"/>
      <c r="Y63" s="178"/>
      <c r="Z63" s="178"/>
      <c r="AA63" s="178"/>
      <c r="AB63" s="178"/>
      <c r="AC63" s="314" t="str">
        <f>IFERROR(VLOOKUP(基本資料填寫!$E$1&amp;"-"&amp;ROW(書籍檔建置!S60),基本資料填寫!$E:$EU,COLUMN(基本資料填寫!W60),0),"")</f>
        <v/>
      </c>
      <c r="AD63" s="166" t="str">
        <f>IFERROR(VLOOKUP(基本資料填寫!$E$1&amp;"-"&amp;ROW(書籍檔建置!BM60),基本資料填寫!$E:$EU,COLUMN(基本資料填寫!BQ60),0),"")</f>
        <v/>
      </c>
      <c r="AE63" s="178"/>
      <c r="AF63" s="178"/>
      <c r="AG63" s="178"/>
      <c r="AH63" s="314" t="str">
        <f>IFERROR(VLOOKUP(基本資料填寫!$E$1&amp;"-"&amp;ROW(書籍檔建置!CB60),基本資料填寫!$E:$EU,COLUMN(基本資料填寫!CF60),0),"")</f>
        <v/>
      </c>
      <c r="AI63" s="314" t="str">
        <f>IFERROR(VLOOKUP(基本資料填寫!$E$1&amp;"-"&amp;ROW(書籍檔建置!CC60),基本資料填寫!$E:$EU,COLUMN(基本資料填寫!CG60),0),"")</f>
        <v/>
      </c>
      <c r="AJ63" s="314" t="str">
        <f>IFERROR(VLOOKUP(基本資料填寫!$E$1&amp;"-"&amp;ROW(書籍檔建置!H60),基本資料填寫!$E:$EU,COLUMN(基本資料填寫!K60),0),"")</f>
        <v/>
      </c>
      <c r="AK63" s="314" t="str">
        <f>IFERROR(VLOOKUP(基本資料填寫!$E$1&amp;"-"&amp;ROW(書籍檔建置!CF60),基本資料填寫!$E:$EU,COLUMN(基本資料填寫!CJ60),0),"")</f>
        <v/>
      </c>
      <c r="AL63" s="314" t="str">
        <f>IFERROR(VLOOKUP(基本資料填寫!$E$1&amp;"-"&amp;ROW(書籍檔建置!CG60),基本資料填寫!$E:$EU,COLUMN(基本資料填寫!CK60),0),"")</f>
        <v/>
      </c>
      <c r="AM63" s="314" t="str">
        <f>IFERROR(VLOOKUP(基本資料填寫!$E$1&amp;"-"&amp;ROW(書籍檔建置!BP60),基本資料填寫!$E:$EU,COLUMN(基本資料填寫!BT60),0),"")</f>
        <v/>
      </c>
      <c r="AN63" s="153"/>
    </row>
    <row r="64" spans="2:40" x14ac:dyDescent="0.3">
      <c r="B64" s="47" t="str">
        <f>IF(F64="","",COUNTA($F$4:F64))</f>
        <v/>
      </c>
      <c r="C64" s="314" t="str">
        <f>IFERROR(VLOOKUP(基本資料填寫!$E$1&amp;"-"&amp;ROW(書籍檔建置!K61),基本資料填寫!$E:$EU,COLUMN(基本資料填寫!O61),0),"")</f>
        <v/>
      </c>
      <c r="D64" s="314" t="str">
        <f>IFERROR(VLOOKUP(基本資料填寫!$E$1&amp;"-"&amp;ROW(書籍檔建置!N61),基本資料填寫!$E:$EU,COLUMN(基本資料填寫!R61),0),"")</f>
        <v/>
      </c>
      <c r="E64" s="314" t="str">
        <f>IFERROR(VLOOKUP(基本資料填寫!$E$1&amp;"-"&amp;ROW(書籍檔建置!AF61),基本資料填寫!$E:$EU,COLUMN(基本資料填寫!AJ61),0),"")</f>
        <v/>
      </c>
      <c r="F64" s="314" t="str">
        <f>IFERROR(VLOOKUP(基本資料填寫!$E$1&amp;"-"&amp;ROW(書籍檔建置!J61),基本資料填寫!$E:$EU,COLUMN(基本資料填寫!N61),0),"")</f>
        <v/>
      </c>
      <c r="G64" s="314" t="str">
        <f>IFERROR(VLOOKUP(基本資料填寫!$E$1&amp;"-"&amp;ROW(書籍檔建置!BO61),基本資料填寫!$E:$EU,COLUMN(基本資料填寫!BS61),0),"")</f>
        <v/>
      </c>
      <c r="H64" s="314" t="str">
        <f>IFERROR(VLOOKUP(基本資料填寫!$E$1&amp;"-"&amp;ROW(書籍檔建置!R61),基本資料填寫!$E:$EU,COLUMN(基本資料填寫!V61),0),"")</f>
        <v/>
      </c>
      <c r="I64" s="315" t="str">
        <f>IFERROR(VLOOKUP(基本資料填寫!$E$1&amp;"-"&amp;ROW(書籍檔建置!BQ61),基本資料填寫!$E:$EU,COLUMN(基本資料填寫!BU61),0),"")</f>
        <v/>
      </c>
      <c r="J64" s="314" t="str">
        <f>IFERROR(VLOOKUP(基本資料填寫!$E$1&amp;"-"&amp;ROW(書籍檔建置!BW61),基本資料填寫!$E:$EU,COLUMN(基本資料填寫!CA61),0),"")</f>
        <v/>
      </c>
      <c r="K64" s="314" t="str">
        <f>IFERROR(VLOOKUP(基本資料填寫!$E$1&amp;"-"&amp;ROW(書籍檔建置!BR61),基本資料填寫!$E:$EU,COLUMN(基本資料填寫!BV61),0),"")</f>
        <v/>
      </c>
      <c r="L64" s="314" t="str">
        <f>IFERROR(VLOOKUP(基本資料填寫!$E$1&amp;"-"&amp;ROW(書籍檔建置!BS61),基本資料填寫!$E:$EU,COLUMN(基本資料填寫!BW61),0),"")</f>
        <v/>
      </c>
      <c r="M64" s="166" t="str">
        <f>IFERROR(VLOOKUP(基本資料填寫!$E$1&amp;"-"&amp;ROW(書籍檔建置!BK61),基本資料填寫!$E:$EU,COLUMN(基本資料填寫!BO61),0),"")</f>
        <v/>
      </c>
      <c r="N64" s="314" t="str">
        <f>IFERROR(VLOOKUP(基本資料填寫!$E$1&amp;"-"&amp;ROW(書籍檔建置!AG61),基本資料填寫!$E:$EU,COLUMN(基本資料填寫!AK61),0),"")</f>
        <v/>
      </c>
      <c r="O64" s="314" t="str">
        <f>IFERROR(VLOOKUP(基本資料填寫!$E$1&amp;"-"&amp;ROW(書籍檔建置!BT61),基本資料填寫!$E:$EU,COLUMN(基本資料填寫!BX61),0),"")</f>
        <v/>
      </c>
      <c r="P64" s="314" t="str">
        <f>IFERROR(VLOOKUP(基本資料填寫!$E$1&amp;"-"&amp;ROW(書籍檔建置!BU61),基本資料填寫!$E:$EU,COLUMN(基本資料填寫!BY61),0),"")</f>
        <v/>
      </c>
      <c r="Q64" s="314" t="str">
        <f>IFERROR(VLOOKUP(基本資料填寫!$E$1&amp;"-"&amp;ROW(書籍檔建置!BV61),基本資料填寫!$E:$EU,COLUMN(基本資料填寫!BZ61),0),"")</f>
        <v/>
      </c>
      <c r="R64" s="314" t="str">
        <f>IFERROR(VLOOKUP(基本資料填寫!$E$1&amp;"-"&amp;ROW(書籍檔建置!BX61),基本資料填寫!$E:$EU,COLUMN(基本資料填寫!CB61),0),"")</f>
        <v/>
      </c>
      <c r="S64" s="314" t="str">
        <f>IFERROR(VLOOKUP(基本資料填寫!$E$1&amp;"-"&amp;ROW(書籍檔建置!BY61),基本資料填寫!$E:$EU,COLUMN(基本資料填寫!CC61),0),"")</f>
        <v/>
      </c>
      <c r="T64" s="314" t="str">
        <f>IFERROR(VLOOKUP(基本資料填寫!$E$1&amp;"-"&amp;ROW(書籍檔建置!BZ61),基本資料填寫!$E:$EU,COLUMN(基本資料填寫!CD61),0),"")</f>
        <v/>
      </c>
      <c r="U64" s="314" t="str">
        <f>IFERROR(VLOOKUP(基本資料填寫!$E$1&amp;"-"&amp;ROW(書籍檔建置!CA61),基本資料填寫!$E:$EU,COLUMN(基本資料填寫!CE61),0),"")</f>
        <v/>
      </c>
      <c r="V64" s="166" t="str">
        <f>IFERROR(VLOOKUP(基本資料填寫!$E$1&amp;"-"&amp;ROW(書籍檔建置!BL61),基本資料填寫!$E:$EU,COLUMN(基本資料填寫!BP61),0),"")</f>
        <v/>
      </c>
      <c r="W64" s="178"/>
      <c r="X64" s="178"/>
      <c r="Y64" s="178"/>
      <c r="Z64" s="178"/>
      <c r="AA64" s="178"/>
      <c r="AB64" s="178"/>
      <c r="AC64" s="314" t="str">
        <f>IFERROR(VLOOKUP(基本資料填寫!$E$1&amp;"-"&amp;ROW(書籍檔建置!S61),基本資料填寫!$E:$EU,COLUMN(基本資料填寫!W61),0),"")</f>
        <v/>
      </c>
      <c r="AD64" s="166" t="str">
        <f>IFERROR(VLOOKUP(基本資料填寫!$E$1&amp;"-"&amp;ROW(書籍檔建置!BM61),基本資料填寫!$E:$EU,COLUMN(基本資料填寫!BQ61),0),"")</f>
        <v/>
      </c>
      <c r="AE64" s="178"/>
      <c r="AF64" s="178"/>
      <c r="AG64" s="178"/>
      <c r="AH64" s="314" t="str">
        <f>IFERROR(VLOOKUP(基本資料填寫!$E$1&amp;"-"&amp;ROW(書籍檔建置!CB61),基本資料填寫!$E:$EU,COLUMN(基本資料填寫!CF61),0),"")</f>
        <v/>
      </c>
      <c r="AI64" s="314" t="str">
        <f>IFERROR(VLOOKUP(基本資料填寫!$E$1&amp;"-"&amp;ROW(書籍檔建置!CC61),基本資料填寫!$E:$EU,COLUMN(基本資料填寫!CG61),0),"")</f>
        <v/>
      </c>
      <c r="AJ64" s="314" t="str">
        <f>IFERROR(VLOOKUP(基本資料填寫!$E$1&amp;"-"&amp;ROW(書籍檔建置!H61),基本資料填寫!$E:$EU,COLUMN(基本資料填寫!K61),0),"")</f>
        <v/>
      </c>
      <c r="AK64" s="314" t="str">
        <f>IFERROR(VLOOKUP(基本資料填寫!$E$1&amp;"-"&amp;ROW(書籍檔建置!CF61),基本資料填寫!$E:$EU,COLUMN(基本資料填寫!CJ61),0),"")</f>
        <v/>
      </c>
      <c r="AL64" s="314" t="str">
        <f>IFERROR(VLOOKUP(基本資料填寫!$E$1&amp;"-"&amp;ROW(書籍檔建置!CG61),基本資料填寫!$E:$EU,COLUMN(基本資料填寫!CK61),0),"")</f>
        <v/>
      </c>
      <c r="AM64" s="314" t="str">
        <f>IFERROR(VLOOKUP(基本資料填寫!$E$1&amp;"-"&amp;ROW(書籍檔建置!BP61),基本資料填寫!$E:$EU,COLUMN(基本資料填寫!BT61),0),"")</f>
        <v/>
      </c>
      <c r="AN64" s="153"/>
    </row>
    <row r="65" spans="2:40" x14ac:dyDescent="0.3">
      <c r="B65" s="47" t="str">
        <f>IF(F65="","",COUNTA($F$4:F65))</f>
        <v/>
      </c>
      <c r="C65" s="314" t="str">
        <f>IFERROR(VLOOKUP(基本資料填寫!$E$1&amp;"-"&amp;ROW(書籍檔建置!K62),基本資料填寫!$E:$EU,COLUMN(基本資料填寫!O62),0),"")</f>
        <v/>
      </c>
      <c r="D65" s="314" t="str">
        <f>IFERROR(VLOOKUP(基本資料填寫!$E$1&amp;"-"&amp;ROW(書籍檔建置!N62),基本資料填寫!$E:$EU,COLUMN(基本資料填寫!R62),0),"")</f>
        <v/>
      </c>
      <c r="E65" s="314" t="str">
        <f>IFERROR(VLOOKUP(基本資料填寫!$E$1&amp;"-"&amp;ROW(書籍檔建置!AF62),基本資料填寫!$E:$EU,COLUMN(基本資料填寫!AJ62),0),"")</f>
        <v/>
      </c>
      <c r="F65" s="314" t="str">
        <f>IFERROR(VLOOKUP(基本資料填寫!$E$1&amp;"-"&amp;ROW(書籍檔建置!J62),基本資料填寫!$E:$EU,COLUMN(基本資料填寫!N62),0),"")</f>
        <v/>
      </c>
      <c r="G65" s="314" t="str">
        <f>IFERROR(VLOOKUP(基本資料填寫!$E$1&amp;"-"&amp;ROW(書籍檔建置!BO62),基本資料填寫!$E:$EU,COLUMN(基本資料填寫!BS62),0),"")</f>
        <v/>
      </c>
      <c r="H65" s="314" t="str">
        <f>IFERROR(VLOOKUP(基本資料填寫!$E$1&amp;"-"&amp;ROW(書籍檔建置!R62),基本資料填寫!$E:$EU,COLUMN(基本資料填寫!V62),0),"")</f>
        <v/>
      </c>
      <c r="I65" s="315" t="str">
        <f>IFERROR(VLOOKUP(基本資料填寫!$E$1&amp;"-"&amp;ROW(書籍檔建置!BQ62),基本資料填寫!$E:$EU,COLUMN(基本資料填寫!BU62),0),"")</f>
        <v/>
      </c>
      <c r="J65" s="314" t="str">
        <f>IFERROR(VLOOKUP(基本資料填寫!$E$1&amp;"-"&amp;ROW(書籍檔建置!BW62),基本資料填寫!$E:$EU,COLUMN(基本資料填寫!CA62),0),"")</f>
        <v/>
      </c>
      <c r="K65" s="314" t="str">
        <f>IFERROR(VLOOKUP(基本資料填寫!$E$1&amp;"-"&amp;ROW(書籍檔建置!BR62),基本資料填寫!$E:$EU,COLUMN(基本資料填寫!BV62),0),"")</f>
        <v/>
      </c>
      <c r="L65" s="314" t="str">
        <f>IFERROR(VLOOKUP(基本資料填寫!$E$1&amp;"-"&amp;ROW(書籍檔建置!BS62),基本資料填寫!$E:$EU,COLUMN(基本資料填寫!BW62),0),"")</f>
        <v/>
      </c>
      <c r="M65" s="166" t="str">
        <f>IFERROR(VLOOKUP(基本資料填寫!$E$1&amp;"-"&amp;ROW(書籍檔建置!BK62),基本資料填寫!$E:$EU,COLUMN(基本資料填寫!BO62),0),"")</f>
        <v/>
      </c>
      <c r="N65" s="314" t="str">
        <f>IFERROR(VLOOKUP(基本資料填寫!$E$1&amp;"-"&amp;ROW(書籍檔建置!AG62),基本資料填寫!$E:$EU,COLUMN(基本資料填寫!AK62),0),"")</f>
        <v/>
      </c>
      <c r="O65" s="314" t="str">
        <f>IFERROR(VLOOKUP(基本資料填寫!$E$1&amp;"-"&amp;ROW(書籍檔建置!BT62),基本資料填寫!$E:$EU,COLUMN(基本資料填寫!BX62),0),"")</f>
        <v/>
      </c>
      <c r="P65" s="314" t="str">
        <f>IFERROR(VLOOKUP(基本資料填寫!$E$1&amp;"-"&amp;ROW(書籍檔建置!BU62),基本資料填寫!$E:$EU,COLUMN(基本資料填寫!BY62),0),"")</f>
        <v/>
      </c>
      <c r="Q65" s="314" t="str">
        <f>IFERROR(VLOOKUP(基本資料填寫!$E$1&amp;"-"&amp;ROW(書籍檔建置!BV62),基本資料填寫!$E:$EU,COLUMN(基本資料填寫!BZ62),0),"")</f>
        <v/>
      </c>
      <c r="R65" s="314" t="str">
        <f>IFERROR(VLOOKUP(基本資料填寫!$E$1&amp;"-"&amp;ROW(書籍檔建置!BX62),基本資料填寫!$E:$EU,COLUMN(基本資料填寫!CB62),0),"")</f>
        <v/>
      </c>
      <c r="S65" s="314" t="str">
        <f>IFERROR(VLOOKUP(基本資料填寫!$E$1&amp;"-"&amp;ROW(書籍檔建置!BY62),基本資料填寫!$E:$EU,COLUMN(基本資料填寫!CC62),0),"")</f>
        <v/>
      </c>
      <c r="T65" s="314" t="str">
        <f>IFERROR(VLOOKUP(基本資料填寫!$E$1&amp;"-"&amp;ROW(書籍檔建置!BZ62),基本資料填寫!$E:$EU,COLUMN(基本資料填寫!CD62),0),"")</f>
        <v/>
      </c>
      <c r="U65" s="314" t="str">
        <f>IFERROR(VLOOKUP(基本資料填寫!$E$1&amp;"-"&amp;ROW(書籍檔建置!CA62),基本資料填寫!$E:$EU,COLUMN(基本資料填寫!CE62),0),"")</f>
        <v/>
      </c>
      <c r="V65" s="166" t="str">
        <f>IFERROR(VLOOKUP(基本資料填寫!$E$1&amp;"-"&amp;ROW(書籍檔建置!BL62),基本資料填寫!$E:$EU,COLUMN(基本資料填寫!BP62),0),"")</f>
        <v/>
      </c>
      <c r="W65" s="178"/>
      <c r="X65" s="178"/>
      <c r="Y65" s="178"/>
      <c r="Z65" s="178"/>
      <c r="AA65" s="178"/>
      <c r="AB65" s="178"/>
      <c r="AC65" s="314" t="str">
        <f>IFERROR(VLOOKUP(基本資料填寫!$E$1&amp;"-"&amp;ROW(書籍檔建置!S62),基本資料填寫!$E:$EU,COLUMN(基本資料填寫!W62),0),"")</f>
        <v/>
      </c>
      <c r="AD65" s="166" t="str">
        <f>IFERROR(VLOOKUP(基本資料填寫!$E$1&amp;"-"&amp;ROW(書籍檔建置!BM62),基本資料填寫!$E:$EU,COLUMN(基本資料填寫!BQ62),0),"")</f>
        <v/>
      </c>
      <c r="AE65" s="178"/>
      <c r="AF65" s="178"/>
      <c r="AG65" s="178"/>
      <c r="AH65" s="314" t="str">
        <f>IFERROR(VLOOKUP(基本資料填寫!$E$1&amp;"-"&amp;ROW(書籍檔建置!CB62),基本資料填寫!$E:$EU,COLUMN(基本資料填寫!CF62),0),"")</f>
        <v/>
      </c>
      <c r="AI65" s="314" t="str">
        <f>IFERROR(VLOOKUP(基本資料填寫!$E$1&amp;"-"&amp;ROW(書籍檔建置!CC62),基本資料填寫!$E:$EU,COLUMN(基本資料填寫!CG62),0),"")</f>
        <v/>
      </c>
      <c r="AJ65" s="314" t="str">
        <f>IFERROR(VLOOKUP(基本資料填寫!$E$1&amp;"-"&amp;ROW(書籍檔建置!H62),基本資料填寫!$E:$EU,COLUMN(基本資料填寫!K62),0),"")</f>
        <v/>
      </c>
      <c r="AK65" s="314" t="str">
        <f>IFERROR(VLOOKUP(基本資料填寫!$E$1&amp;"-"&amp;ROW(書籍檔建置!CF62),基本資料填寫!$E:$EU,COLUMN(基本資料填寫!CJ62),0),"")</f>
        <v/>
      </c>
      <c r="AL65" s="314" t="str">
        <f>IFERROR(VLOOKUP(基本資料填寫!$E$1&amp;"-"&amp;ROW(書籍檔建置!CG62),基本資料填寫!$E:$EU,COLUMN(基本資料填寫!CK62),0),"")</f>
        <v/>
      </c>
      <c r="AM65" s="314" t="str">
        <f>IFERROR(VLOOKUP(基本資料填寫!$E$1&amp;"-"&amp;ROW(書籍檔建置!BP62),基本資料填寫!$E:$EU,COLUMN(基本資料填寫!BT62),0),"")</f>
        <v/>
      </c>
      <c r="AN65" s="153"/>
    </row>
    <row r="66" spans="2:40" x14ac:dyDescent="0.3">
      <c r="B66" s="47" t="str">
        <f>IF(F66="","",COUNTA($F$4:F66))</f>
        <v/>
      </c>
      <c r="C66" s="314" t="str">
        <f>IFERROR(VLOOKUP(基本資料填寫!$E$1&amp;"-"&amp;ROW(書籍檔建置!K63),基本資料填寫!$E:$EU,COLUMN(基本資料填寫!O63),0),"")</f>
        <v/>
      </c>
      <c r="D66" s="314" t="str">
        <f>IFERROR(VLOOKUP(基本資料填寫!$E$1&amp;"-"&amp;ROW(書籍檔建置!N63),基本資料填寫!$E:$EU,COLUMN(基本資料填寫!R63),0),"")</f>
        <v/>
      </c>
      <c r="E66" s="314" t="str">
        <f>IFERROR(VLOOKUP(基本資料填寫!$E$1&amp;"-"&amp;ROW(書籍檔建置!AF63),基本資料填寫!$E:$EU,COLUMN(基本資料填寫!AJ63),0),"")</f>
        <v/>
      </c>
      <c r="F66" s="314" t="str">
        <f>IFERROR(VLOOKUP(基本資料填寫!$E$1&amp;"-"&amp;ROW(書籍檔建置!J63),基本資料填寫!$E:$EU,COLUMN(基本資料填寫!N63),0),"")</f>
        <v/>
      </c>
      <c r="G66" s="314" t="str">
        <f>IFERROR(VLOOKUP(基本資料填寫!$E$1&amp;"-"&amp;ROW(書籍檔建置!BO63),基本資料填寫!$E:$EU,COLUMN(基本資料填寫!BS63),0),"")</f>
        <v/>
      </c>
      <c r="H66" s="314" t="str">
        <f>IFERROR(VLOOKUP(基本資料填寫!$E$1&amp;"-"&amp;ROW(書籍檔建置!R63),基本資料填寫!$E:$EU,COLUMN(基本資料填寫!V63),0),"")</f>
        <v/>
      </c>
      <c r="I66" s="315" t="str">
        <f>IFERROR(VLOOKUP(基本資料填寫!$E$1&amp;"-"&amp;ROW(書籍檔建置!BQ63),基本資料填寫!$E:$EU,COLUMN(基本資料填寫!BU63),0),"")</f>
        <v/>
      </c>
      <c r="J66" s="314" t="str">
        <f>IFERROR(VLOOKUP(基本資料填寫!$E$1&amp;"-"&amp;ROW(書籍檔建置!BW63),基本資料填寫!$E:$EU,COLUMN(基本資料填寫!CA63),0),"")</f>
        <v/>
      </c>
      <c r="K66" s="314" t="str">
        <f>IFERROR(VLOOKUP(基本資料填寫!$E$1&amp;"-"&amp;ROW(書籍檔建置!BR63),基本資料填寫!$E:$EU,COLUMN(基本資料填寫!BV63),0),"")</f>
        <v/>
      </c>
      <c r="L66" s="314" t="str">
        <f>IFERROR(VLOOKUP(基本資料填寫!$E$1&amp;"-"&amp;ROW(書籍檔建置!BS63),基本資料填寫!$E:$EU,COLUMN(基本資料填寫!BW63),0),"")</f>
        <v/>
      </c>
      <c r="M66" s="166" t="str">
        <f>IFERROR(VLOOKUP(基本資料填寫!$E$1&amp;"-"&amp;ROW(書籍檔建置!BK63),基本資料填寫!$E:$EU,COLUMN(基本資料填寫!BO63),0),"")</f>
        <v/>
      </c>
      <c r="N66" s="314" t="str">
        <f>IFERROR(VLOOKUP(基本資料填寫!$E$1&amp;"-"&amp;ROW(書籍檔建置!AG63),基本資料填寫!$E:$EU,COLUMN(基本資料填寫!AK63),0),"")</f>
        <v/>
      </c>
      <c r="O66" s="314" t="str">
        <f>IFERROR(VLOOKUP(基本資料填寫!$E$1&amp;"-"&amp;ROW(書籍檔建置!BT63),基本資料填寫!$E:$EU,COLUMN(基本資料填寫!BX63),0),"")</f>
        <v/>
      </c>
      <c r="P66" s="314" t="str">
        <f>IFERROR(VLOOKUP(基本資料填寫!$E$1&amp;"-"&amp;ROW(書籍檔建置!BU63),基本資料填寫!$E:$EU,COLUMN(基本資料填寫!BY63),0),"")</f>
        <v/>
      </c>
      <c r="Q66" s="314" t="str">
        <f>IFERROR(VLOOKUP(基本資料填寫!$E$1&amp;"-"&amp;ROW(書籍檔建置!BV63),基本資料填寫!$E:$EU,COLUMN(基本資料填寫!BZ63),0),"")</f>
        <v/>
      </c>
      <c r="R66" s="314" t="str">
        <f>IFERROR(VLOOKUP(基本資料填寫!$E$1&amp;"-"&amp;ROW(書籍檔建置!BX63),基本資料填寫!$E:$EU,COLUMN(基本資料填寫!CB63),0),"")</f>
        <v/>
      </c>
      <c r="S66" s="314" t="str">
        <f>IFERROR(VLOOKUP(基本資料填寫!$E$1&amp;"-"&amp;ROW(書籍檔建置!BY63),基本資料填寫!$E:$EU,COLUMN(基本資料填寫!CC63),0),"")</f>
        <v/>
      </c>
      <c r="T66" s="314" t="str">
        <f>IFERROR(VLOOKUP(基本資料填寫!$E$1&amp;"-"&amp;ROW(書籍檔建置!BZ63),基本資料填寫!$E:$EU,COLUMN(基本資料填寫!CD63),0),"")</f>
        <v/>
      </c>
      <c r="U66" s="314" t="str">
        <f>IFERROR(VLOOKUP(基本資料填寫!$E$1&amp;"-"&amp;ROW(書籍檔建置!CA63),基本資料填寫!$E:$EU,COLUMN(基本資料填寫!CE63),0),"")</f>
        <v/>
      </c>
      <c r="V66" s="166" t="str">
        <f>IFERROR(VLOOKUP(基本資料填寫!$E$1&amp;"-"&amp;ROW(書籍檔建置!BL63),基本資料填寫!$E:$EU,COLUMN(基本資料填寫!BP63),0),"")</f>
        <v/>
      </c>
      <c r="W66" s="178"/>
      <c r="X66" s="178"/>
      <c r="Y66" s="178"/>
      <c r="Z66" s="178"/>
      <c r="AA66" s="178"/>
      <c r="AB66" s="178"/>
      <c r="AC66" s="314" t="str">
        <f>IFERROR(VLOOKUP(基本資料填寫!$E$1&amp;"-"&amp;ROW(書籍檔建置!S63),基本資料填寫!$E:$EU,COLUMN(基本資料填寫!W63),0),"")</f>
        <v/>
      </c>
      <c r="AD66" s="166" t="str">
        <f>IFERROR(VLOOKUP(基本資料填寫!$E$1&amp;"-"&amp;ROW(書籍檔建置!BM63),基本資料填寫!$E:$EU,COLUMN(基本資料填寫!BQ63),0),"")</f>
        <v/>
      </c>
      <c r="AE66" s="178"/>
      <c r="AF66" s="178"/>
      <c r="AG66" s="178"/>
      <c r="AH66" s="314" t="str">
        <f>IFERROR(VLOOKUP(基本資料填寫!$E$1&amp;"-"&amp;ROW(書籍檔建置!CB63),基本資料填寫!$E:$EU,COLUMN(基本資料填寫!CF63),0),"")</f>
        <v/>
      </c>
      <c r="AI66" s="314" t="str">
        <f>IFERROR(VLOOKUP(基本資料填寫!$E$1&amp;"-"&amp;ROW(書籍檔建置!CC63),基本資料填寫!$E:$EU,COLUMN(基本資料填寫!CG63),0),"")</f>
        <v/>
      </c>
      <c r="AJ66" s="314" t="str">
        <f>IFERROR(VLOOKUP(基本資料填寫!$E$1&amp;"-"&amp;ROW(書籍檔建置!H63),基本資料填寫!$E:$EU,COLUMN(基本資料填寫!K63),0),"")</f>
        <v/>
      </c>
      <c r="AK66" s="314" t="str">
        <f>IFERROR(VLOOKUP(基本資料填寫!$E$1&amp;"-"&amp;ROW(書籍檔建置!CF63),基本資料填寫!$E:$EU,COLUMN(基本資料填寫!CJ63),0),"")</f>
        <v/>
      </c>
      <c r="AL66" s="314" t="str">
        <f>IFERROR(VLOOKUP(基本資料填寫!$E$1&amp;"-"&amp;ROW(書籍檔建置!CG63),基本資料填寫!$E:$EU,COLUMN(基本資料填寫!CK63),0),"")</f>
        <v/>
      </c>
      <c r="AM66" s="314" t="str">
        <f>IFERROR(VLOOKUP(基本資料填寫!$E$1&amp;"-"&amp;ROW(書籍檔建置!BP63),基本資料填寫!$E:$EU,COLUMN(基本資料填寫!BT63),0),"")</f>
        <v/>
      </c>
      <c r="AN66" s="153"/>
    </row>
    <row r="67" spans="2:40" x14ac:dyDescent="0.3">
      <c r="B67" s="47" t="str">
        <f>IF(F67="","",COUNTA($F$4:F67))</f>
        <v/>
      </c>
      <c r="C67" s="314" t="str">
        <f>IFERROR(VLOOKUP(基本資料填寫!$E$1&amp;"-"&amp;ROW(書籍檔建置!K64),基本資料填寫!$E:$EU,COLUMN(基本資料填寫!O64),0),"")</f>
        <v/>
      </c>
      <c r="D67" s="314" t="str">
        <f>IFERROR(VLOOKUP(基本資料填寫!$E$1&amp;"-"&amp;ROW(書籍檔建置!N64),基本資料填寫!$E:$EU,COLUMN(基本資料填寫!R64),0),"")</f>
        <v/>
      </c>
      <c r="E67" s="314" t="str">
        <f>IFERROR(VLOOKUP(基本資料填寫!$E$1&amp;"-"&amp;ROW(書籍檔建置!AF64),基本資料填寫!$E:$EU,COLUMN(基本資料填寫!AJ64),0),"")</f>
        <v/>
      </c>
      <c r="F67" s="314" t="str">
        <f>IFERROR(VLOOKUP(基本資料填寫!$E$1&amp;"-"&amp;ROW(書籍檔建置!J64),基本資料填寫!$E:$EU,COLUMN(基本資料填寫!N64),0),"")</f>
        <v/>
      </c>
      <c r="G67" s="314" t="str">
        <f>IFERROR(VLOOKUP(基本資料填寫!$E$1&amp;"-"&amp;ROW(書籍檔建置!BO64),基本資料填寫!$E:$EU,COLUMN(基本資料填寫!BS64),0),"")</f>
        <v/>
      </c>
      <c r="H67" s="314" t="str">
        <f>IFERROR(VLOOKUP(基本資料填寫!$E$1&amp;"-"&amp;ROW(書籍檔建置!R64),基本資料填寫!$E:$EU,COLUMN(基本資料填寫!V64),0),"")</f>
        <v/>
      </c>
      <c r="I67" s="315" t="str">
        <f>IFERROR(VLOOKUP(基本資料填寫!$E$1&amp;"-"&amp;ROW(書籍檔建置!BQ64),基本資料填寫!$E:$EU,COLUMN(基本資料填寫!BU64),0),"")</f>
        <v/>
      </c>
      <c r="J67" s="314" t="str">
        <f>IFERROR(VLOOKUP(基本資料填寫!$E$1&amp;"-"&amp;ROW(書籍檔建置!BW64),基本資料填寫!$E:$EU,COLUMN(基本資料填寫!CA64),0),"")</f>
        <v/>
      </c>
      <c r="K67" s="314" t="str">
        <f>IFERROR(VLOOKUP(基本資料填寫!$E$1&amp;"-"&amp;ROW(書籍檔建置!BR64),基本資料填寫!$E:$EU,COLUMN(基本資料填寫!BV64),0),"")</f>
        <v/>
      </c>
      <c r="L67" s="314" t="str">
        <f>IFERROR(VLOOKUP(基本資料填寫!$E$1&amp;"-"&amp;ROW(書籍檔建置!BS64),基本資料填寫!$E:$EU,COLUMN(基本資料填寫!BW64),0),"")</f>
        <v/>
      </c>
      <c r="M67" s="166" t="str">
        <f>IFERROR(VLOOKUP(基本資料填寫!$E$1&amp;"-"&amp;ROW(書籍檔建置!BK64),基本資料填寫!$E:$EU,COLUMN(基本資料填寫!BO64),0),"")</f>
        <v/>
      </c>
      <c r="N67" s="314" t="str">
        <f>IFERROR(VLOOKUP(基本資料填寫!$E$1&amp;"-"&amp;ROW(書籍檔建置!AG64),基本資料填寫!$E:$EU,COLUMN(基本資料填寫!AK64),0),"")</f>
        <v/>
      </c>
      <c r="O67" s="314" t="str">
        <f>IFERROR(VLOOKUP(基本資料填寫!$E$1&amp;"-"&amp;ROW(書籍檔建置!BT64),基本資料填寫!$E:$EU,COLUMN(基本資料填寫!BX64),0),"")</f>
        <v/>
      </c>
      <c r="P67" s="314" t="str">
        <f>IFERROR(VLOOKUP(基本資料填寫!$E$1&amp;"-"&amp;ROW(書籍檔建置!BU64),基本資料填寫!$E:$EU,COLUMN(基本資料填寫!BY64),0),"")</f>
        <v/>
      </c>
      <c r="Q67" s="314" t="str">
        <f>IFERROR(VLOOKUP(基本資料填寫!$E$1&amp;"-"&amp;ROW(書籍檔建置!BV64),基本資料填寫!$E:$EU,COLUMN(基本資料填寫!BZ64),0),"")</f>
        <v/>
      </c>
      <c r="R67" s="314" t="str">
        <f>IFERROR(VLOOKUP(基本資料填寫!$E$1&amp;"-"&amp;ROW(書籍檔建置!BX64),基本資料填寫!$E:$EU,COLUMN(基本資料填寫!CB64),0),"")</f>
        <v/>
      </c>
      <c r="S67" s="314" t="str">
        <f>IFERROR(VLOOKUP(基本資料填寫!$E$1&amp;"-"&amp;ROW(書籍檔建置!BY64),基本資料填寫!$E:$EU,COLUMN(基本資料填寫!CC64),0),"")</f>
        <v/>
      </c>
      <c r="T67" s="314" t="str">
        <f>IFERROR(VLOOKUP(基本資料填寫!$E$1&amp;"-"&amp;ROW(書籍檔建置!BZ64),基本資料填寫!$E:$EU,COLUMN(基本資料填寫!CD64),0),"")</f>
        <v/>
      </c>
      <c r="U67" s="314" t="str">
        <f>IFERROR(VLOOKUP(基本資料填寫!$E$1&amp;"-"&amp;ROW(書籍檔建置!CA64),基本資料填寫!$E:$EU,COLUMN(基本資料填寫!CE64),0),"")</f>
        <v/>
      </c>
      <c r="V67" s="166" t="str">
        <f>IFERROR(VLOOKUP(基本資料填寫!$E$1&amp;"-"&amp;ROW(書籍檔建置!BL64),基本資料填寫!$E:$EU,COLUMN(基本資料填寫!BP64),0),"")</f>
        <v/>
      </c>
      <c r="W67" s="178"/>
      <c r="X67" s="178"/>
      <c r="Y67" s="178"/>
      <c r="Z67" s="178"/>
      <c r="AA67" s="178"/>
      <c r="AB67" s="178"/>
      <c r="AC67" s="314" t="str">
        <f>IFERROR(VLOOKUP(基本資料填寫!$E$1&amp;"-"&amp;ROW(書籍檔建置!S64),基本資料填寫!$E:$EU,COLUMN(基本資料填寫!W64),0),"")</f>
        <v/>
      </c>
      <c r="AD67" s="166" t="str">
        <f>IFERROR(VLOOKUP(基本資料填寫!$E$1&amp;"-"&amp;ROW(書籍檔建置!BM64),基本資料填寫!$E:$EU,COLUMN(基本資料填寫!BQ64),0),"")</f>
        <v/>
      </c>
      <c r="AE67" s="178"/>
      <c r="AF67" s="178"/>
      <c r="AG67" s="178"/>
      <c r="AH67" s="314" t="str">
        <f>IFERROR(VLOOKUP(基本資料填寫!$E$1&amp;"-"&amp;ROW(書籍檔建置!CB64),基本資料填寫!$E:$EU,COLUMN(基本資料填寫!CF64),0),"")</f>
        <v/>
      </c>
      <c r="AI67" s="314" t="str">
        <f>IFERROR(VLOOKUP(基本資料填寫!$E$1&amp;"-"&amp;ROW(書籍檔建置!CC64),基本資料填寫!$E:$EU,COLUMN(基本資料填寫!CG64),0),"")</f>
        <v/>
      </c>
      <c r="AJ67" s="314" t="str">
        <f>IFERROR(VLOOKUP(基本資料填寫!$E$1&amp;"-"&amp;ROW(書籍檔建置!H64),基本資料填寫!$E:$EU,COLUMN(基本資料填寫!K64),0),"")</f>
        <v/>
      </c>
      <c r="AK67" s="314" t="str">
        <f>IFERROR(VLOOKUP(基本資料填寫!$E$1&amp;"-"&amp;ROW(書籍檔建置!CF64),基本資料填寫!$E:$EU,COLUMN(基本資料填寫!CJ64),0),"")</f>
        <v/>
      </c>
      <c r="AL67" s="314" t="str">
        <f>IFERROR(VLOOKUP(基本資料填寫!$E$1&amp;"-"&amp;ROW(書籍檔建置!CG64),基本資料填寫!$E:$EU,COLUMN(基本資料填寫!CK64),0),"")</f>
        <v/>
      </c>
      <c r="AM67" s="314" t="str">
        <f>IFERROR(VLOOKUP(基本資料填寫!$E$1&amp;"-"&amp;ROW(書籍檔建置!BP64),基本資料填寫!$E:$EU,COLUMN(基本資料填寫!BT64),0),"")</f>
        <v/>
      </c>
      <c r="AN67" s="153"/>
    </row>
    <row r="68" spans="2:40" x14ac:dyDescent="0.3">
      <c r="B68" s="47" t="str">
        <f>IF(F68="","",COUNTA($F$4:F68))</f>
        <v/>
      </c>
      <c r="C68" s="314" t="str">
        <f>IFERROR(VLOOKUP(基本資料填寫!$E$1&amp;"-"&amp;ROW(書籍檔建置!K65),基本資料填寫!$E:$EU,COLUMN(基本資料填寫!O65),0),"")</f>
        <v/>
      </c>
      <c r="D68" s="314" t="str">
        <f>IFERROR(VLOOKUP(基本資料填寫!$E$1&amp;"-"&amp;ROW(書籍檔建置!N65),基本資料填寫!$E:$EU,COLUMN(基本資料填寫!R65),0),"")</f>
        <v/>
      </c>
      <c r="E68" s="314" t="str">
        <f>IFERROR(VLOOKUP(基本資料填寫!$E$1&amp;"-"&amp;ROW(書籍檔建置!AF65),基本資料填寫!$E:$EU,COLUMN(基本資料填寫!AJ65),0),"")</f>
        <v/>
      </c>
      <c r="F68" s="314" t="str">
        <f>IFERROR(VLOOKUP(基本資料填寫!$E$1&amp;"-"&amp;ROW(書籍檔建置!J65),基本資料填寫!$E:$EU,COLUMN(基本資料填寫!N65),0),"")</f>
        <v/>
      </c>
      <c r="G68" s="314" t="str">
        <f>IFERROR(VLOOKUP(基本資料填寫!$E$1&amp;"-"&amp;ROW(書籍檔建置!BO65),基本資料填寫!$E:$EU,COLUMN(基本資料填寫!BS65),0),"")</f>
        <v/>
      </c>
      <c r="H68" s="314" t="str">
        <f>IFERROR(VLOOKUP(基本資料填寫!$E$1&amp;"-"&amp;ROW(書籍檔建置!R65),基本資料填寫!$E:$EU,COLUMN(基本資料填寫!V65),0),"")</f>
        <v/>
      </c>
      <c r="I68" s="315" t="str">
        <f>IFERROR(VLOOKUP(基本資料填寫!$E$1&amp;"-"&amp;ROW(書籍檔建置!BQ65),基本資料填寫!$E:$EU,COLUMN(基本資料填寫!BU65),0),"")</f>
        <v/>
      </c>
      <c r="J68" s="314" t="str">
        <f>IFERROR(VLOOKUP(基本資料填寫!$E$1&amp;"-"&amp;ROW(書籍檔建置!BW65),基本資料填寫!$E:$EU,COLUMN(基本資料填寫!CA65),0),"")</f>
        <v/>
      </c>
      <c r="K68" s="314" t="str">
        <f>IFERROR(VLOOKUP(基本資料填寫!$E$1&amp;"-"&amp;ROW(書籍檔建置!BR65),基本資料填寫!$E:$EU,COLUMN(基本資料填寫!BV65),0),"")</f>
        <v/>
      </c>
      <c r="L68" s="314" t="str">
        <f>IFERROR(VLOOKUP(基本資料填寫!$E$1&amp;"-"&amp;ROW(書籍檔建置!BS65),基本資料填寫!$E:$EU,COLUMN(基本資料填寫!BW65),0),"")</f>
        <v/>
      </c>
      <c r="M68" s="166" t="str">
        <f>IFERROR(VLOOKUP(基本資料填寫!$E$1&amp;"-"&amp;ROW(書籍檔建置!BK65),基本資料填寫!$E:$EU,COLUMN(基本資料填寫!BO65),0),"")</f>
        <v/>
      </c>
      <c r="N68" s="314" t="str">
        <f>IFERROR(VLOOKUP(基本資料填寫!$E$1&amp;"-"&amp;ROW(書籍檔建置!AG65),基本資料填寫!$E:$EU,COLUMN(基本資料填寫!AK65),0),"")</f>
        <v/>
      </c>
      <c r="O68" s="314" t="str">
        <f>IFERROR(VLOOKUP(基本資料填寫!$E$1&amp;"-"&amp;ROW(書籍檔建置!BT65),基本資料填寫!$E:$EU,COLUMN(基本資料填寫!BX65),0),"")</f>
        <v/>
      </c>
      <c r="P68" s="314" t="str">
        <f>IFERROR(VLOOKUP(基本資料填寫!$E$1&amp;"-"&amp;ROW(書籍檔建置!BU65),基本資料填寫!$E:$EU,COLUMN(基本資料填寫!BY65),0),"")</f>
        <v/>
      </c>
      <c r="Q68" s="314" t="str">
        <f>IFERROR(VLOOKUP(基本資料填寫!$E$1&amp;"-"&amp;ROW(書籍檔建置!BV65),基本資料填寫!$E:$EU,COLUMN(基本資料填寫!BZ65),0),"")</f>
        <v/>
      </c>
      <c r="R68" s="314" t="str">
        <f>IFERROR(VLOOKUP(基本資料填寫!$E$1&amp;"-"&amp;ROW(書籍檔建置!BX65),基本資料填寫!$E:$EU,COLUMN(基本資料填寫!CB65),0),"")</f>
        <v/>
      </c>
      <c r="S68" s="314" t="str">
        <f>IFERROR(VLOOKUP(基本資料填寫!$E$1&amp;"-"&amp;ROW(書籍檔建置!BY65),基本資料填寫!$E:$EU,COLUMN(基本資料填寫!CC65),0),"")</f>
        <v/>
      </c>
      <c r="T68" s="314" t="str">
        <f>IFERROR(VLOOKUP(基本資料填寫!$E$1&amp;"-"&amp;ROW(書籍檔建置!BZ65),基本資料填寫!$E:$EU,COLUMN(基本資料填寫!CD65),0),"")</f>
        <v/>
      </c>
      <c r="U68" s="314" t="str">
        <f>IFERROR(VLOOKUP(基本資料填寫!$E$1&amp;"-"&amp;ROW(書籍檔建置!CA65),基本資料填寫!$E:$EU,COLUMN(基本資料填寫!CE65),0),"")</f>
        <v/>
      </c>
      <c r="V68" s="166" t="str">
        <f>IFERROR(VLOOKUP(基本資料填寫!$E$1&amp;"-"&amp;ROW(書籍檔建置!BL65),基本資料填寫!$E:$EU,COLUMN(基本資料填寫!BP65),0),"")</f>
        <v/>
      </c>
      <c r="W68" s="178"/>
      <c r="X68" s="178"/>
      <c r="Y68" s="178"/>
      <c r="Z68" s="178"/>
      <c r="AA68" s="178"/>
      <c r="AB68" s="178"/>
      <c r="AC68" s="314" t="str">
        <f>IFERROR(VLOOKUP(基本資料填寫!$E$1&amp;"-"&amp;ROW(書籍檔建置!S65),基本資料填寫!$E:$EU,COLUMN(基本資料填寫!W65),0),"")</f>
        <v/>
      </c>
      <c r="AD68" s="166" t="str">
        <f>IFERROR(VLOOKUP(基本資料填寫!$E$1&amp;"-"&amp;ROW(書籍檔建置!BM65),基本資料填寫!$E:$EU,COLUMN(基本資料填寫!BQ65),0),"")</f>
        <v/>
      </c>
      <c r="AE68" s="178"/>
      <c r="AF68" s="178"/>
      <c r="AG68" s="178"/>
      <c r="AH68" s="314" t="str">
        <f>IFERROR(VLOOKUP(基本資料填寫!$E$1&amp;"-"&amp;ROW(書籍檔建置!CB65),基本資料填寫!$E:$EU,COLUMN(基本資料填寫!CF65),0),"")</f>
        <v/>
      </c>
      <c r="AI68" s="314" t="str">
        <f>IFERROR(VLOOKUP(基本資料填寫!$E$1&amp;"-"&amp;ROW(書籍檔建置!CC65),基本資料填寫!$E:$EU,COLUMN(基本資料填寫!CG65),0),"")</f>
        <v/>
      </c>
      <c r="AJ68" s="314" t="str">
        <f>IFERROR(VLOOKUP(基本資料填寫!$E$1&amp;"-"&amp;ROW(書籍檔建置!H65),基本資料填寫!$E:$EU,COLUMN(基本資料填寫!K65),0),"")</f>
        <v/>
      </c>
      <c r="AK68" s="314" t="str">
        <f>IFERROR(VLOOKUP(基本資料填寫!$E$1&amp;"-"&amp;ROW(書籍檔建置!CF65),基本資料填寫!$E:$EU,COLUMN(基本資料填寫!CJ65),0),"")</f>
        <v/>
      </c>
      <c r="AL68" s="314" t="str">
        <f>IFERROR(VLOOKUP(基本資料填寫!$E$1&amp;"-"&amp;ROW(書籍檔建置!CG65),基本資料填寫!$E:$EU,COLUMN(基本資料填寫!CK65),0),"")</f>
        <v/>
      </c>
      <c r="AM68" s="314" t="str">
        <f>IFERROR(VLOOKUP(基本資料填寫!$E$1&amp;"-"&amp;ROW(書籍檔建置!BP65),基本資料填寫!$E:$EU,COLUMN(基本資料填寫!BT65),0),"")</f>
        <v/>
      </c>
      <c r="AN68" s="153"/>
    </row>
    <row r="69" spans="2:40" x14ac:dyDescent="0.3">
      <c r="B69" s="47" t="str">
        <f>IF(F69="","",COUNTA($F$4:F69))</f>
        <v/>
      </c>
      <c r="C69" s="314" t="str">
        <f>IFERROR(VLOOKUP(基本資料填寫!$E$1&amp;"-"&amp;ROW(書籍檔建置!K66),基本資料填寫!$E:$EU,COLUMN(基本資料填寫!O66),0),"")</f>
        <v/>
      </c>
      <c r="D69" s="314" t="str">
        <f>IFERROR(VLOOKUP(基本資料填寫!$E$1&amp;"-"&amp;ROW(書籍檔建置!N66),基本資料填寫!$E:$EU,COLUMN(基本資料填寫!R66),0),"")</f>
        <v/>
      </c>
      <c r="E69" s="314" t="str">
        <f>IFERROR(VLOOKUP(基本資料填寫!$E$1&amp;"-"&amp;ROW(書籍檔建置!AF66),基本資料填寫!$E:$EU,COLUMN(基本資料填寫!AJ66),0),"")</f>
        <v/>
      </c>
      <c r="F69" s="314" t="str">
        <f>IFERROR(VLOOKUP(基本資料填寫!$E$1&amp;"-"&amp;ROW(書籍檔建置!J66),基本資料填寫!$E:$EU,COLUMN(基本資料填寫!N66),0),"")</f>
        <v/>
      </c>
      <c r="G69" s="314" t="str">
        <f>IFERROR(VLOOKUP(基本資料填寫!$E$1&amp;"-"&amp;ROW(書籍檔建置!BO66),基本資料填寫!$E:$EU,COLUMN(基本資料填寫!BS66),0),"")</f>
        <v/>
      </c>
      <c r="H69" s="314" t="str">
        <f>IFERROR(VLOOKUP(基本資料填寫!$E$1&amp;"-"&amp;ROW(書籍檔建置!R66),基本資料填寫!$E:$EU,COLUMN(基本資料填寫!V66),0),"")</f>
        <v/>
      </c>
      <c r="I69" s="315" t="str">
        <f>IFERROR(VLOOKUP(基本資料填寫!$E$1&amp;"-"&amp;ROW(書籍檔建置!BQ66),基本資料填寫!$E:$EU,COLUMN(基本資料填寫!BU66),0),"")</f>
        <v/>
      </c>
      <c r="J69" s="314" t="str">
        <f>IFERROR(VLOOKUP(基本資料填寫!$E$1&amp;"-"&amp;ROW(書籍檔建置!BW66),基本資料填寫!$E:$EU,COLUMN(基本資料填寫!CA66),0),"")</f>
        <v/>
      </c>
      <c r="K69" s="314" t="str">
        <f>IFERROR(VLOOKUP(基本資料填寫!$E$1&amp;"-"&amp;ROW(書籍檔建置!BR66),基本資料填寫!$E:$EU,COLUMN(基本資料填寫!BV66),0),"")</f>
        <v/>
      </c>
      <c r="L69" s="314" t="str">
        <f>IFERROR(VLOOKUP(基本資料填寫!$E$1&amp;"-"&amp;ROW(書籍檔建置!BS66),基本資料填寫!$E:$EU,COLUMN(基本資料填寫!BW66),0),"")</f>
        <v/>
      </c>
      <c r="M69" s="166" t="str">
        <f>IFERROR(VLOOKUP(基本資料填寫!$E$1&amp;"-"&amp;ROW(書籍檔建置!BK66),基本資料填寫!$E:$EU,COLUMN(基本資料填寫!BO66),0),"")</f>
        <v/>
      </c>
      <c r="N69" s="314" t="str">
        <f>IFERROR(VLOOKUP(基本資料填寫!$E$1&amp;"-"&amp;ROW(書籍檔建置!AG66),基本資料填寫!$E:$EU,COLUMN(基本資料填寫!AK66),0),"")</f>
        <v/>
      </c>
      <c r="O69" s="314" t="str">
        <f>IFERROR(VLOOKUP(基本資料填寫!$E$1&amp;"-"&amp;ROW(書籍檔建置!BT66),基本資料填寫!$E:$EU,COLUMN(基本資料填寫!BX66),0),"")</f>
        <v/>
      </c>
      <c r="P69" s="314" t="str">
        <f>IFERROR(VLOOKUP(基本資料填寫!$E$1&amp;"-"&amp;ROW(書籍檔建置!BU66),基本資料填寫!$E:$EU,COLUMN(基本資料填寫!BY66),0),"")</f>
        <v/>
      </c>
      <c r="Q69" s="314" t="str">
        <f>IFERROR(VLOOKUP(基本資料填寫!$E$1&amp;"-"&amp;ROW(書籍檔建置!BV66),基本資料填寫!$E:$EU,COLUMN(基本資料填寫!BZ66),0),"")</f>
        <v/>
      </c>
      <c r="R69" s="314" t="str">
        <f>IFERROR(VLOOKUP(基本資料填寫!$E$1&amp;"-"&amp;ROW(書籍檔建置!BX66),基本資料填寫!$E:$EU,COLUMN(基本資料填寫!CB66),0),"")</f>
        <v/>
      </c>
      <c r="S69" s="314" t="str">
        <f>IFERROR(VLOOKUP(基本資料填寫!$E$1&amp;"-"&amp;ROW(書籍檔建置!BY66),基本資料填寫!$E:$EU,COLUMN(基本資料填寫!CC66),0),"")</f>
        <v/>
      </c>
      <c r="T69" s="314" t="str">
        <f>IFERROR(VLOOKUP(基本資料填寫!$E$1&amp;"-"&amp;ROW(書籍檔建置!BZ66),基本資料填寫!$E:$EU,COLUMN(基本資料填寫!CD66),0),"")</f>
        <v/>
      </c>
      <c r="U69" s="314" t="str">
        <f>IFERROR(VLOOKUP(基本資料填寫!$E$1&amp;"-"&amp;ROW(書籍檔建置!CA66),基本資料填寫!$E:$EU,COLUMN(基本資料填寫!CE66),0),"")</f>
        <v/>
      </c>
      <c r="V69" s="166" t="str">
        <f>IFERROR(VLOOKUP(基本資料填寫!$E$1&amp;"-"&amp;ROW(書籍檔建置!BL66),基本資料填寫!$E:$EU,COLUMN(基本資料填寫!BP66),0),"")</f>
        <v/>
      </c>
      <c r="W69" s="178"/>
      <c r="X69" s="178"/>
      <c r="Y69" s="178"/>
      <c r="Z69" s="178"/>
      <c r="AA69" s="178"/>
      <c r="AB69" s="178"/>
      <c r="AC69" s="314" t="str">
        <f>IFERROR(VLOOKUP(基本資料填寫!$E$1&amp;"-"&amp;ROW(書籍檔建置!S66),基本資料填寫!$E:$EU,COLUMN(基本資料填寫!W66),0),"")</f>
        <v/>
      </c>
      <c r="AD69" s="166" t="str">
        <f>IFERROR(VLOOKUP(基本資料填寫!$E$1&amp;"-"&amp;ROW(書籍檔建置!BM66),基本資料填寫!$E:$EU,COLUMN(基本資料填寫!BQ66),0),"")</f>
        <v/>
      </c>
      <c r="AE69" s="178"/>
      <c r="AF69" s="178"/>
      <c r="AG69" s="178"/>
      <c r="AH69" s="314" t="str">
        <f>IFERROR(VLOOKUP(基本資料填寫!$E$1&amp;"-"&amp;ROW(書籍檔建置!CB66),基本資料填寫!$E:$EU,COLUMN(基本資料填寫!CF66),0),"")</f>
        <v/>
      </c>
      <c r="AI69" s="314" t="str">
        <f>IFERROR(VLOOKUP(基本資料填寫!$E$1&amp;"-"&amp;ROW(書籍檔建置!CC66),基本資料填寫!$E:$EU,COLUMN(基本資料填寫!CG66),0),"")</f>
        <v/>
      </c>
      <c r="AJ69" s="314" t="str">
        <f>IFERROR(VLOOKUP(基本資料填寫!$E$1&amp;"-"&amp;ROW(書籍檔建置!H66),基本資料填寫!$E:$EU,COLUMN(基本資料填寫!K66),0),"")</f>
        <v/>
      </c>
      <c r="AK69" s="314" t="str">
        <f>IFERROR(VLOOKUP(基本資料填寫!$E$1&amp;"-"&amp;ROW(書籍檔建置!CF66),基本資料填寫!$E:$EU,COLUMN(基本資料填寫!CJ66),0),"")</f>
        <v/>
      </c>
      <c r="AL69" s="314" t="str">
        <f>IFERROR(VLOOKUP(基本資料填寫!$E$1&amp;"-"&amp;ROW(書籍檔建置!CG66),基本資料填寫!$E:$EU,COLUMN(基本資料填寫!CK66),0),"")</f>
        <v/>
      </c>
      <c r="AM69" s="314" t="str">
        <f>IFERROR(VLOOKUP(基本資料填寫!$E$1&amp;"-"&amp;ROW(書籍檔建置!BP66),基本資料填寫!$E:$EU,COLUMN(基本資料填寫!BT66),0),"")</f>
        <v/>
      </c>
      <c r="AN69" s="153"/>
    </row>
    <row r="70" spans="2:40" x14ac:dyDescent="0.3">
      <c r="B70" s="47" t="str">
        <f>IF(F70="","",COUNTA($F$4:F70))</f>
        <v/>
      </c>
      <c r="C70" s="314" t="str">
        <f>IFERROR(VLOOKUP(基本資料填寫!$E$1&amp;"-"&amp;ROW(書籍檔建置!K67),基本資料填寫!$E:$EU,COLUMN(基本資料填寫!O67),0),"")</f>
        <v/>
      </c>
      <c r="D70" s="314" t="str">
        <f>IFERROR(VLOOKUP(基本資料填寫!$E$1&amp;"-"&amp;ROW(書籍檔建置!N67),基本資料填寫!$E:$EU,COLUMN(基本資料填寫!R67),0),"")</f>
        <v/>
      </c>
      <c r="E70" s="314" t="str">
        <f>IFERROR(VLOOKUP(基本資料填寫!$E$1&amp;"-"&amp;ROW(書籍檔建置!AF67),基本資料填寫!$E:$EU,COLUMN(基本資料填寫!AJ67),0),"")</f>
        <v/>
      </c>
      <c r="F70" s="314" t="str">
        <f>IFERROR(VLOOKUP(基本資料填寫!$E$1&amp;"-"&amp;ROW(書籍檔建置!J67),基本資料填寫!$E:$EU,COLUMN(基本資料填寫!N67),0),"")</f>
        <v/>
      </c>
      <c r="G70" s="314" t="str">
        <f>IFERROR(VLOOKUP(基本資料填寫!$E$1&amp;"-"&amp;ROW(書籍檔建置!BO67),基本資料填寫!$E:$EU,COLUMN(基本資料填寫!BS67),0),"")</f>
        <v/>
      </c>
      <c r="H70" s="314" t="str">
        <f>IFERROR(VLOOKUP(基本資料填寫!$E$1&amp;"-"&amp;ROW(書籍檔建置!R67),基本資料填寫!$E:$EU,COLUMN(基本資料填寫!V67),0),"")</f>
        <v/>
      </c>
      <c r="I70" s="315" t="str">
        <f>IFERROR(VLOOKUP(基本資料填寫!$E$1&amp;"-"&amp;ROW(書籍檔建置!BQ67),基本資料填寫!$E:$EU,COLUMN(基本資料填寫!BU67),0),"")</f>
        <v/>
      </c>
      <c r="J70" s="314" t="str">
        <f>IFERROR(VLOOKUP(基本資料填寫!$E$1&amp;"-"&amp;ROW(書籍檔建置!BW67),基本資料填寫!$E:$EU,COLUMN(基本資料填寫!CA67),0),"")</f>
        <v/>
      </c>
      <c r="K70" s="314" t="str">
        <f>IFERROR(VLOOKUP(基本資料填寫!$E$1&amp;"-"&amp;ROW(書籍檔建置!BR67),基本資料填寫!$E:$EU,COLUMN(基本資料填寫!BV67),0),"")</f>
        <v/>
      </c>
      <c r="L70" s="314" t="str">
        <f>IFERROR(VLOOKUP(基本資料填寫!$E$1&amp;"-"&amp;ROW(書籍檔建置!BS67),基本資料填寫!$E:$EU,COLUMN(基本資料填寫!BW67),0),"")</f>
        <v/>
      </c>
      <c r="M70" s="166" t="str">
        <f>IFERROR(VLOOKUP(基本資料填寫!$E$1&amp;"-"&amp;ROW(書籍檔建置!BK67),基本資料填寫!$E:$EU,COLUMN(基本資料填寫!BO67),0),"")</f>
        <v/>
      </c>
      <c r="N70" s="314" t="str">
        <f>IFERROR(VLOOKUP(基本資料填寫!$E$1&amp;"-"&amp;ROW(書籍檔建置!AG67),基本資料填寫!$E:$EU,COLUMN(基本資料填寫!AK67),0),"")</f>
        <v/>
      </c>
      <c r="O70" s="314" t="str">
        <f>IFERROR(VLOOKUP(基本資料填寫!$E$1&amp;"-"&amp;ROW(書籍檔建置!BT67),基本資料填寫!$E:$EU,COLUMN(基本資料填寫!BX67),0),"")</f>
        <v/>
      </c>
      <c r="P70" s="314" t="str">
        <f>IFERROR(VLOOKUP(基本資料填寫!$E$1&amp;"-"&amp;ROW(書籍檔建置!BU67),基本資料填寫!$E:$EU,COLUMN(基本資料填寫!BY67),0),"")</f>
        <v/>
      </c>
      <c r="Q70" s="314" t="str">
        <f>IFERROR(VLOOKUP(基本資料填寫!$E$1&amp;"-"&amp;ROW(書籍檔建置!BV67),基本資料填寫!$E:$EU,COLUMN(基本資料填寫!BZ67),0),"")</f>
        <v/>
      </c>
      <c r="R70" s="314" t="str">
        <f>IFERROR(VLOOKUP(基本資料填寫!$E$1&amp;"-"&amp;ROW(書籍檔建置!BX67),基本資料填寫!$E:$EU,COLUMN(基本資料填寫!CB67),0),"")</f>
        <v/>
      </c>
      <c r="S70" s="314" t="str">
        <f>IFERROR(VLOOKUP(基本資料填寫!$E$1&amp;"-"&amp;ROW(書籍檔建置!BY67),基本資料填寫!$E:$EU,COLUMN(基本資料填寫!CC67),0),"")</f>
        <v/>
      </c>
      <c r="T70" s="314" t="str">
        <f>IFERROR(VLOOKUP(基本資料填寫!$E$1&amp;"-"&amp;ROW(書籍檔建置!BZ67),基本資料填寫!$E:$EU,COLUMN(基本資料填寫!CD67),0),"")</f>
        <v/>
      </c>
      <c r="U70" s="314" t="str">
        <f>IFERROR(VLOOKUP(基本資料填寫!$E$1&amp;"-"&amp;ROW(書籍檔建置!CA67),基本資料填寫!$E:$EU,COLUMN(基本資料填寫!CE67),0),"")</f>
        <v/>
      </c>
      <c r="V70" s="166" t="str">
        <f>IFERROR(VLOOKUP(基本資料填寫!$E$1&amp;"-"&amp;ROW(書籍檔建置!BL67),基本資料填寫!$E:$EU,COLUMN(基本資料填寫!BP67),0),"")</f>
        <v/>
      </c>
      <c r="W70" s="178"/>
      <c r="X70" s="178"/>
      <c r="Y70" s="178"/>
      <c r="Z70" s="178"/>
      <c r="AA70" s="178"/>
      <c r="AB70" s="178"/>
      <c r="AC70" s="314" t="str">
        <f>IFERROR(VLOOKUP(基本資料填寫!$E$1&amp;"-"&amp;ROW(書籍檔建置!S67),基本資料填寫!$E:$EU,COLUMN(基本資料填寫!W67),0),"")</f>
        <v/>
      </c>
      <c r="AD70" s="166" t="str">
        <f>IFERROR(VLOOKUP(基本資料填寫!$E$1&amp;"-"&amp;ROW(書籍檔建置!BM67),基本資料填寫!$E:$EU,COLUMN(基本資料填寫!BQ67),0),"")</f>
        <v/>
      </c>
      <c r="AE70" s="178"/>
      <c r="AF70" s="178"/>
      <c r="AG70" s="178"/>
      <c r="AH70" s="314" t="str">
        <f>IFERROR(VLOOKUP(基本資料填寫!$E$1&amp;"-"&amp;ROW(書籍檔建置!CB67),基本資料填寫!$E:$EU,COLUMN(基本資料填寫!CF67),0),"")</f>
        <v/>
      </c>
      <c r="AI70" s="314" t="str">
        <f>IFERROR(VLOOKUP(基本資料填寫!$E$1&amp;"-"&amp;ROW(書籍檔建置!CC67),基本資料填寫!$E:$EU,COLUMN(基本資料填寫!CG67),0),"")</f>
        <v/>
      </c>
      <c r="AJ70" s="314" t="str">
        <f>IFERROR(VLOOKUP(基本資料填寫!$E$1&amp;"-"&amp;ROW(書籍檔建置!H67),基本資料填寫!$E:$EU,COLUMN(基本資料填寫!K67),0),"")</f>
        <v/>
      </c>
      <c r="AK70" s="314" t="str">
        <f>IFERROR(VLOOKUP(基本資料填寫!$E$1&amp;"-"&amp;ROW(書籍檔建置!CF67),基本資料填寫!$E:$EU,COLUMN(基本資料填寫!CJ67),0),"")</f>
        <v/>
      </c>
      <c r="AL70" s="314" t="str">
        <f>IFERROR(VLOOKUP(基本資料填寫!$E$1&amp;"-"&amp;ROW(書籍檔建置!CG67),基本資料填寫!$E:$EU,COLUMN(基本資料填寫!CK67),0),"")</f>
        <v/>
      </c>
      <c r="AM70" s="314" t="str">
        <f>IFERROR(VLOOKUP(基本資料填寫!$E$1&amp;"-"&amp;ROW(書籍檔建置!BP67),基本資料填寫!$E:$EU,COLUMN(基本資料填寫!BT67),0),"")</f>
        <v/>
      </c>
      <c r="AN70" s="153"/>
    </row>
    <row r="71" spans="2:40" x14ac:dyDescent="0.3">
      <c r="B71" s="47" t="str">
        <f>IF(F71="","",COUNTA($F$4:F71))</f>
        <v/>
      </c>
      <c r="C71" s="314" t="str">
        <f>IFERROR(VLOOKUP(基本資料填寫!$E$1&amp;"-"&amp;ROW(書籍檔建置!K68),基本資料填寫!$E:$EU,COLUMN(基本資料填寫!O68),0),"")</f>
        <v/>
      </c>
      <c r="D71" s="314" t="str">
        <f>IFERROR(VLOOKUP(基本資料填寫!$E$1&amp;"-"&amp;ROW(書籍檔建置!N68),基本資料填寫!$E:$EU,COLUMN(基本資料填寫!R68),0),"")</f>
        <v/>
      </c>
      <c r="E71" s="314" t="str">
        <f>IFERROR(VLOOKUP(基本資料填寫!$E$1&amp;"-"&amp;ROW(書籍檔建置!AF68),基本資料填寫!$E:$EU,COLUMN(基本資料填寫!AJ68),0),"")</f>
        <v/>
      </c>
      <c r="F71" s="314" t="str">
        <f>IFERROR(VLOOKUP(基本資料填寫!$E$1&amp;"-"&amp;ROW(書籍檔建置!J68),基本資料填寫!$E:$EU,COLUMN(基本資料填寫!N68),0),"")</f>
        <v/>
      </c>
      <c r="G71" s="314" t="str">
        <f>IFERROR(VLOOKUP(基本資料填寫!$E$1&amp;"-"&amp;ROW(書籍檔建置!BO68),基本資料填寫!$E:$EU,COLUMN(基本資料填寫!BS68),0),"")</f>
        <v/>
      </c>
      <c r="H71" s="314" t="str">
        <f>IFERROR(VLOOKUP(基本資料填寫!$E$1&amp;"-"&amp;ROW(書籍檔建置!R68),基本資料填寫!$E:$EU,COLUMN(基本資料填寫!V68),0),"")</f>
        <v/>
      </c>
      <c r="I71" s="315" t="str">
        <f>IFERROR(VLOOKUP(基本資料填寫!$E$1&amp;"-"&amp;ROW(書籍檔建置!BQ68),基本資料填寫!$E:$EU,COLUMN(基本資料填寫!BU68),0),"")</f>
        <v/>
      </c>
      <c r="J71" s="314" t="str">
        <f>IFERROR(VLOOKUP(基本資料填寫!$E$1&amp;"-"&amp;ROW(書籍檔建置!BW68),基本資料填寫!$E:$EU,COLUMN(基本資料填寫!CA68),0),"")</f>
        <v/>
      </c>
      <c r="K71" s="314" t="str">
        <f>IFERROR(VLOOKUP(基本資料填寫!$E$1&amp;"-"&amp;ROW(書籍檔建置!BR68),基本資料填寫!$E:$EU,COLUMN(基本資料填寫!BV68),0),"")</f>
        <v/>
      </c>
      <c r="L71" s="314" t="str">
        <f>IFERROR(VLOOKUP(基本資料填寫!$E$1&amp;"-"&amp;ROW(書籍檔建置!BS68),基本資料填寫!$E:$EU,COLUMN(基本資料填寫!BW68),0),"")</f>
        <v/>
      </c>
      <c r="M71" s="166" t="str">
        <f>IFERROR(VLOOKUP(基本資料填寫!$E$1&amp;"-"&amp;ROW(書籍檔建置!BK68),基本資料填寫!$E:$EU,COLUMN(基本資料填寫!BO68),0),"")</f>
        <v/>
      </c>
      <c r="N71" s="314" t="str">
        <f>IFERROR(VLOOKUP(基本資料填寫!$E$1&amp;"-"&amp;ROW(書籍檔建置!AG68),基本資料填寫!$E:$EU,COLUMN(基本資料填寫!AK68),0),"")</f>
        <v/>
      </c>
      <c r="O71" s="314" t="str">
        <f>IFERROR(VLOOKUP(基本資料填寫!$E$1&amp;"-"&amp;ROW(書籍檔建置!BT68),基本資料填寫!$E:$EU,COLUMN(基本資料填寫!BX68),0),"")</f>
        <v/>
      </c>
      <c r="P71" s="314" t="str">
        <f>IFERROR(VLOOKUP(基本資料填寫!$E$1&amp;"-"&amp;ROW(書籍檔建置!BU68),基本資料填寫!$E:$EU,COLUMN(基本資料填寫!BY68),0),"")</f>
        <v/>
      </c>
      <c r="Q71" s="314" t="str">
        <f>IFERROR(VLOOKUP(基本資料填寫!$E$1&amp;"-"&amp;ROW(書籍檔建置!BV68),基本資料填寫!$E:$EU,COLUMN(基本資料填寫!BZ68),0),"")</f>
        <v/>
      </c>
      <c r="R71" s="314" t="str">
        <f>IFERROR(VLOOKUP(基本資料填寫!$E$1&amp;"-"&amp;ROW(書籍檔建置!BX68),基本資料填寫!$E:$EU,COLUMN(基本資料填寫!CB68),0),"")</f>
        <v/>
      </c>
      <c r="S71" s="314" t="str">
        <f>IFERROR(VLOOKUP(基本資料填寫!$E$1&amp;"-"&amp;ROW(書籍檔建置!BY68),基本資料填寫!$E:$EU,COLUMN(基本資料填寫!CC68),0),"")</f>
        <v/>
      </c>
      <c r="T71" s="314" t="str">
        <f>IFERROR(VLOOKUP(基本資料填寫!$E$1&amp;"-"&amp;ROW(書籍檔建置!BZ68),基本資料填寫!$E:$EU,COLUMN(基本資料填寫!CD68),0),"")</f>
        <v/>
      </c>
      <c r="U71" s="314" t="str">
        <f>IFERROR(VLOOKUP(基本資料填寫!$E$1&amp;"-"&amp;ROW(書籍檔建置!CA68),基本資料填寫!$E:$EU,COLUMN(基本資料填寫!CE68),0),"")</f>
        <v/>
      </c>
      <c r="V71" s="166" t="str">
        <f>IFERROR(VLOOKUP(基本資料填寫!$E$1&amp;"-"&amp;ROW(書籍檔建置!BL68),基本資料填寫!$E:$EU,COLUMN(基本資料填寫!BP68),0),"")</f>
        <v/>
      </c>
      <c r="W71" s="178"/>
      <c r="X71" s="178"/>
      <c r="Y71" s="178"/>
      <c r="Z71" s="178"/>
      <c r="AA71" s="178"/>
      <c r="AB71" s="178"/>
      <c r="AC71" s="314" t="str">
        <f>IFERROR(VLOOKUP(基本資料填寫!$E$1&amp;"-"&amp;ROW(書籍檔建置!S68),基本資料填寫!$E:$EU,COLUMN(基本資料填寫!W68),0),"")</f>
        <v/>
      </c>
      <c r="AD71" s="166" t="str">
        <f>IFERROR(VLOOKUP(基本資料填寫!$E$1&amp;"-"&amp;ROW(書籍檔建置!BM68),基本資料填寫!$E:$EU,COLUMN(基本資料填寫!BQ68),0),"")</f>
        <v/>
      </c>
      <c r="AE71" s="178"/>
      <c r="AF71" s="178"/>
      <c r="AG71" s="178"/>
      <c r="AH71" s="314" t="str">
        <f>IFERROR(VLOOKUP(基本資料填寫!$E$1&amp;"-"&amp;ROW(書籍檔建置!CB68),基本資料填寫!$E:$EU,COLUMN(基本資料填寫!CF68),0),"")</f>
        <v/>
      </c>
      <c r="AI71" s="314" t="str">
        <f>IFERROR(VLOOKUP(基本資料填寫!$E$1&amp;"-"&amp;ROW(書籍檔建置!CC68),基本資料填寫!$E:$EU,COLUMN(基本資料填寫!CG68),0),"")</f>
        <v/>
      </c>
      <c r="AJ71" s="314" t="str">
        <f>IFERROR(VLOOKUP(基本資料填寫!$E$1&amp;"-"&amp;ROW(書籍檔建置!H68),基本資料填寫!$E:$EU,COLUMN(基本資料填寫!K68),0),"")</f>
        <v/>
      </c>
      <c r="AK71" s="314" t="str">
        <f>IFERROR(VLOOKUP(基本資料填寫!$E$1&amp;"-"&amp;ROW(書籍檔建置!CF68),基本資料填寫!$E:$EU,COLUMN(基本資料填寫!CJ68),0),"")</f>
        <v/>
      </c>
      <c r="AL71" s="314" t="str">
        <f>IFERROR(VLOOKUP(基本資料填寫!$E$1&amp;"-"&amp;ROW(書籍檔建置!CG68),基本資料填寫!$E:$EU,COLUMN(基本資料填寫!CK68),0),"")</f>
        <v/>
      </c>
      <c r="AM71" s="314" t="str">
        <f>IFERROR(VLOOKUP(基本資料填寫!$E$1&amp;"-"&amp;ROW(書籍檔建置!BP68),基本資料填寫!$E:$EU,COLUMN(基本資料填寫!BT68),0),"")</f>
        <v/>
      </c>
      <c r="AN71" s="153"/>
    </row>
    <row r="72" spans="2:40" x14ac:dyDescent="0.3">
      <c r="B72" s="47" t="str">
        <f>IF(F72="","",COUNTA($F$4:F72))</f>
        <v/>
      </c>
      <c r="C72" s="314" t="str">
        <f>IFERROR(VLOOKUP(基本資料填寫!$E$1&amp;"-"&amp;ROW(書籍檔建置!K69),基本資料填寫!$E:$EU,COLUMN(基本資料填寫!O69),0),"")</f>
        <v/>
      </c>
      <c r="D72" s="314" t="str">
        <f>IFERROR(VLOOKUP(基本資料填寫!$E$1&amp;"-"&amp;ROW(書籍檔建置!N69),基本資料填寫!$E:$EU,COLUMN(基本資料填寫!R69),0),"")</f>
        <v/>
      </c>
      <c r="E72" s="314" t="str">
        <f>IFERROR(VLOOKUP(基本資料填寫!$E$1&amp;"-"&amp;ROW(書籍檔建置!AF69),基本資料填寫!$E:$EU,COLUMN(基本資料填寫!AJ69),0),"")</f>
        <v/>
      </c>
      <c r="F72" s="314" t="str">
        <f>IFERROR(VLOOKUP(基本資料填寫!$E$1&amp;"-"&amp;ROW(書籍檔建置!J69),基本資料填寫!$E:$EU,COLUMN(基本資料填寫!N69),0),"")</f>
        <v/>
      </c>
      <c r="G72" s="314" t="str">
        <f>IFERROR(VLOOKUP(基本資料填寫!$E$1&amp;"-"&amp;ROW(書籍檔建置!BO69),基本資料填寫!$E:$EU,COLUMN(基本資料填寫!BS69),0),"")</f>
        <v/>
      </c>
      <c r="H72" s="314" t="str">
        <f>IFERROR(VLOOKUP(基本資料填寫!$E$1&amp;"-"&amp;ROW(書籍檔建置!R69),基本資料填寫!$E:$EU,COLUMN(基本資料填寫!V69),0),"")</f>
        <v/>
      </c>
      <c r="I72" s="315" t="str">
        <f>IFERROR(VLOOKUP(基本資料填寫!$E$1&amp;"-"&amp;ROW(書籍檔建置!BQ69),基本資料填寫!$E:$EU,COLUMN(基本資料填寫!BU69),0),"")</f>
        <v/>
      </c>
      <c r="J72" s="314" t="str">
        <f>IFERROR(VLOOKUP(基本資料填寫!$E$1&amp;"-"&amp;ROW(書籍檔建置!BW69),基本資料填寫!$E:$EU,COLUMN(基本資料填寫!CA69),0),"")</f>
        <v/>
      </c>
      <c r="K72" s="314" t="str">
        <f>IFERROR(VLOOKUP(基本資料填寫!$E$1&amp;"-"&amp;ROW(書籍檔建置!BR69),基本資料填寫!$E:$EU,COLUMN(基本資料填寫!BV69),0),"")</f>
        <v/>
      </c>
      <c r="L72" s="314" t="str">
        <f>IFERROR(VLOOKUP(基本資料填寫!$E$1&amp;"-"&amp;ROW(書籍檔建置!BS69),基本資料填寫!$E:$EU,COLUMN(基本資料填寫!BW69),0),"")</f>
        <v/>
      </c>
      <c r="M72" s="166" t="str">
        <f>IFERROR(VLOOKUP(基本資料填寫!$E$1&amp;"-"&amp;ROW(書籍檔建置!BK69),基本資料填寫!$E:$EU,COLUMN(基本資料填寫!BO69),0),"")</f>
        <v/>
      </c>
      <c r="N72" s="314" t="str">
        <f>IFERROR(VLOOKUP(基本資料填寫!$E$1&amp;"-"&amp;ROW(書籍檔建置!AG69),基本資料填寫!$E:$EU,COLUMN(基本資料填寫!AK69),0),"")</f>
        <v/>
      </c>
      <c r="O72" s="314" t="str">
        <f>IFERROR(VLOOKUP(基本資料填寫!$E$1&amp;"-"&amp;ROW(書籍檔建置!BT69),基本資料填寫!$E:$EU,COLUMN(基本資料填寫!BX69),0),"")</f>
        <v/>
      </c>
      <c r="P72" s="314" t="str">
        <f>IFERROR(VLOOKUP(基本資料填寫!$E$1&amp;"-"&amp;ROW(書籍檔建置!BU69),基本資料填寫!$E:$EU,COLUMN(基本資料填寫!BY69),0),"")</f>
        <v/>
      </c>
      <c r="Q72" s="314" t="str">
        <f>IFERROR(VLOOKUP(基本資料填寫!$E$1&amp;"-"&amp;ROW(書籍檔建置!BV69),基本資料填寫!$E:$EU,COLUMN(基本資料填寫!BZ69),0),"")</f>
        <v/>
      </c>
      <c r="R72" s="314" t="str">
        <f>IFERROR(VLOOKUP(基本資料填寫!$E$1&amp;"-"&amp;ROW(書籍檔建置!BX69),基本資料填寫!$E:$EU,COLUMN(基本資料填寫!CB69),0),"")</f>
        <v/>
      </c>
      <c r="S72" s="314" t="str">
        <f>IFERROR(VLOOKUP(基本資料填寫!$E$1&amp;"-"&amp;ROW(書籍檔建置!BY69),基本資料填寫!$E:$EU,COLUMN(基本資料填寫!CC69),0),"")</f>
        <v/>
      </c>
      <c r="T72" s="314" t="str">
        <f>IFERROR(VLOOKUP(基本資料填寫!$E$1&amp;"-"&amp;ROW(書籍檔建置!BZ69),基本資料填寫!$E:$EU,COLUMN(基本資料填寫!CD69),0),"")</f>
        <v/>
      </c>
      <c r="U72" s="314" t="str">
        <f>IFERROR(VLOOKUP(基本資料填寫!$E$1&amp;"-"&amp;ROW(書籍檔建置!CA69),基本資料填寫!$E:$EU,COLUMN(基本資料填寫!CE69),0),"")</f>
        <v/>
      </c>
      <c r="V72" s="166" t="str">
        <f>IFERROR(VLOOKUP(基本資料填寫!$E$1&amp;"-"&amp;ROW(書籍檔建置!BL69),基本資料填寫!$E:$EU,COLUMN(基本資料填寫!BP69),0),"")</f>
        <v/>
      </c>
      <c r="W72" s="178"/>
      <c r="X72" s="178"/>
      <c r="Y72" s="178"/>
      <c r="Z72" s="178"/>
      <c r="AA72" s="178"/>
      <c r="AB72" s="178"/>
      <c r="AC72" s="314" t="str">
        <f>IFERROR(VLOOKUP(基本資料填寫!$E$1&amp;"-"&amp;ROW(書籍檔建置!S69),基本資料填寫!$E:$EU,COLUMN(基本資料填寫!W69),0),"")</f>
        <v/>
      </c>
      <c r="AD72" s="166" t="str">
        <f>IFERROR(VLOOKUP(基本資料填寫!$E$1&amp;"-"&amp;ROW(書籍檔建置!BM69),基本資料填寫!$E:$EU,COLUMN(基本資料填寫!BQ69),0),"")</f>
        <v/>
      </c>
      <c r="AE72" s="178"/>
      <c r="AF72" s="178"/>
      <c r="AG72" s="178"/>
      <c r="AH72" s="314" t="str">
        <f>IFERROR(VLOOKUP(基本資料填寫!$E$1&amp;"-"&amp;ROW(書籍檔建置!CB69),基本資料填寫!$E:$EU,COLUMN(基本資料填寫!CF69),0),"")</f>
        <v/>
      </c>
      <c r="AI72" s="314" t="str">
        <f>IFERROR(VLOOKUP(基本資料填寫!$E$1&amp;"-"&amp;ROW(書籍檔建置!CC69),基本資料填寫!$E:$EU,COLUMN(基本資料填寫!CG69),0),"")</f>
        <v/>
      </c>
      <c r="AJ72" s="314" t="str">
        <f>IFERROR(VLOOKUP(基本資料填寫!$E$1&amp;"-"&amp;ROW(書籍檔建置!H69),基本資料填寫!$E:$EU,COLUMN(基本資料填寫!K69),0),"")</f>
        <v/>
      </c>
      <c r="AK72" s="314" t="str">
        <f>IFERROR(VLOOKUP(基本資料填寫!$E$1&amp;"-"&amp;ROW(書籍檔建置!CF69),基本資料填寫!$E:$EU,COLUMN(基本資料填寫!CJ69),0),"")</f>
        <v/>
      </c>
      <c r="AL72" s="314" t="str">
        <f>IFERROR(VLOOKUP(基本資料填寫!$E$1&amp;"-"&amp;ROW(書籍檔建置!CG69),基本資料填寫!$E:$EU,COLUMN(基本資料填寫!CK69),0),"")</f>
        <v/>
      </c>
      <c r="AM72" s="314" t="str">
        <f>IFERROR(VLOOKUP(基本資料填寫!$E$1&amp;"-"&amp;ROW(書籍檔建置!BP69),基本資料填寫!$E:$EU,COLUMN(基本資料填寫!BT69),0),"")</f>
        <v/>
      </c>
      <c r="AN72" s="153"/>
    </row>
    <row r="73" spans="2:40" x14ac:dyDescent="0.3">
      <c r="B73" s="47" t="str">
        <f>IF(F73="","",COUNTA($F$4:F73))</f>
        <v/>
      </c>
      <c r="C73" s="314" t="str">
        <f>IFERROR(VLOOKUP(基本資料填寫!$E$1&amp;"-"&amp;ROW(書籍檔建置!K70),基本資料填寫!$E:$EU,COLUMN(基本資料填寫!O70),0),"")</f>
        <v/>
      </c>
      <c r="D73" s="314" t="str">
        <f>IFERROR(VLOOKUP(基本資料填寫!$E$1&amp;"-"&amp;ROW(書籍檔建置!N70),基本資料填寫!$E:$EU,COLUMN(基本資料填寫!R70),0),"")</f>
        <v/>
      </c>
      <c r="E73" s="314" t="str">
        <f>IFERROR(VLOOKUP(基本資料填寫!$E$1&amp;"-"&amp;ROW(書籍檔建置!AF70),基本資料填寫!$E:$EU,COLUMN(基本資料填寫!AJ70),0),"")</f>
        <v/>
      </c>
      <c r="F73" s="314" t="str">
        <f>IFERROR(VLOOKUP(基本資料填寫!$E$1&amp;"-"&amp;ROW(書籍檔建置!J70),基本資料填寫!$E:$EU,COLUMN(基本資料填寫!N70),0),"")</f>
        <v/>
      </c>
      <c r="G73" s="314" t="str">
        <f>IFERROR(VLOOKUP(基本資料填寫!$E$1&amp;"-"&amp;ROW(書籍檔建置!BO70),基本資料填寫!$E:$EU,COLUMN(基本資料填寫!BS70),0),"")</f>
        <v/>
      </c>
      <c r="H73" s="314" t="str">
        <f>IFERROR(VLOOKUP(基本資料填寫!$E$1&amp;"-"&amp;ROW(書籍檔建置!R70),基本資料填寫!$E:$EU,COLUMN(基本資料填寫!V70),0),"")</f>
        <v/>
      </c>
      <c r="I73" s="315" t="str">
        <f>IFERROR(VLOOKUP(基本資料填寫!$E$1&amp;"-"&amp;ROW(書籍檔建置!BQ70),基本資料填寫!$E:$EU,COLUMN(基本資料填寫!BU70),0),"")</f>
        <v/>
      </c>
      <c r="J73" s="314" t="str">
        <f>IFERROR(VLOOKUP(基本資料填寫!$E$1&amp;"-"&amp;ROW(書籍檔建置!BW70),基本資料填寫!$E:$EU,COLUMN(基本資料填寫!CA70),0),"")</f>
        <v/>
      </c>
      <c r="K73" s="314" t="str">
        <f>IFERROR(VLOOKUP(基本資料填寫!$E$1&amp;"-"&amp;ROW(書籍檔建置!BR70),基本資料填寫!$E:$EU,COLUMN(基本資料填寫!BV70),0),"")</f>
        <v/>
      </c>
      <c r="L73" s="314" t="str">
        <f>IFERROR(VLOOKUP(基本資料填寫!$E$1&amp;"-"&amp;ROW(書籍檔建置!BS70),基本資料填寫!$E:$EU,COLUMN(基本資料填寫!BW70),0),"")</f>
        <v/>
      </c>
      <c r="M73" s="166" t="str">
        <f>IFERROR(VLOOKUP(基本資料填寫!$E$1&amp;"-"&amp;ROW(書籍檔建置!BK70),基本資料填寫!$E:$EU,COLUMN(基本資料填寫!BO70),0),"")</f>
        <v/>
      </c>
      <c r="N73" s="314" t="str">
        <f>IFERROR(VLOOKUP(基本資料填寫!$E$1&amp;"-"&amp;ROW(書籍檔建置!AG70),基本資料填寫!$E:$EU,COLUMN(基本資料填寫!AK70),0),"")</f>
        <v/>
      </c>
      <c r="O73" s="314" t="str">
        <f>IFERROR(VLOOKUP(基本資料填寫!$E$1&amp;"-"&amp;ROW(書籍檔建置!BT70),基本資料填寫!$E:$EU,COLUMN(基本資料填寫!BX70),0),"")</f>
        <v/>
      </c>
      <c r="P73" s="314" t="str">
        <f>IFERROR(VLOOKUP(基本資料填寫!$E$1&amp;"-"&amp;ROW(書籍檔建置!BU70),基本資料填寫!$E:$EU,COLUMN(基本資料填寫!BY70),0),"")</f>
        <v/>
      </c>
      <c r="Q73" s="314" t="str">
        <f>IFERROR(VLOOKUP(基本資料填寫!$E$1&amp;"-"&amp;ROW(書籍檔建置!BV70),基本資料填寫!$E:$EU,COLUMN(基本資料填寫!BZ70),0),"")</f>
        <v/>
      </c>
      <c r="R73" s="314" t="str">
        <f>IFERROR(VLOOKUP(基本資料填寫!$E$1&amp;"-"&amp;ROW(書籍檔建置!BX70),基本資料填寫!$E:$EU,COLUMN(基本資料填寫!CB70),0),"")</f>
        <v/>
      </c>
      <c r="S73" s="314" t="str">
        <f>IFERROR(VLOOKUP(基本資料填寫!$E$1&amp;"-"&amp;ROW(書籍檔建置!BY70),基本資料填寫!$E:$EU,COLUMN(基本資料填寫!CC70),0),"")</f>
        <v/>
      </c>
      <c r="T73" s="314" t="str">
        <f>IFERROR(VLOOKUP(基本資料填寫!$E$1&amp;"-"&amp;ROW(書籍檔建置!BZ70),基本資料填寫!$E:$EU,COLUMN(基本資料填寫!CD70),0),"")</f>
        <v/>
      </c>
      <c r="U73" s="314" t="str">
        <f>IFERROR(VLOOKUP(基本資料填寫!$E$1&amp;"-"&amp;ROW(書籍檔建置!CA70),基本資料填寫!$E:$EU,COLUMN(基本資料填寫!CE70),0),"")</f>
        <v/>
      </c>
      <c r="V73" s="166" t="str">
        <f>IFERROR(VLOOKUP(基本資料填寫!$E$1&amp;"-"&amp;ROW(書籍檔建置!BL70),基本資料填寫!$E:$EU,COLUMN(基本資料填寫!BP70),0),"")</f>
        <v/>
      </c>
      <c r="W73" s="178"/>
      <c r="X73" s="178"/>
      <c r="Y73" s="178"/>
      <c r="Z73" s="178"/>
      <c r="AA73" s="178"/>
      <c r="AB73" s="178"/>
      <c r="AC73" s="314" t="str">
        <f>IFERROR(VLOOKUP(基本資料填寫!$E$1&amp;"-"&amp;ROW(書籍檔建置!S70),基本資料填寫!$E:$EU,COLUMN(基本資料填寫!W70),0),"")</f>
        <v/>
      </c>
      <c r="AD73" s="166" t="str">
        <f>IFERROR(VLOOKUP(基本資料填寫!$E$1&amp;"-"&amp;ROW(書籍檔建置!BM70),基本資料填寫!$E:$EU,COLUMN(基本資料填寫!BQ70),0),"")</f>
        <v/>
      </c>
      <c r="AE73" s="178"/>
      <c r="AF73" s="178"/>
      <c r="AG73" s="178"/>
      <c r="AH73" s="314" t="str">
        <f>IFERROR(VLOOKUP(基本資料填寫!$E$1&amp;"-"&amp;ROW(書籍檔建置!CB70),基本資料填寫!$E:$EU,COLUMN(基本資料填寫!CF70),0),"")</f>
        <v/>
      </c>
      <c r="AI73" s="314" t="str">
        <f>IFERROR(VLOOKUP(基本資料填寫!$E$1&amp;"-"&amp;ROW(書籍檔建置!CC70),基本資料填寫!$E:$EU,COLUMN(基本資料填寫!CG70),0),"")</f>
        <v/>
      </c>
      <c r="AJ73" s="314" t="str">
        <f>IFERROR(VLOOKUP(基本資料填寫!$E$1&amp;"-"&amp;ROW(書籍檔建置!H70),基本資料填寫!$E:$EU,COLUMN(基本資料填寫!K70),0),"")</f>
        <v/>
      </c>
      <c r="AK73" s="314" t="str">
        <f>IFERROR(VLOOKUP(基本資料填寫!$E$1&amp;"-"&amp;ROW(書籍檔建置!CF70),基本資料填寫!$E:$EU,COLUMN(基本資料填寫!CJ70),0),"")</f>
        <v/>
      </c>
      <c r="AL73" s="314" t="str">
        <f>IFERROR(VLOOKUP(基本資料填寫!$E$1&amp;"-"&amp;ROW(書籍檔建置!CG70),基本資料填寫!$E:$EU,COLUMN(基本資料填寫!CK70),0),"")</f>
        <v/>
      </c>
      <c r="AM73" s="314" t="str">
        <f>IFERROR(VLOOKUP(基本資料填寫!$E$1&amp;"-"&amp;ROW(書籍檔建置!BP70),基本資料填寫!$E:$EU,COLUMN(基本資料填寫!BT70),0),"")</f>
        <v/>
      </c>
      <c r="AN73" s="153"/>
    </row>
    <row r="74" spans="2:40" x14ac:dyDescent="0.3">
      <c r="B74" s="47" t="str">
        <f>IF(F74="","",COUNTA($F$4:F74))</f>
        <v/>
      </c>
      <c r="C74" s="314" t="str">
        <f>IFERROR(VLOOKUP(基本資料填寫!$E$1&amp;"-"&amp;ROW(書籍檔建置!K71),基本資料填寫!$E:$EU,COLUMN(基本資料填寫!O71),0),"")</f>
        <v/>
      </c>
      <c r="D74" s="314" t="str">
        <f>IFERROR(VLOOKUP(基本資料填寫!$E$1&amp;"-"&amp;ROW(書籍檔建置!N71),基本資料填寫!$E:$EU,COLUMN(基本資料填寫!R71),0),"")</f>
        <v/>
      </c>
      <c r="E74" s="314" t="str">
        <f>IFERROR(VLOOKUP(基本資料填寫!$E$1&amp;"-"&amp;ROW(書籍檔建置!AF71),基本資料填寫!$E:$EU,COLUMN(基本資料填寫!AJ71),0),"")</f>
        <v/>
      </c>
      <c r="F74" s="314" t="str">
        <f>IFERROR(VLOOKUP(基本資料填寫!$E$1&amp;"-"&amp;ROW(書籍檔建置!J71),基本資料填寫!$E:$EU,COLUMN(基本資料填寫!N71),0),"")</f>
        <v/>
      </c>
      <c r="G74" s="314" t="str">
        <f>IFERROR(VLOOKUP(基本資料填寫!$E$1&amp;"-"&amp;ROW(書籍檔建置!BO71),基本資料填寫!$E:$EU,COLUMN(基本資料填寫!BS71),0),"")</f>
        <v/>
      </c>
      <c r="H74" s="314" t="str">
        <f>IFERROR(VLOOKUP(基本資料填寫!$E$1&amp;"-"&amp;ROW(書籍檔建置!R71),基本資料填寫!$E:$EU,COLUMN(基本資料填寫!V71),0),"")</f>
        <v/>
      </c>
      <c r="I74" s="315" t="str">
        <f>IFERROR(VLOOKUP(基本資料填寫!$E$1&amp;"-"&amp;ROW(書籍檔建置!BQ71),基本資料填寫!$E:$EU,COLUMN(基本資料填寫!BU71),0),"")</f>
        <v/>
      </c>
      <c r="J74" s="314" t="str">
        <f>IFERROR(VLOOKUP(基本資料填寫!$E$1&amp;"-"&amp;ROW(書籍檔建置!BW71),基本資料填寫!$E:$EU,COLUMN(基本資料填寫!CA71),0),"")</f>
        <v/>
      </c>
      <c r="K74" s="314" t="str">
        <f>IFERROR(VLOOKUP(基本資料填寫!$E$1&amp;"-"&amp;ROW(書籍檔建置!BR71),基本資料填寫!$E:$EU,COLUMN(基本資料填寫!BV71),0),"")</f>
        <v/>
      </c>
      <c r="L74" s="314" t="str">
        <f>IFERROR(VLOOKUP(基本資料填寫!$E$1&amp;"-"&amp;ROW(書籍檔建置!BS71),基本資料填寫!$E:$EU,COLUMN(基本資料填寫!BW71),0),"")</f>
        <v/>
      </c>
      <c r="M74" s="166" t="str">
        <f>IFERROR(VLOOKUP(基本資料填寫!$E$1&amp;"-"&amp;ROW(書籍檔建置!BK71),基本資料填寫!$E:$EU,COLUMN(基本資料填寫!BO71),0),"")</f>
        <v/>
      </c>
      <c r="N74" s="314" t="str">
        <f>IFERROR(VLOOKUP(基本資料填寫!$E$1&amp;"-"&amp;ROW(書籍檔建置!AG71),基本資料填寫!$E:$EU,COLUMN(基本資料填寫!AK71),0),"")</f>
        <v/>
      </c>
      <c r="O74" s="314" t="str">
        <f>IFERROR(VLOOKUP(基本資料填寫!$E$1&amp;"-"&amp;ROW(書籍檔建置!BT71),基本資料填寫!$E:$EU,COLUMN(基本資料填寫!BX71),0),"")</f>
        <v/>
      </c>
      <c r="P74" s="314" t="str">
        <f>IFERROR(VLOOKUP(基本資料填寫!$E$1&amp;"-"&amp;ROW(書籍檔建置!BU71),基本資料填寫!$E:$EU,COLUMN(基本資料填寫!BY71),0),"")</f>
        <v/>
      </c>
      <c r="Q74" s="314" t="str">
        <f>IFERROR(VLOOKUP(基本資料填寫!$E$1&amp;"-"&amp;ROW(書籍檔建置!BV71),基本資料填寫!$E:$EU,COLUMN(基本資料填寫!BZ71),0),"")</f>
        <v/>
      </c>
      <c r="R74" s="314" t="str">
        <f>IFERROR(VLOOKUP(基本資料填寫!$E$1&amp;"-"&amp;ROW(書籍檔建置!BX71),基本資料填寫!$E:$EU,COLUMN(基本資料填寫!CB71),0),"")</f>
        <v/>
      </c>
      <c r="S74" s="314" t="str">
        <f>IFERROR(VLOOKUP(基本資料填寫!$E$1&amp;"-"&amp;ROW(書籍檔建置!BY71),基本資料填寫!$E:$EU,COLUMN(基本資料填寫!CC71),0),"")</f>
        <v/>
      </c>
      <c r="T74" s="314" t="str">
        <f>IFERROR(VLOOKUP(基本資料填寫!$E$1&amp;"-"&amp;ROW(書籍檔建置!BZ71),基本資料填寫!$E:$EU,COLUMN(基本資料填寫!CD71),0),"")</f>
        <v/>
      </c>
      <c r="U74" s="314" t="str">
        <f>IFERROR(VLOOKUP(基本資料填寫!$E$1&amp;"-"&amp;ROW(書籍檔建置!CA71),基本資料填寫!$E:$EU,COLUMN(基本資料填寫!CE71),0),"")</f>
        <v/>
      </c>
      <c r="V74" s="166" t="str">
        <f>IFERROR(VLOOKUP(基本資料填寫!$E$1&amp;"-"&amp;ROW(書籍檔建置!BL71),基本資料填寫!$E:$EU,COLUMN(基本資料填寫!BP71),0),"")</f>
        <v/>
      </c>
      <c r="W74" s="178"/>
      <c r="X74" s="178"/>
      <c r="Y74" s="178"/>
      <c r="Z74" s="178"/>
      <c r="AA74" s="178"/>
      <c r="AB74" s="178"/>
      <c r="AC74" s="314" t="str">
        <f>IFERROR(VLOOKUP(基本資料填寫!$E$1&amp;"-"&amp;ROW(書籍檔建置!S71),基本資料填寫!$E:$EU,COLUMN(基本資料填寫!W71),0),"")</f>
        <v/>
      </c>
      <c r="AD74" s="166" t="str">
        <f>IFERROR(VLOOKUP(基本資料填寫!$E$1&amp;"-"&amp;ROW(書籍檔建置!BM71),基本資料填寫!$E:$EU,COLUMN(基本資料填寫!BQ71),0),"")</f>
        <v/>
      </c>
      <c r="AE74" s="178"/>
      <c r="AF74" s="178"/>
      <c r="AG74" s="178"/>
      <c r="AH74" s="314" t="str">
        <f>IFERROR(VLOOKUP(基本資料填寫!$E$1&amp;"-"&amp;ROW(書籍檔建置!CB71),基本資料填寫!$E:$EU,COLUMN(基本資料填寫!CF71),0),"")</f>
        <v/>
      </c>
      <c r="AI74" s="314" t="str">
        <f>IFERROR(VLOOKUP(基本資料填寫!$E$1&amp;"-"&amp;ROW(書籍檔建置!CC71),基本資料填寫!$E:$EU,COLUMN(基本資料填寫!CG71),0),"")</f>
        <v/>
      </c>
      <c r="AJ74" s="314" t="str">
        <f>IFERROR(VLOOKUP(基本資料填寫!$E$1&amp;"-"&amp;ROW(書籍檔建置!H71),基本資料填寫!$E:$EU,COLUMN(基本資料填寫!K71),0),"")</f>
        <v/>
      </c>
      <c r="AK74" s="314" t="str">
        <f>IFERROR(VLOOKUP(基本資料填寫!$E$1&amp;"-"&amp;ROW(書籍檔建置!CF71),基本資料填寫!$E:$EU,COLUMN(基本資料填寫!CJ71),0),"")</f>
        <v/>
      </c>
      <c r="AL74" s="314" t="str">
        <f>IFERROR(VLOOKUP(基本資料填寫!$E$1&amp;"-"&amp;ROW(書籍檔建置!CG71),基本資料填寫!$E:$EU,COLUMN(基本資料填寫!CK71),0),"")</f>
        <v/>
      </c>
      <c r="AM74" s="314" t="str">
        <f>IFERROR(VLOOKUP(基本資料填寫!$E$1&amp;"-"&amp;ROW(書籍檔建置!BP71),基本資料填寫!$E:$EU,COLUMN(基本資料填寫!BT71),0),"")</f>
        <v/>
      </c>
      <c r="AN74" s="153"/>
    </row>
    <row r="75" spans="2:40" x14ac:dyDescent="0.3">
      <c r="B75" s="47" t="str">
        <f>IF(F75="","",COUNTA($F$4:F75))</f>
        <v/>
      </c>
      <c r="C75" s="314" t="str">
        <f>IFERROR(VLOOKUP(基本資料填寫!$E$1&amp;"-"&amp;ROW(書籍檔建置!K72),基本資料填寫!$E:$EU,COLUMN(基本資料填寫!O72),0),"")</f>
        <v/>
      </c>
      <c r="D75" s="314" t="str">
        <f>IFERROR(VLOOKUP(基本資料填寫!$E$1&amp;"-"&amp;ROW(書籍檔建置!N72),基本資料填寫!$E:$EU,COLUMN(基本資料填寫!R72),0),"")</f>
        <v/>
      </c>
      <c r="E75" s="314" t="str">
        <f>IFERROR(VLOOKUP(基本資料填寫!$E$1&amp;"-"&amp;ROW(書籍檔建置!AF72),基本資料填寫!$E:$EU,COLUMN(基本資料填寫!AJ72),0),"")</f>
        <v/>
      </c>
      <c r="F75" s="314" t="str">
        <f>IFERROR(VLOOKUP(基本資料填寫!$E$1&amp;"-"&amp;ROW(書籍檔建置!J72),基本資料填寫!$E:$EU,COLUMN(基本資料填寫!N72),0),"")</f>
        <v/>
      </c>
      <c r="G75" s="314" t="str">
        <f>IFERROR(VLOOKUP(基本資料填寫!$E$1&amp;"-"&amp;ROW(書籍檔建置!BO72),基本資料填寫!$E:$EU,COLUMN(基本資料填寫!BS72),0),"")</f>
        <v/>
      </c>
      <c r="H75" s="314" t="str">
        <f>IFERROR(VLOOKUP(基本資料填寫!$E$1&amp;"-"&amp;ROW(書籍檔建置!R72),基本資料填寫!$E:$EU,COLUMN(基本資料填寫!V72),0),"")</f>
        <v/>
      </c>
      <c r="I75" s="315" t="str">
        <f>IFERROR(VLOOKUP(基本資料填寫!$E$1&amp;"-"&amp;ROW(書籍檔建置!BQ72),基本資料填寫!$E:$EU,COLUMN(基本資料填寫!BU72),0),"")</f>
        <v/>
      </c>
      <c r="J75" s="314" t="str">
        <f>IFERROR(VLOOKUP(基本資料填寫!$E$1&amp;"-"&amp;ROW(書籍檔建置!BW72),基本資料填寫!$E:$EU,COLUMN(基本資料填寫!CA72),0),"")</f>
        <v/>
      </c>
      <c r="K75" s="314" t="str">
        <f>IFERROR(VLOOKUP(基本資料填寫!$E$1&amp;"-"&amp;ROW(書籍檔建置!BR72),基本資料填寫!$E:$EU,COLUMN(基本資料填寫!BV72),0),"")</f>
        <v/>
      </c>
      <c r="L75" s="314" t="str">
        <f>IFERROR(VLOOKUP(基本資料填寫!$E$1&amp;"-"&amp;ROW(書籍檔建置!BS72),基本資料填寫!$E:$EU,COLUMN(基本資料填寫!BW72),0),"")</f>
        <v/>
      </c>
      <c r="M75" s="166" t="str">
        <f>IFERROR(VLOOKUP(基本資料填寫!$E$1&amp;"-"&amp;ROW(書籍檔建置!BK72),基本資料填寫!$E:$EU,COLUMN(基本資料填寫!BO72),0),"")</f>
        <v/>
      </c>
      <c r="N75" s="314" t="str">
        <f>IFERROR(VLOOKUP(基本資料填寫!$E$1&amp;"-"&amp;ROW(書籍檔建置!AG72),基本資料填寫!$E:$EU,COLUMN(基本資料填寫!AK72),0),"")</f>
        <v/>
      </c>
      <c r="O75" s="314" t="str">
        <f>IFERROR(VLOOKUP(基本資料填寫!$E$1&amp;"-"&amp;ROW(書籍檔建置!BT72),基本資料填寫!$E:$EU,COLUMN(基本資料填寫!BX72),0),"")</f>
        <v/>
      </c>
      <c r="P75" s="314" t="str">
        <f>IFERROR(VLOOKUP(基本資料填寫!$E$1&amp;"-"&amp;ROW(書籍檔建置!BU72),基本資料填寫!$E:$EU,COLUMN(基本資料填寫!BY72),0),"")</f>
        <v/>
      </c>
      <c r="Q75" s="314" t="str">
        <f>IFERROR(VLOOKUP(基本資料填寫!$E$1&amp;"-"&amp;ROW(書籍檔建置!BV72),基本資料填寫!$E:$EU,COLUMN(基本資料填寫!BZ72),0),"")</f>
        <v/>
      </c>
      <c r="R75" s="314" t="str">
        <f>IFERROR(VLOOKUP(基本資料填寫!$E$1&amp;"-"&amp;ROW(書籍檔建置!BX72),基本資料填寫!$E:$EU,COLUMN(基本資料填寫!CB72),0),"")</f>
        <v/>
      </c>
      <c r="S75" s="314" t="str">
        <f>IFERROR(VLOOKUP(基本資料填寫!$E$1&amp;"-"&amp;ROW(書籍檔建置!BY72),基本資料填寫!$E:$EU,COLUMN(基本資料填寫!CC72),0),"")</f>
        <v/>
      </c>
      <c r="T75" s="314" t="str">
        <f>IFERROR(VLOOKUP(基本資料填寫!$E$1&amp;"-"&amp;ROW(書籍檔建置!BZ72),基本資料填寫!$E:$EU,COLUMN(基本資料填寫!CD72),0),"")</f>
        <v/>
      </c>
      <c r="U75" s="314" t="str">
        <f>IFERROR(VLOOKUP(基本資料填寫!$E$1&amp;"-"&amp;ROW(書籍檔建置!CA72),基本資料填寫!$E:$EU,COLUMN(基本資料填寫!CE72),0),"")</f>
        <v/>
      </c>
      <c r="V75" s="166" t="str">
        <f>IFERROR(VLOOKUP(基本資料填寫!$E$1&amp;"-"&amp;ROW(書籍檔建置!BL72),基本資料填寫!$E:$EU,COLUMN(基本資料填寫!BP72),0),"")</f>
        <v/>
      </c>
      <c r="W75" s="178"/>
      <c r="X75" s="178"/>
      <c r="Y75" s="178"/>
      <c r="Z75" s="178"/>
      <c r="AA75" s="178"/>
      <c r="AB75" s="178"/>
      <c r="AC75" s="314" t="str">
        <f>IFERROR(VLOOKUP(基本資料填寫!$E$1&amp;"-"&amp;ROW(書籍檔建置!S72),基本資料填寫!$E:$EU,COLUMN(基本資料填寫!W72),0),"")</f>
        <v/>
      </c>
      <c r="AD75" s="166" t="str">
        <f>IFERROR(VLOOKUP(基本資料填寫!$E$1&amp;"-"&amp;ROW(書籍檔建置!BM72),基本資料填寫!$E:$EU,COLUMN(基本資料填寫!BQ72),0),"")</f>
        <v/>
      </c>
      <c r="AE75" s="178"/>
      <c r="AF75" s="178"/>
      <c r="AG75" s="178"/>
      <c r="AH75" s="314" t="str">
        <f>IFERROR(VLOOKUP(基本資料填寫!$E$1&amp;"-"&amp;ROW(書籍檔建置!CB72),基本資料填寫!$E:$EU,COLUMN(基本資料填寫!CF72),0),"")</f>
        <v/>
      </c>
      <c r="AI75" s="314" t="str">
        <f>IFERROR(VLOOKUP(基本資料填寫!$E$1&amp;"-"&amp;ROW(書籍檔建置!CC72),基本資料填寫!$E:$EU,COLUMN(基本資料填寫!CG72),0),"")</f>
        <v/>
      </c>
      <c r="AJ75" s="314" t="str">
        <f>IFERROR(VLOOKUP(基本資料填寫!$E$1&amp;"-"&amp;ROW(書籍檔建置!H72),基本資料填寫!$E:$EU,COLUMN(基本資料填寫!K72),0),"")</f>
        <v/>
      </c>
      <c r="AK75" s="314" t="str">
        <f>IFERROR(VLOOKUP(基本資料填寫!$E$1&amp;"-"&amp;ROW(書籍檔建置!CF72),基本資料填寫!$E:$EU,COLUMN(基本資料填寫!CJ72),0),"")</f>
        <v/>
      </c>
      <c r="AL75" s="314" t="str">
        <f>IFERROR(VLOOKUP(基本資料填寫!$E$1&amp;"-"&amp;ROW(書籍檔建置!CG72),基本資料填寫!$E:$EU,COLUMN(基本資料填寫!CK72),0),"")</f>
        <v/>
      </c>
      <c r="AM75" s="314" t="str">
        <f>IFERROR(VLOOKUP(基本資料填寫!$E$1&amp;"-"&amp;ROW(書籍檔建置!BP72),基本資料填寫!$E:$EU,COLUMN(基本資料填寫!BT72),0),"")</f>
        <v/>
      </c>
      <c r="AN75" s="153"/>
    </row>
    <row r="76" spans="2:40" x14ac:dyDescent="0.3">
      <c r="B76" s="47" t="str">
        <f>IF(F76="","",COUNTA($F$4:F76))</f>
        <v/>
      </c>
      <c r="C76" s="314" t="str">
        <f>IFERROR(VLOOKUP(基本資料填寫!$E$1&amp;"-"&amp;ROW(書籍檔建置!K73),基本資料填寫!$E:$EU,COLUMN(基本資料填寫!O73),0),"")</f>
        <v/>
      </c>
      <c r="D76" s="314" t="str">
        <f>IFERROR(VLOOKUP(基本資料填寫!$E$1&amp;"-"&amp;ROW(書籍檔建置!N73),基本資料填寫!$E:$EU,COLUMN(基本資料填寫!R73),0),"")</f>
        <v/>
      </c>
      <c r="E76" s="314" t="str">
        <f>IFERROR(VLOOKUP(基本資料填寫!$E$1&amp;"-"&amp;ROW(書籍檔建置!AF73),基本資料填寫!$E:$EU,COLUMN(基本資料填寫!AJ73),0),"")</f>
        <v/>
      </c>
      <c r="F76" s="314" t="str">
        <f>IFERROR(VLOOKUP(基本資料填寫!$E$1&amp;"-"&amp;ROW(書籍檔建置!J73),基本資料填寫!$E:$EU,COLUMN(基本資料填寫!N73),0),"")</f>
        <v/>
      </c>
      <c r="G76" s="314" t="str">
        <f>IFERROR(VLOOKUP(基本資料填寫!$E$1&amp;"-"&amp;ROW(書籍檔建置!BO73),基本資料填寫!$E:$EU,COLUMN(基本資料填寫!BS73),0),"")</f>
        <v/>
      </c>
      <c r="H76" s="314" t="str">
        <f>IFERROR(VLOOKUP(基本資料填寫!$E$1&amp;"-"&amp;ROW(書籍檔建置!R73),基本資料填寫!$E:$EU,COLUMN(基本資料填寫!V73),0),"")</f>
        <v/>
      </c>
      <c r="I76" s="315" t="str">
        <f>IFERROR(VLOOKUP(基本資料填寫!$E$1&amp;"-"&amp;ROW(書籍檔建置!BQ73),基本資料填寫!$E:$EU,COLUMN(基本資料填寫!BU73),0),"")</f>
        <v/>
      </c>
      <c r="J76" s="314" t="str">
        <f>IFERROR(VLOOKUP(基本資料填寫!$E$1&amp;"-"&amp;ROW(書籍檔建置!BW73),基本資料填寫!$E:$EU,COLUMN(基本資料填寫!CA73),0),"")</f>
        <v/>
      </c>
      <c r="K76" s="314" t="str">
        <f>IFERROR(VLOOKUP(基本資料填寫!$E$1&amp;"-"&amp;ROW(書籍檔建置!BR73),基本資料填寫!$E:$EU,COLUMN(基本資料填寫!BV73),0),"")</f>
        <v/>
      </c>
      <c r="L76" s="314" t="str">
        <f>IFERROR(VLOOKUP(基本資料填寫!$E$1&amp;"-"&amp;ROW(書籍檔建置!BS73),基本資料填寫!$E:$EU,COLUMN(基本資料填寫!BW73),0),"")</f>
        <v/>
      </c>
      <c r="M76" s="166" t="str">
        <f>IFERROR(VLOOKUP(基本資料填寫!$E$1&amp;"-"&amp;ROW(書籍檔建置!BK73),基本資料填寫!$E:$EU,COLUMN(基本資料填寫!BO73),0),"")</f>
        <v/>
      </c>
      <c r="N76" s="314" t="str">
        <f>IFERROR(VLOOKUP(基本資料填寫!$E$1&amp;"-"&amp;ROW(書籍檔建置!AG73),基本資料填寫!$E:$EU,COLUMN(基本資料填寫!AK73),0),"")</f>
        <v/>
      </c>
      <c r="O76" s="314" t="str">
        <f>IFERROR(VLOOKUP(基本資料填寫!$E$1&amp;"-"&amp;ROW(書籍檔建置!BT73),基本資料填寫!$E:$EU,COLUMN(基本資料填寫!BX73),0),"")</f>
        <v/>
      </c>
      <c r="P76" s="314" t="str">
        <f>IFERROR(VLOOKUP(基本資料填寫!$E$1&amp;"-"&amp;ROW(書籍檔建置!BU73),基本資料填寫!$E:$EU,COLUMN(基本資料填寫!BY73),0),"")</f>
        <v/>
      </c>
      <c r="Q76" s="314" t="str">
        <f>IFERROR(VLOOKUP(基本資料填寫!$E$1&amp;"-"&amp;ROW(書籍檔建置!BV73),基本資料填寫!$E:$EU,COLUMN(基本資料填寫!BZ73),0),"")</f>
        <v/>
      </c>
      <c r="R76" s="314" t="str">
        <f>IFERROR(VLOOKUP(基本資料填寫!$E$1&amp;"-"&amp;ROW(書籍檔建置!BX73),基本資料填寫!$E:$EU,COLUMN(基本資料填寫!CB73),0),"")</f>
        <v/>
      </c>
      <c r="S76" s="314" t="str">
        <f>IFERROR(VLOOKUP(基本資料填寫!$E$1&amp;"-"&amp;ROW(書籍檔建置!BY73),基本資料填寫!$E:$EU,COLUMN(基本資料填寫!CC73),0),"")</f>
        <v/>
      </c>
      <c r="T76" s="314" t="str">
        <f>IFERROR(VLOOKUP(基本資料填寫!$E$1&amp;"-"&amp;ROW(書籍檔建置!BZ73),基本資料填寫!$E:$EU,COLUMN(基本資料填寫!CD73),0),"")</f>
        <v/>
      </c>
      <c r="U76" s="314" t="str">
        <f>IFERROR(VLOOKUP(基本資料填寫!$E$1&amp;"-"&amp;ROW(書籍檔建置!CA73),基本資料填寫!$E:$EU,COLUMN(基本資料填寫!CE73),0),"")</f>
        <v/>
      </c>
      <c r="V76" s="166" t="str">
        <f>IFERROR(VLOOKUP(基本資料填寫!$E$1&amp;"-"&amp;ROW(書籍檔建置!BL73),基本資料填寫!$E:$EU,COLUMN(基本資料填寫!BP73),0),"")</f>
        <v/>
      </c>
      <c r="W76" s="178"/>
      <c r="X76" s="178"/>
      <c r="Y76" s="178"/>
      <c r="Z76" s="178"/>
      <c r="AA76" s="178"/>
      <c r="AB76" s="178"/>
      <c r="AC76" s="314" t="str">
        <f>IFERROR(VLOOKUP(基本資料填寫!$E$1&amp;"-"&amp;ROW(書籍檔建置!S73),基本資料填寫!$E:$EU,COLUMN(基本資料填寫!W73),0),"")</f>
        <v/>
      </c>
      <c r="AD76" s="166" t="str">
        <f>IFERROR(VLOOKUP(基本資料填寫!$E$1&amp;"-"&amp;ROW(書籍檔建置!BM73),基本資料填寫!$E:$EU,COLUMN(基本資料填寫!BQ73),0),"")</f>
        <v/>
      </c>
      <c r="AE76" s="178"/>
      <c r="AF76" s="178"/>
      <c r="AG76" s="178"/>
      <c r="AH76" s="314" t="str">
        <f>IFERROR(VLOOKUP(基本資料填寫!$E$1&amp;"-"&amp;ROW(書籍檔建置!CB73),基本資料填寫!$E:$EU,COLUMN(基本資料填寫!CF73),0),"")</f>
        <v/>
      </c>
      <c r="AI76" s="314" t="str">
        <f>IFERROR(VLOOKUP(基本資料填寫!$E$1&amp;"-"&amp;ROW(書籍檔建置!CC73),基本資料填寫!$E:$EU,COLUMN(基本資料填寫!CG73),0),"")</f>
        <v/>
      </c>
      <c r="AJ76" s="314" t="str">
        <f>IFERROR(VLOOKUP(基本資料填寫!$E$1&amp;"-"&amp;ROW(書籍檔建置!H73),基本資料填寫!$E:$EU,COLUMN(基本資料填寫!K73),0),"")</f>
        <v/>
      </c>
      <c r="AK76" s="314" t="str">
        <f>IFERROR(VLOOKUP(基本資料填寫!$E$1&amp;"-"&amp;ROW(書籍檔建置!CF73),基本資料填寫!$E:$EU,COLUMN(基本資料填寫!CJ73),0),"")</f>
        <v/>
      </c>
      <c r="AL76" s="314" t="str">
        <f>IFERROR(VLOOKUP(基本資料填寫!$E$1&amp;"-"&amp;ROW(書籍檔建置!CG73),基本資料填寫!$E:$EU,COLUMN(基本資料填寫!CK73),0),"")</f>
        <v/>
      </c>
      <c r="AM76" s="314" t="str">
        <f>IFERROR(VLOOKUP(基本資料填寫!$E$1&amp;"-"&amp;ROW(書籍檔建置!BP73),基本資料填寫!$E:$EU,COLUMN(基本資料填寫!BT73),0),"")</f>
        <v/>
      </c>
      <c r="AN76" s="153"/>
    </row>
    <row r="77" spans="2:40" x14ac:dyDescent="0.3">
      <c r="B77" s="47" t="str">
        <f>IF(F77="","",COUNTA($F$4:F77))</f>
        <v/>
      </c>
      <c r="C77" s="314" t="str">
        <f>IFERROR(VLOOKUP(基本資料填寫!$E$1&amp;"-"&amp;ROW(書籍檔建置!K74),基本資料填寫!$E:$EU,COLUMN(基本資料填寫!O74),0),"")</f>
        <v/>
      </c>
      <c r="D77" s="314" t="str">
        <f>IFERROR(VLOOKUP(基本資料填寫!$E$1&amp;"-"&amp;ROW(書籍檔建置!N74),基本資料填寫!$E:$EU,COLUMN(基本資料填寫!R74),0),"")</f>
        <v/>
      </c>
      <c r="E77" s="314" t="str">
        <f>IFERROR(VLOOKUP(基本資料填寫!$E$1&amp;"-"&amp;ROW(書籍檔建置!AF74),基本資料填寫!$E:$EU,COLUMN(基本資料填寫!AJ74),0),"")</f>
        <v/>
      </c>
      <c r="F77" s="314" t="str">
        <f>IFERROR(VLOOKUP(基本資料填寫!$E$1&amp;"-"&amp;ROW(書籍檔建置!J74),基本資料填寫!$E:$EU,COLUMN(基本資料填寫!N74),0),"")</f>
        <v/>
      </c>
      <c r="G77" s="314" t="str">
        <f>IFERROR(VLOOKUP(基本資料填寫!$E$1&amp;"-"&amp;ROW(書籍檔建置!BO74),基本資料填寫!$E:$EU,COLUMN(基本資料填寫!BS74),0),"")</f>
        <v/>
      </c>
      <c r="H77" s="314" t="str">
        <f>IFERROR(VLOOKUP(基本資料填寫!$E$1&amp;"-"&amp;ROW(書籍檔建置!R74),基本資料填寫!$E:$EU,COLUMN(基本資料填寫!V74),0),"")</f>
        <v/>
      </c>
      <c r="I77" s="315" t="str">
        <f>IFERROR(VLOOKUP(基本資料填寫!$E$1&amp;"-"&amp;ROW(書籍檔建置!BQ74),基本資料填寫!$E:$EU,COLUMN(基本資料填寫!BU74),0),"")</f>
        <v/>
      </c>
      <c r="J77" s="314" t="str">
        <f>IFERROR(VLOOKUP(基本資料填寫!$E$1&amp;"-"&amp;ROW(書籍檔建置!BW74),基本資料填寫!$E:$EU,COLUMN(基本資料填寫!CA74),0),"")</f>
        <v/>
      </c>
      <c r="K77" s="314" t="str">
        <f>IFERROR(VLOOKUP(基本資料填寫!$E$1&amp;"-"&amp;ROW(書籍檔建置!BR74),基本資料填寫!$E:$EU,COLUMN(基本資料填寫!BV74),0),"")</f>
        <v/>
      </c>
      <c r="L77" s="314" t="str">
        <f>IFERROR(VLOOKUP(基本資料填寫!$E$1&amp;"-"&amp;ROW(書籍檔建置!BS74),基本資料填寫!$E:$EU,COLUMN(基本資料填寫!BW74),0),"")</f>
        <v/>
      </c>
      <c r="M77" s="166" t="str">
        <f>IFERROR(VLOOKUP(基本資料填寫!$E$1&amp;"-"&amp;ROW(書籍檔建置!BK74),基本資料填寫!$E:$EU,COLUMN(基本資料填寫!BO74),0),"")</f>
        <v/>
      </c>
      <c r="N77" s="314" t="str">
        <f>IFERROR(VLOOKUP(基本資料填寫!$E$1&amp;"-"&amp;ROW(書籍檔建置!AG74),基本資料填寫!$E:$EU,COLUMN(基本資料填寫!AK74),0),"")</f>
        <v/>
      </c>
      <c r="O77" s="314" t="str">
        <f>IFERROR(VLOOKUP(基本資料填寫!$E$1&amp;"-"&amp;ROW(書籍檔建置!BT74),基本資料填寫!$E:$EU,COLUMN(基本資料填寫!BX74),0),"")</f>
        <v/>
      </c>
      <c r="P77" s="314" t="str">
        <f>IFERROR(VLOOKUP(基本資料填寫!$E$1&amp;"-"&amp;ROW(書籍檔建置!BU74),基本資料填寫!$E:$EU,COLUMN(基本資料填寫!BY74),0),"")</f>
        <v/>
      </c>
      <c r="Q77" s="314" t="str">
        <f>IFERROR(VLOOKUP(基本資料填寫!$E$1&amp;"-"&amp;ROW(書籍檔建置!BV74),基本資料填寫!$E:$EU,COLUMN(基本資料填寫!BZ74),0),"")</f>
        <v/>
      </c>
      <c r="R77" s="314" t="str">
        <f>IFERROR(VLOOKUP(基本資料填寫!$E$1&amp;"-"&amp;ROW(書籍檔建置!BX74),基本資料填寫!$E:$EU,COLUMN(基本資料填寫!CB74),0),"")</f>
        <v/>
      </c>
      <c r="S77" s="314" t="str">
        <f>IFERROR(VLOOKUP(基本資料填寫!$E$1&amp;"-"&amp;ROW(書籍檔建置!BY74),基本資料填寫!$E:$EU,COLUMN(基本資料填寫!CC74),0),"")</f>
        <v/>
      </c>
      <c r="T77" s="314" t="str">
        <f>IFERROR(VLOOKUP(基本資料填寫!$E$1&amp;"-"&amp;ROW(書籍檔建置!BZ74),基本資料填寫!$E:$EU,COLUMN(基本資料填寫!CD74),0),"")</f>
        <v/>
      </c>
      <c r="U77" s="314" t="str">
        <f>IFERROR(VLOOKUP(基本資料填寫!$E$1&amp;"-"&amp;ROW(書籍檔建置!CA74),基本資料填寫!$E:$EU,COLUMN(基本資料填寫!CE74),0),"")</f>
        <v/>
      </c>
      <c r="V77" s="166" t="str">
        <f>IFERROR(VLOOKUP(基本資料填寫!$E$1&amp;"-"&amp;ROW(書籍檔建置!BL74),基本資料填寫!$E:$EU,COLUMN(基本資料填寫!BP74),0),"")</f>
        <v/>
      </c>
      <c r="W77" s="178"/>
      <c r="X77" s="178"/>
      <c r="Y77" s="178"/>
      <c r="Z77" s="178"/>
      <c r="AA77" s="178"/>
      <c r="AB77" s="178"/>
      <c r="AC77" s="314" t="str">
        <f>IFERROR(VLOOKUP(基本資料填寫!$E$1&amp;"-"&amp;ROW(書籍檔建置!S74),基本資料填寫!$E:$EU,COLUMN(基本資料填寫!W74),0),"")</f>
        <v/>
      </c>
      <c r="AD77" s="166" t="str">
        <f>IFERROR(VLOOKUP(基本資料填寫!$E$1&amp;"-"&amp;ROW(書籍檔建置!BM74),基本資料填寫!$E:$EU,COLUMN(基本資料填寫!BQ74),0),"")</f>
        <v/>
      </c>
      <c r="AE77" s="178"/>
      <c r="AF77" s="178"/>
      <c r="AG77" s="178"/>
      <c r="AH77" s="314" t="str">
        <f>IFERROR(VLOOKUP(基本資料填寫!$E$1&amp;"-"&amp;ROW(書籍檔建置!CB74),基本資料填寫!$E:$EU,COLUMN(基本資料填寫!CF74),0),"")</f>
        <v/>
      </c>
      <c r="AI77" s="314" t="str">
        <f>IFERROR(VLOOKUP(基本資料填寫!$E$1&amp;"-"&amp;ROW(書籍檔建置!CC74),基本資料填寫!$E:$EU,COLUMN(基本資料填寫!CG74),0),"")</f>
        <v/>
      </c>
      <c r="AJ77" s="314" t="str">
        <f>IFERROR(VLOOKUP(基本資料填寫!$E$1&amp;"-"&amp;ROW(書籍檔建置!H74),基本資料填寫!$E:$EU,COLUMN(基本資料填寫!K74),0),"")</f>
        <v/>
      </c>
      <c r="AK77" s="314" t="str">
        <f>IFERROR(VLOOKUP(基本資料填寫!$E$1&amp;"-"&amp;ROW(書籍檔建置!CF74),基本資料填寫!$E:$EU,COLUMN(基本資料填寫!CJ74),0),"")</f>
        <v/>
      </c>
      <c r="AL77" s="314" t="str">
        <f>IFERROR(VLOOKUP(基本資料填寫!$E$1&amp;"-"&amp;ROW(書籍檔建置!CG74),基本資料填寫!$E:$EU,COLUMN(基本資料填寫!CK74),0),"")</f>
        <v/>
      </c>
      <c r="AM77" s="314" t="str">
        <f>IFERROR(VLOOKUP(基本資料填寫!$E$1&amp;"-"&amp;ROW(書籍檔建置!BP74),基本資料填寫!$E:$EU,COLUMN(基本資料填寫!BT74),0),"")</f>
        <v/>
      </c>
      <c r="AN77" s="153"/>
    </row>
    <row r="78" spans="2:40" x14ac:dyDescent="0.3">
      <c r="B78" s="47" t="str">
        <f>IF(F78="","",COUNTA($F$4:F78))</f>
        <v/>
      </c>
      <c r="C78" s="314" t="str">
        <f>IFERROR(VLOOKUP(基本資料填寫!$E$1&amp;"-"&amp;ROW(書籍檔建置!K75),基本資料填寫!$E:$EU,COLUMN(基本資料填寫!O75),0),"")</f>
        <v/>
      </c>
      <c r="D78" s="314" t="str">
        <f>IFERROR(VLOOKUP(基本資料填寫!$E$1&amp;"-"&amp;ROW(書籍檔建置!N75),基本資料填寫!$E:$EU,COLUMN(基本資料填寫!R75),0),"")</f>
        <v/>
      </c>
      <c r="E78" s="314" t="str">
        <f>IFERROR(VLOOKUP(基本資料填寫!$E$1&amp;"-"&amp;ROW(書籍檔建置!AF75),基本資料填寫!$E:$EU,COLUMN(基本資料填寫!AJ75),0),"")</f>
        <v/>
      </c>
      <c r="F78" s="314" t="str">
        <f>IFERROR(VLOOKUP(基本資料填寫!$E$1&amp;"-"&amp;ROW(書籍檔建置!J75),基本資料填寫!$E:$EU,COLUMN(基本資料填寫!N75),0),"")</f>
        <v/>
      </c>
      <c r="G78" s="314" t="str">
        <f>IFERROR(VLOOKUP(基本資料填寫!$E$1&amp;"-"&amp;ROW(書籍檔建置!BO75),基本資料填寫!$E:$EU,COLUMN(基本資料填寫!BS75),0),"")</f>
        <v/>
      </c>
      <c r="H78" s="314" t="str">
        <f>IFERROR(VLOOKUP(基本資料填寫!$E$1&amp;"-"&amp;ROW(書籍檔建置!R75),基本資料填寫!$E:$EU,COLUMN(基本資料填寫!V75),0),"")</f>
        <v/>
      </c>
      <c r="I78" s="315" t="str">
        <f>IFERROR(VLOOKUP(基本資料填寫!$E$1&amp;"-"&amp;ROW(書籍檔建置!BQ75),基本資料填寫!$E:$EU,COLUMN(基本資料填寫!BU75),0),"")</f>
        <v/>
      </c>
      <c r="J78" s="314" t="str">
        <f>IFERROR(VLOOKUP(基本資料填寫!$E$1&amp;"-"&amp;ROW(書籍檔建置!BW75),基本資料填寫!$E:$EU,COLUMN(基本資料填寫!CA75),0),"")</f>
        <v/>
      </c>
      <c r="K78" s="314" t="str">
        <f>IFERROR(VLOOKUP(基本資料填寫!$E$1&amp;"-"&amp;ROW(書籍檔建置!BR75),基本資料填寫!$E:$EU,COLUMN(基本資料填寫!BV75),0),"")</f>
        <v/>
      </c>
      <c r="L78" s="314" t="str">
        <f>IFERROR(VLOOKUP(基本資料填寫!$E$1&amp;"-"&amp;ROW(書籍檔建置!BS75),基本資料填寫!$E:$EU,COLUMN(基本資料填寫!BW75),0),"")</f>
        <v/>
      </c>
      <c r="M78" s="166" t="str">
        <f>IFERROR(VLOOKUP(基本資料填寫!$E$1&amp;"-"&amp;ROW(書籍檔建置!BK75),基本資料填寫!$E:$EU,COLUMN(基本資料填寫!BO75),0),"")</f>
        <v/>
      </c>
      <c r="N78" s="314" t="str">
        <f>IFERROR(VLOOKUP(基本資料填寫!$E$1&amp;"-"&amp;ROW(書籍檔建置!AG75),基本資料填寫!$E:$EU,COLUMN(基本資料填寫!AK75),0),"")</f>
        <v/>
      </c>
      <c r="O78" s="314" t="str">
        <f>IFERROR(VLOOKUP(基本資料填寫!$E$1&amp;"-"&amp;ROW(書籍檔建置!BT75),基本資料填寫!$E:$EU,COLUMN(基本資料填寫!BX75),0),"")</f>
        <v/>
      </c>
      <c r="P78" s="314" t="str">
        <f>IFERROR(VLOOKUP(基本資料填寫!$E$1&amp;"-"&amp;ROW(書籍檔建置!BU75),基本資料填寫!$E:$EU,COLUMN(基本資料填寫!BY75),0),"")</f>
        <v/>
      </c>
      <c r="Q78" s="314" t="str">
        <f>IFERROR(VLOOKUP(基本資料填寫!$E$1&amp;"-"&amp;ROW(書籍檔建置!BV75),基本資料填寫!$E:$EU,COLUMN(基本資料填寫!BZ75),0),"")</f>
        <v/>
      </c>
      <c r="R78" s="314" t="str">
        <f>IFERROR(VLOOKUP(基本資料填寫!$E$1&amp;"-"&amp;ROW(書籍檔建置!BX75),基本資料填寫!$E:$EU,COLUMN(基本資料填寫!CB75),0),"")</f>
        <v/>
      </c>
      <c r="S78" s="314" t="str">
        <f>IFERROR(VLOOKUP(基本資料填寫!$E$1&amp;"-"&amp;ROW(書籍檔建置!BY75),基本資料填寫!$E:$EU,COLUMN(基本資料填寫!CC75),0),"")</f>
        <v/>
      </c>
      <c r="T78" s="314" t="str">
        <f>IFERROR(VLOOKUP(基本資料填寫!$E$1&amp;"-"&amp;ROW(書籍檔建置!BZ75),基本資料填寫!$E:$EU,COLUMN(基本資料填寫!CD75),0),"")</f>
        <v/>
      </c>
      <c r="U78" s="314" t="str">
        <f>IFERROR(VLOOKUP(基本資料填寫!$E$1&amp;"-"&amp;ROW(書籍檔建置!CA75),基本資料填寫!$E:$EU,COLUMN(基本資料填寫!CE75),0),"")</f>
        <v/>
      </c>
      <c r="V78" s="166" t="str">
        <f>IFERROR(VLOOKUP(基本資料填寫!$E$1&amp;"-"&amp;ROW(書籍檔建置!BL75),基本資料填寫!$E:$EU,COLUMN(基本資料填寫!BP75),0),"")</f>
        <v/>
      </c>
      <c r="W78" s="178"/>
      <c r="X78" s="178"/>
      <c r="Y78" s="178"/>
      <c r="Z78" s="178"/>
      <c r="AA78" s="178"/>
      <c r="AB78" s="178"/>
      <c r="AC78" s="314" t="str">
        <f>IFERROR(VLOOKUP(基本資料填寫!$E$1&amp;"-"&amp;ROW(書籍檔建置!S75),基本資料填寫!$E:$EU,COLUMN(基本資料填寫!W75),0),"")</f>
        <v/>
      </c>
      <c r="AD78" s="166" t="str">
        <f>IFERROR(VLOOKUP(基本資料填寫!$E$1&amp;"-"&amp;ROW(書籍檔建置!BM75),基本資料填寫!$E:$EU,COLUMN(基本資料填寫!BQ75),0),"")</f>
        <v/>
      </c>
      <c r="AE78" s="178"/>
      <c r="AF78" s="178"/>
      <c r="AG78" s="178"/>
      <c r="AH78" s="314" t="str">
        <f>IFERROR(VLOOKUP(基本資料填寫!$E$1&amp;"-"&amp;ROW(書籍檔建置!CB75),基本資料填寫!$E:$EU,COLUMN(基本資料填寫!CF75),0),"")</f>
        <v/>
      </c>
      <c r="AI78" s="314" t="str">
        <f>IFERROR(VLOOKUP(基本資料填寫!$E$1&amp;"-"&amp;ROW(書籍檔建置!CC75),基本資料填寫!$E:$EU,COLUMN(基本資料填寫!CG75),0),"")</f>
        <v/>
      </c>
      <c r="AJ78" s="314" t="str">
        <f>IFERROR(VLOOKUP(基本資料填寫!$E$1&amp;"-"&amp;ROW(書籍檔建置!H75),基本資料填寫!$E:$EU,COLUMN(基本資料填寫!K75),0),"")</f>
        <v/>
      </c>
      <c r="AK78" s="314" t="str">
        <f>IFERROR(VLOOKUP(基本資料填寫!$E$1&amp;"-"&amp;ROW(書籍檔建置!CF75),基本資料填寫!$E:$EU,COLUMN(基本資料填寫!CJ75),0),"")</f>
        <v/>
      </c>
      <c r="AL78" s="314" t="str">
        <f>IFERROR(VLOOKUP(基本資料填寫!$E$1&amp;"-"&amp;ROW(書籍檔建置!CG75),基本資料填寫!$E:$EU,COLUMN(基本資料填寫!CK75),0),"")</f>
        <v/>
      </c>
      <c r="AM78" s="314" t="str">
        <f>IFERROR(VLOOKUP(基本資料填寫!$E$1&amp;"-"&amp;ROW(書籍檔建置!BP75),基本資料填寫!$E:$EU,COLUMN(基本資料填寫!BT75),0),"")</f>
        <v/>
      </c>
      <c r="AN78" s="153"/>
    </row>
    <row r="79" spans="2:40" x14ac:dyDescent="0.3">
      <c r="B79" s="47" t="str">
        <f>IF(F79="","",COUNTA($F$4:F79))</f>
        <v/>
      </c>
      <c r="C79" s="314" t="str">
        <f>IFERROR(VLOOKUP(基本資料填寫!$E$1&amp;"-"&amp;ROW(書籍檔建置!K76),基本資料填寫!$E:$EU,COLUMN(基本資料填寫!O76),0),"")</f>
        <v/>
      </c>
      <c r="D79" s="314" t="str">
        <f>IFERROR(VLOOKUP(基本資料填寫!$E$1&amp;"-"&amp;ROW(書籍檔建置!N76),基本資料填寫!$E:$EU,COLUMN(基本資料填寫!R76),0),"")</f>
        <v/>
      </c>
      <c r="E79" s="314" t="str">
        <f>IFERROR(VLOOKUP(基本資料填寫!$E$1&amp;"-"&amp;ROW(書籍檔建置!AF76),基本資料填寫!$E:$EU,COLUMN(基本資料填寫!AJ76),0),"")</f>
        <v/>
      </c>
      <c r="F79" s="314" t="str">
        <f>IFERROR(VLOOKUP(基本資料填寫!$E$1&amp;"-"&amp;ROW(書籍檔建置!J76),基本資料填寫!$E:$EU,COLUMN(基本資料填寫!N76),0),"")</f>
        <v/>
      </c>
      <c r="G79" s="314" t="str">
        <f>IFERROR(VLOOKUP(基本資料填寫!$E$1&amp;"-"&amp;ROW(書籍檔建置!BO76),基本資料填寫!$E:$EU,COLUMN(基本資料填寫!BS76),0),"")</f>
        <v/>
      </c>
      <c r="H79" s="314" t="str">
        <f>IFERROR(VLOOKUP(基本資料填寫!$E$1&amp;"-"&amp;ROW(書籍檔建置!R76),基本資料填寫!$E:$EU,COLUMN(基本資料填寫!V76),0),"")</f>
        <v/>
      </c>
      <c r="I79" s="315" t="str">
        <f>IFERROR(VLOOKUP(基本資料填寫!$E$1&amp;"-"&amp;ROW(書籍檔建置!BQ76),基本資料填寫!$E:$EU,COLUMN(基本資料填寫!BU76),0),"")</f>
        <v/>
      </c>
      <c r="J79" s="314" t="str">
        <f>IFERROR(VLOOKUP(基本資料填寫!$E$1&amp;"-"&amp;ROW(書籍檔建置!BW76),基本資料填寫!$E:$EU,COLUMN(基本資料填寫!CA76),0),"")</f>
        <v/>
      </c>
      <c r="K79" s="314" t="str">
        <f>IFERROR(VLOOKUP(基本資料填寫!$E$1&amp;"-"&amp;ROW(書籍檔建置!BR76),基本資料填寫!$E:$EU,COLUMN(基本資料填寫!BV76),0),"")</f>
        <v/>
      </c>
      <c r="L79" s="314" t="str">
        <f>IFERROR(VLOOKUP(基本資料填寫!$E$1&amp;"-"&amp;ROW(書籍檔建置!BS76),基本資料填寫!$E:$EU,COLUMN(基本資料填寫!BW76),0),"")</f>
        <v/>
      </c>
      <c r="M79" s="166" t="str">
        <f>IFERROR(VLOOKUP(基本資料填寫!$E$1&amp;"-"&amp;ROW(書籍檔建置!BK76),基本資料填寫!$E:$EU,COLUMN(基本資料填寫!BO76),0),"")</f>
        <v/>
      </c>
      <c r="N79" s="314" t="str">
        <f>IFERROR(VLOOKUP(基本資料填寫!$E$1&amp;"-"&amp;ROW(書籍檔建置!AG76),基本資料填寫!$E:$EU,COLUMN(基本資料填寫!AK76),0),"")</f>
        <v/>
      </c>
      <c r="O79" s="314" t="str">
        <f>IFERROR(VLOOKUP(基本資料填寫!$E$1&amp;"-"&amp;ROW(書籍檔建置!BT76),基本資料填寫!$E:$EU,COLUMN(基本資料填寫!BX76),0),"")</f>
        <v/>
      </c>
      <c r="P79" s="314" t="str">
        <f>IFERROR(VLOOKUP(基本資料填寫!$E$1&amp;"-"&amp;ROW(書籍檔建置!BU76),基本資料填寫!$E:$EU,COLUMN(基本資料填寫!BY76),0),"")</f>
        <v/>
      </c>
      <c r="Q79" s="314" t="str">
        <f>IFERROR(VLOOKUP(基本資料填寫!$E$1&amp;"-"&amp;ROW(書籍檔建置!BV76),基本資料填寫!$E:$EU,COLUMN(基本資料填寫!BZ76),0),"")</f>
        <v/>
      </c>
      <c r="R79" s="314" t="str">
        <f>IFERROR(VLOOKUP(基本資料填寫!$E$1&amp;"-"&amp;ROW(書籍檔建置!BX76),基本資料填寫!$E:$EU,COLUMN(基本資料填寫!CB76),0),"")</f>
        <v/>
      </c>
      <c r="S79" s="314" t="str">
        <f>IFERROR(VLOOKUP(基本資料填寫!$E$1&amp;"-"&amp;ROW(書籍檔建置!BY76),基本資料填寫!$E:$EU,COLUMN(基本資料填寫!CC76),0),"")</f>
        <v/>
      </c>
      <c r="T79" s="314" t="str">
        <f>IFERROR(VLOOKUP(基本資料填寫!$E$1&amp;"-"&amp;ROW(書籍檔建置!BZ76),基本資料填寫!$E:$EU,COLUMN(基本資料填寫!CD76),0),"")</f>
        <v/>
      </c>
      <c r="U79" s="314" t="str">
        <f>IFERROR(VLOOKUP(基本資料填寫!$E$1&amp;"-"&amp;ROW(書籍檔建置!CA76),基本資料填寫!$E:$EU,COLUMN(基本資料填寫!CE76),0),"")</f>
        <v/>
      </c>
      <c r="V79" s="166" t="str">
        <f>IFERROR(VLOOKUP(基本資料填寫!$E$1&amp;"-"&amp;ROW(書籍檔建置!BL76),基本資料填寫!$E:$EU,COLUMN(基本資料填寫!BP76),0),"")</f>
        <v/>
      </c>
      <c r="W79" s="178"/>
      <c r="X79" s="178"/>
      <c r="Y79" s="178"/>
      <c r="Z79" s="178"/>
      <c r="AA79" s="178"/>
      <c r="AB79" s="178"/>
      <c r="AC79" s="314" t="str">
        <f>IFERROR(VLOOKUP(基本資料填寫!$E$1&amp;"-"&amp;ROW(書籍檔建置!S76),基本資料填寫!$E:$EU,COLUMN(基本資料填寫!W76),0),"")</f>
        <v/>
      </c>
      <c r="AD79" s="166" t="str">
        <f>IFERROR(VLOOKUP(基本資料填寫!$E$1&amp;"-"&amp;ROW(書籍檔建置!BM76),基本資料填寫!$E:$EU,COLUMN(基本資料填寫!BQ76),0),"")</f>
        <v/>
      </c>
      <c r="AE79" s="178"/>
      <c r="AF79" s="178"/>
      <c r="AG79" s="178"/>
      <c r="AH79" s="314" t="str">
        <f>IFERROR(VLOOKUP(基本資料填寫!$E$1&amp;"-"&amp;ROW(書籍檔建置!CB76),基本資料填寫!$E:$EU,COLUMN(基本資料填寫!CF76),0),"")</f>
        <v/>
      </c>
      <c r="AI79" s="314" t="str">
        <f>IFERROR(VLOOKUP(基本資料填寫!$E$1&amp;"-"&amp;ROW(書籍檔建置!CC76),基本資料填寫!$E:$EU,COLUMN(基本資料填寫!CG76),0),"")</f>
        <v/>
      </c>
      <c r="AJ79" s="314" t="str">
        <f>IFERROR(VLOOKUP(基本資料填寫!$E$1&amp;"-"&amp;ROW(書籍檔建置!H76),基本資料填寫!$E:$EU,COLUMN(基本資料填寫!K76),0),"")</f>
        <v/>
      </c>
      <c r="AK79" s="314" t="str">
        <f>IFERROR(VLOOKUP(基本資料填寫!$E$1&amp;"-"&amp;ROW(書籍檔建置!CF76),基本資料填寫!$E:$EU,COLUMN(基本資料填寫!CJ76),0),"")</f>
        <v/>
      </c>
      <c r="AL79" s="314" t="str">
        <f>IFERROR(VLOOKUP(基本資料填寫!$E$1&amp;"-"&amp;ROW(書籍檔建置!CG76),基本資料填寫!$E:$EU,COLUMN(基本資料填寫!CK76),0),"")</f>
        <v/>
      </c>
      <c r="AM79" s="314" t="str">
        <f>IFERROR(VLOOKUP(基本資料填寫!$E$1&amp;"-"&amp;ROW(書籍檔建置!BP76),基本資料填寫!$E:$EU,COLUMN(基本資料填寫!BT76),0),"")</f>
        <v/>
      </c>
      <c r="AN79" s="153"/>
    </row>
    <row r="80" spans="2:40" x14ac:dyDescent="0.3">
      <c r="B80" s="47" t="str">
        <f>IF(F80="","",COUNTA($F$4:F80))</f>
        <v/>
      </c>
      <c r="C80" s="314" t="str">
        <f>IFERROR(VLOOKUP(基本資料填寫!$E$1&amp;"-"&amp;ROW(書籍檔建置!K77),基本資料填寫!$E:$EU,COLUMN(基本資料填寫!O77),0),"")</f>
        <v/>
      </c>
      <c r="D80" s="314" t="str">
        <f>IFERROR(VLOOKUP(基本資料填寫!$E$1&amp;"-"&amp;ROW(書籍檔建置!N77),基本資料填寫!$E:$EU,COLUMN(基本資料填寫!R77),0),"")</f>
        <v/>
      </c>
      <c r="E80" s="314" t="str">
        <f>IFERROR(VLOOKUP(基本資料填寫!$E$1&amp;"-"&amp;ROW(書籍檔建置!AF77),基本資料填寫!$E:$EU,COLUMN(基本資料填寫!AJ77),0),"")</f>
        <v/>
      </c>
      <c r="F80" s="314" t="str">
        <f>IFERROR(VLOOKUP(基本資料填寫!$E$1&amp;"-"&amp;ROW(書籍檔建置!J77),基本資料填寫!$E:$EU,COLUMN(基本資料填寫!N77),0),"")</f>
        <v/>
      </c>
      <c r="G80" s="314" t="str">
        <f>IFERROR(VLOOKUP(基本資料填寫!$E$1&amp;"-"&amp;ROW(書籍檔建置!BO77),基本資料填寫!$E:$EU,COLUMN(基本資料填寫!BS77),0),"")</f>
        <v/>
      </c>
      <c r="H80" s="314" t="str">
        <f>IFERROR(VLOOKUP(基本資料填寫!$E$1&amp;"-"&amp;ROW(書籍檔建置!R77),基本資料填寫!$E:$EU,COLUMN(基本資料填寫!V77),0),"")</f>
        <v/>
      </c>
      <c r="I80" s="315" t="str">
        <f>IFERROR(VLOOKUP(基本資料填寫!$E$1&amp;"-"&amp;ROW(書籍檔建置!BQ77),基本資料填寫!$E:$EU,COLUMN(基本資料填寫!BU77),0),"")</f>
        <v/>
      </c>
      <c r="J80" s="314" t="str">
        <f>IFERROR(VLOOKUP(基本資料填寫!$E$1&amp;"-"&amp;ROW(書籍檔建置!BW77),基本資料填寫!$E:$EU,COLUMN(基本資料填寫!CA77),0),"")</f>
        <v/>
      </c>
      <c r="K80" s="314" t="str">
        <f>IFERROR(VLOOKUP(基本資料填寫!$E$1&amp;"-"&amp;ROW(書籍檔建置!BR77),基本資料填寫!$E:$EU,COLUMN(基本資料填寫!BV77),0),"")</f>
        <v/>
      </c>
      <c r="L80" s="314" t="str">
        <f>IFERROR(VLOOKUP(基本資料填寫!$E$1&amp;"-"&amp;ROW(書籍檔建置!BS77),基本資料填寫!$E:$EU,COLUMN(基本資料填寫!BW77),0),"")</f>
        <v/>
      </c>
      <c r="M80" s="166" t="str">
        <f>IFERROR(VLOOKUP(基本資料填寫!$E$1&amp;"-"&amp;ROW(書籍檔建置!BK77),基本資料填寫!$E:$EU,COLUMN(基本資料填寫!BO77),0),"")</f>
        <v/>
      </c>
      <c r="N80" s="314" t="str">
        <f>IFERROR(VLOOKUP(基本資料填寫!$E$1&amp;"-"&amp;ROW(書籍檔建置!AG77),基本資料填寫!$E:$EU,COLUMN(基本資料填寫!AK77),0),"")</f>
        <v/>
      </c>
      <c r="O80" s="314" t="str">
        <f>IFERROR(VLOOKUP(基本資料填寫!$E$1&amp;"-"&amp;ROW(書籍檔建置!BT77),基本資料填寫!$E:$EU,COLUMN(基本資料填寫!BX77),0),"")</f>
        <v/>
      </c>
      <c r="P80" s="314" t="str">
        <f>IFERROR(VLOOKUP(基本資料填寫!$E$1&amp;"-"&amp;ROW(書籍檔建置!BU77),基本資料填寫!$E:$EU,COLUMN(基本資料填寫!BY77),0),"")</f>
        <v/>
      </c>
      <c r="Q80" s="314" t="str">
        <f>IFERROR(VLOOKUP(基本資料填寫!$E$1&amp;"-"&amp;ROW(書籍檔建置!BV77),基本資料填寫!$E:$EU,COLUMN(基本資料填寫!BZ77),0),"")</f>
        <v/>
      </c>
      <c r="R80" s="314" t="str">
        <f>IFERROR(VLOOKUP(基本資料填寫!$E$1&amp;"-"&amp;ROW(書籍檔建置!BX77),基本資料填寫!$E:$EU,COLUMN(基本資料填寫!CB77),0),"")</f>
        <v/>
      </c>
      <c r="S80" s="314" t="str">
        <f>IFERROR(VLOOKUP(基本資料填寫!$E$1&amp;"-"&amp;ROW(書籍檔建置!BY77),基本資料填寫!$E:$EU,COLUMN(基本資料填寫!CC77),0),"")</f>
        <v/>
      </c>
      <c r="T80" s="314" t="str">
        <f>IFERROR(VLOOKUP(基本資料填寫!$E$1&amp;"-"&amp;ROW(書籍檔建置!BZ77),基本資料填寫!$E:$EU,COLUMN(基本資料填寫!CD77),0),"")</f>
        <v/>
      </c>
      <c r="U80" s="314" t="str">
        <f>IFERROR(VLOOKUP(基本資料填寫!$E$1&amp;"-"&amp;ROW(書籍檔建置!CA77),基本資料填寫!$E:$EU,COLUMN(基本資料填寫!CE77),0),"")</f>
        <v/>
      </c>
      <c r="V80" s="166" t="str">
        <f>IFERROR(VLOOKUP(基本資料填寫!$E$1&amp;"-"&amp;ROW(書籍檔建置!BL77),基本資料填寫!$E:$EU,COLUMN(基本資料填寫!BP77),0),"")</f>
        <v/>
      </c>
      <c r="W80" s="178"/>
      <c r="X80" s="178"/>
      <c r="Y80" s="178"/>
      <c r="Z80" s="178"/>
      <c r="AA80" s="178"/>
      <c r="AB80" s="178"/>
      <c r="AC80" s="314" t="str">
        <f>IFERROR(VLOOKUP(基本資料填寫!$E$1&amp;"-"&amp;ROW(書籍檔建置!S77),基本資料填寫!$E:$EU,COLUMN(基本資料填寫!W77),0),"")</f>
        <v/>
      </c>
      <c r="AD80" s="166" t="str">
        <f>IFERROR(VLOOKUP(基本資料填寫!$E$1&amp;"-"&amp;ROW(書籍檔建置!BM77),基本資料填寫!$E:$EU,COLUMN(基本資料填寫!BQ77),0),"")</f>
        <v/>
      </c>
      <c r="AE80" s="178"/>
      <c r="AF80" s="178"/>
      <c r="AG80" s="178"/>
      <c r="AH80" s="314" t="str">
        <f>IFERROR(VLOOKUP(基本資料填寫!$E$1&amp;"-"&amp;ROW(書籍檔建置!CB77),基本資料填寫!$E:$EU,COLUMN(基本資料填寫!CF77),0),"")</f>
        <v/>
      </c>
      <c r="AI80" s="314" t="str">
        <f>IFERROR(VLOOKUP(基本資料填寫!$E$1&amp;"-"&amp;ROW(書籍檔建置!CC77),基本資料填寫!$E:$EU,COLUMN(基本資料填寫!CG77),0),"")</f>
        <v/>
      </c>
      <c r="AJ80" s="314" t="str">
        <f>IFERROR(VLOOKUP(基本資料填寫!$E$1&amp;"-"&amp;ROW(書籍檔建置!H77),基本資料填寫!$E:$EU,COLUMN(基本資料填寫!K77),0),"")</f>
        <v/>
      </c>
      <c r="AK80" s="314" t="str">
        <f>IFERROR(VLOOKUP(基本資料填寫!$E$1&amp;"-"&amp;ROW(書籍檔建置!CF77),基本資料填寫!$E:$EU,COLUMN(基本資料填寫!CJ77),0),"")</f>
        <v/>
      </c>
      <c r="AL80" s="314" t="str">
        <f>IFERROR(VLOOKUP(基本資料填寫!$E$1&amp;"-"&amp;ROW(書籍檔建置!CG77),基本資料填寫!$E:$EU,COLUMN(基本資料填寫!CK77),0),"")</f>
        <v/>
      </c>
      <c r="AM80" s="314" t="str">
        <f>IFERROR(VLOOKUP(基本資料填寫!$E$1&amp;"-"&amp;ROW(書籍檔建置!BP77),基本資料填寫!$E:$EU,COLUMN(基本資料填寫!BT77),0),"")</f>
        <v/>
      </c>
      <c r="AN80" s="153"/>
    </row>
    <row r="81" spans="2:40" x14ac:dyDescent="0.3">
      <c r="B81" s="47" t="str">
        <f>IF(F81="","",COUNTA($F$4:F81))</f>
        <v/>
      </c>
      <c r="C81" s="314" t="str">
        <f>IFERROR(VLOOKUP(基本資料填寫!$E$1&amp;"-"&amp;ROW(書籍檔建置!K78),基本資料填寫!$E:$EU,COLUMN(基本資料填寫!O78),0),"")</f>
        <v/>
      </c>
      <c r="D81" s="314" t="str">
        <f>IFERROR(VLOOKUP(基本資料填寫!$E$1&amp;"-"&amp;ROW(書籍檔建置!N78),基本資料填寫!$E:$EU,COLUMN(基本資料填寫!R78),0),"")</f>
        <v/>
      </c>
      <c r="E81" s="314" t="str">
        <f>IFERROR(VLOOKUP(基本資料填寫!$E$1&amp;"-"&amp;ROW(書籍檔建置!AF78),基本資料填寫!$E:$EU,COLUMN(基本資料填寫!AJ78),0),"")</f>
        <v/>
      </c>
      <c r="F81" s="314" t="str">
        <f>IFERROR(VLOOKUP(基本資料填寫!$E$1&amp;"-"&amp;ROW(書籍檔建置!J78),基本資料填寫!$E:$EU,COLUMN(基本資料填寫!N78),0),"")</f>
        <v/>
      </c>
      <c r="G81" s="314" t="str">
        <f>IFERROR(VLOOKUP(基本資料填寫!$E$1&amp;"-"&amp;ROW(書籍檔建置!BO78),基本資料填寫!$E:$EU,COLUMN(基本資料填寫!BS78),0),"")</f>
        <v/>
      </c>
      <c r="H81" s="314" t="str">
        <f>IFERROR(VLOOKUP(基本資料填寫!$E$1&amp;"-"&amp;ROW(書籍檔建置!R78),基本資料填寫!$E:$EU,COLUMN(基本資料填寫!V78),0),"")</f>
        <v/>
      </c>
      <c r="I81" s="315" t="str">
        <f>IFERROR(VLOOKUP(基本資料填寫!$E$1&amp;"-"&amp;ROW(書籍檔建置!BQ78),基本資料填寫!$E:$EU,COLUMN(基本資料填寫!BU78),0),"")</f>
        <v/>
      </c>
      <c r="J81" s="314" t="str">
        <f>IFERROR(VLOOKUP(基本資料填寫!$E$1&amp;"-"&amp;ROW(書籍檔建置!BW78),基本資料填寫!$E:$EU,COLUMN(基本資料填寫!CA78),0),"")</f>
        <v/>
      </c>
      <c r="K81" s="314" t="str">
        <f>IFERROR(VLOOKUP(基本資料填寫!$E$1&amp;"-"&amp;ROW(書籍檔建置!BR78),基本資料填寫!$E:$EU,COLUMN(基本資料填寫!BV78),0),"")</f>
        <v/>
      </c>
      <c r="L81" s="314" t="str">
        <f>IFERROR(VLOOKUP(基本資料填寫!$E$1&amp;"-"&amp;ROW(書籍檔建置!BS78),基本資料填寫!$E:$EU,COLUMN(基本資料填寫!BW78),0),"")</f>
        <v/>
      </c>
      <c r="M81" s="166" t="str">
        <f>IFERROR(VLOOKUP(基本資料填寫!$E$1&amp;"-"&amp;ROW(書籍檔建置!BK78),基本資料填寫!$E:$EU,COLUMN(基本資料填寫!BO78),0),"")</f>
        <v/>
      </c>
      <c r="N81" s="314" t="str">
        <f>IFERROR(VLOOKUP(基本資料填寫!$E$1&amp;"-"&amp;ROW(書籍檔建置!AG78),基本資料填寫!$E:$EU,COLUMN(基本資料填寫!AK78),0),"")</f>
        <v/>
      </c>
      <c r="O81" s="314" t="str">
        <f>IFERROR(VLOOKUP(基本資料填寫!$E$1&amp;"-"&amp;ROW(書籍檔建置!BT78),基本資料填寫!$E:$EU,COLUMN(基本資料填寫!BX78),0),"")</f>
        <v/>
      </c>
      <c r="P81" s="314" t="str">
        <f>IFERROR(VLOOKUP(基本資料填寫!$E$1&amp;"-"&amp;ROW(書籍檔建置!BU78),基本資料填寫!$E:$EU,COLUMN(基本資料填寫!BY78),0),"")</f>
        <v/>
      </c>
      <c r="Q81" s="314" t="str">
        <f>IFERROR(VLOOKUP(基本資料填寫!$E$1&amp;"-"&amp;ROW(書籍檔建置!BV78),基本資料填寫!$E:$EU,COLUMN(基本資料填寫!BZ78),0),"")</f>
        <v/>
      </c>
      <c r="R81" s="314" t="str">
        <f>IFERROR(VLOOKUP(基本資料填寫!$E$1&amp;"-"&amp;ROW(書籍檔建置!BX78),基本資料填寫!$E:$EU,COLUMN(基本資料填寫!CB78),0),"")</f>
        <v/>
      </c>
      <c r="S81" s="314" t="str">
        <f>IFERROR(VLOOKUP(基本資料填寫!$E$1&amp;"-"&amp;ROW(書籍檔建置!BY78),基本資料填寫!$E:$EU,COLUMN(基本資料填寫!CC78),0),"")</f>
        <v/>
      </c>
      <c r="T81" s="314" t="str">
        <f>IFERROR(VLOOKUP(基本資料填寫!$E$1&amp;"-"&amp;ROW(書籍檔建置!BZ78),基本資料填寫!$E:$EU,COLUMN(基本資料填寫!CD78),0),"")</f>
        <v/>
      </c>
      <c r="U81" s="314" t="str">
        <f>IFERROR(VLOOKUP(基本資料填寫!$E$1&amp;"-"&amp;ROW(書籍檔建置!CA78),基本資料填寫!$E:$EU,COLUMN(基本資料填寫!CE78),0),"")</f>
        <v/>
      </c>
      <c r="V81" s="166" t="str">
        <f>IFERROR(VLOOKUP(基本資料填寫!$E$1&amp;"-"&amp;ROW(書籍檔建置!BL78),基本資料填寫!$E:$EU,COLUMN(基本資料填寫!BP78),0),"")</f>
        <v/>
      </c>
      <c r="W81" s="178"/>
      <c r="X81" s="178"/>
      <c r="Y81" s="178"/>
      <c r="Z81" s="178"/>
      <c r="AA81" s="178"/>
      <c r="AB81" s="178"/>
      <c r="AC81" s="314" t="str">
        <f>IFERROR(VLOOKUP(基本資料填寫!$E$1&amp;"-"&amp;ROW(書籍檔建置!S78),基本資料填寫!$E:$EU,COLUMN(基本資料填寫!W78),0),"")</f>
        <v/>
      </c>
      <c r="AD81" s="166" t="str">
        <f>IFERROR(VLOOKUP(基本資料填寫!$E$1&amp;"-"&amp;ROW(書籍檔建置!BM78),基本資料填寫!$E:$EU,COLUMN(基本資料填寫!BQ78),0),"")</f>
        <v/>
      </c>
      <c r="AE81" s="178"/>
      <c r="AF81" s="178"/>
      <c r="AG81" s="178"/>
      <c r="AH81" s="314" t="str">
        <f>IFERROR(VLOOKUP(基本資料填寫!$E$1&amp;"-"&amp;ROW(書籍檔建置!CB78),基本資料填寫!$E:$EU,COLUMN(基本資料填寫!CF78),0),"")</f>
        <v/>
      </c>
      <c r="AI81" s="314" t="str">
        <f>IFERROR(VLOOKUP(基本資料填寫!$E$1&amp;"-"&amp;ROW(書籍檔建置!CC78),基本資料填寫!$E:$EU,COLUMN(基本資料填寫!CG78),0),"")</f>
        <v/>
      </c>
      <c r="AJ81" s="314" t="str">
        <f>IFERROR(VLOOKUP(基本資料填寫!$E$1&amp;"-"&amp;ROW(書籍檔建置!H78),基本資料填寫!$E:$EU,COLUMN(基本資料填寫!K78),0),"")</f>
        <v/>
      </c>
      <c r="AK81" s="314" t="str">
        <f>IFERROR(VLOOKUP(基本資料填寫!$E$1&amp;"-"&amp;ROW(書籍檔建置!CF78),基本資料填寫!$E:$EU,COLUMN(基本資料填寫!CJ78),0),"")</f>
        <v/>
      </c>
      <c r="AL81" s="314" t="str">
        <f>IFERROR(VLOOKUP(基本資料填寫!$E$1&amp;"-"&amp;ROW(書籍檔建置!CG78),基本資料填寫!$E:$EU,COLUMN(基本資料填寫!CK78),0),"")</f>
        <v/>
      </c>
      <c r="AM81" s="314" t="str">
        <f>IFERROR(VLOOKUP(基本資料填寫!$E$1&amp;"-"&amp;ROW(書籍檔建置!BP78),基本資料填寫!$E:$EU,COLUMN(基本資料填寫!BT78),0),"")</f>
        <v/>
      </c>
      <c r="AN81" s="153"/>
    </row>
    <row r="82" spans="2:40" x14ac:dyDescent="0.3">
      <c r="B82" s="47" t="str">
        <f>IF(F82="","",COUNTA($F$4:F82))</f>
        <v/>
      </c>
      <c r="C82" s="314" t="str">
        <f>IFERROR(VLOOKUP(基本資料填寫!$E$1&amp;"-"&amp;ROW(書籍檔建置!K79),基本資料填寫!$E:$EU,COLUMN(基本資料填寫!O79),0),"")</f>
        <v/>
      </c>
      <c r="D82" s="314" t="str">
        <f>IFERROR(VLOOKUP(基本資料填寫!$E$1&amp;"-"&amp;ROW(書籍檔建置!N79),基本資料填寫!$E:$EU,COLUMN(基本資料填寫!R79),0),"")</f>
        <v/>
      </c>
      <c r="E82" s="314" t="str">
        <f>IFERROR(VLOOKUP(基本資料填寫!$E$1&amp;"-"&amp;ROW(書籍檔建置!AF79),基本資料填寫!$E:$EU,COLUMN(基本資料填寫!AJ79),0),"")</f>
        <v/>
      </c>
      <c r="F82" s="314" t="str">
        <f>IFERROR(VLOOKUP(基本資料填寫!$E$1&amp;"-"&amp;ROW(書籍檔建置!J79),基本資料填寫!$E:$EU,COLUMN(基本資料填寫!N79),0),"")</f>
        <v/>
      </c>
      <c r="G82" s="314" t="str">
        <f>IFERROR(VLOOKUP(基本資料填寫!$E$1&amp;"-"&amp;ROW(書籍檔建置!BO79),基本資料填寫!$E:$EU,COLUMN(基本資料填寫!BS79),0),"")</f>
        <v/>
      </c>
      <c r="H82" s="314" t="str">
        <f>IFERROR(VLOOKUP(基本資料填寫!$E$1&amp;"-"&amp;ROW(書籍檔建置!R79),基本資料填寫!$E:$EU,COLUMN(基本資料填寫!V79),0),"")</f>
        <v/>
      </c>
      <c r="I82" s="315" t="str">
        <f>IFERROR(VLOOKUP(基本資料填寫!$E$1&amp;"-"&amp;ROW(書籍檔建置!BQ79),基本資料填寫!$E:$EU,COLUMN(基本資料填寫!BU79),0),"")</f>
        <v/>
      </c>
      <c r="J82" s="314" t="str">
        <f>IFERROR(VLOOKUP(基本資料填寫!$E$1&amp;"-"&amp;ROW(書籍檔建置!BW79),基本資料填寫!$E:$EU,COLUMN(基本資料填寫!CA79),0),"")</f>
        <v/>
      </c>
      <c r="K82" s="314" t="str">
        <f>IFERROR(VLOOKUP(基本資料填寫!$E$1&amp;"-"&amp;ROW(書籍檔建置!BR79),基本資料填寫!$E:$EU,COLUMN(基本資料填寫!BV79),0),"")</f>
        <v/>
      </c>
      <c r="L82" s="314" t="str">
        <f>IFERROR(VLOOKUP(基本資料填寫!$E$1&amp;"-"&amp;ROW(書籍檔建置!BS79),基本資料填寫!$E:$EU,COLUMN(基本資料填寫!BW79),0),"")</f>
        <v/>
      </c>
      <c r="M82" s="166" t="str">
        <f>IFERROR(VLOOKUP(基本資料填寫!$E$1&amp;"-"&amp;ROW(書籍檔建置!BK79),基本資料填寫!$E:$EU,COLUMN(基本資料填寫!BO79),0),"")</f>
        <v/>
      </c>
      <c r="N82" s="314" t="str">
        <f>IFERROR(VLOOKUP(基本資料填寫!$E$1&amp;"-"&amp;ROW(書籍檔建置!AG79),基本資料填寫!$E:$EU,COLUMN(基本資料填寫!AK79),0),"")</f>
        <v/>
      </c>
      <c r="O82" s="314" t="str">
        <f>IFERROR(VLOOKUP(基本資料填寫!$E$1&amp;"-"&amp;ROW(書籍檔建置!BT79),基本資料填寫!$E:$EU,COLUMN(基本資料填寫!BX79),0),"")</f>
        <v/>
      </c>
      <c r="P82" s="314" t="str">
        <f>IFERROR(VLOOKUP(基本資料填寫!$E$1&amp;"-"&amp;ROW(書籍檔建置!BU79),基本資料填寫!$E:$EU,COLUMN(基本資料填寫!BY79),0),"")</f>
        <v/>
      </c>
      <c r="Q82" s="314" t="str">
        <f>IFERROR(VLOOKUP(基本資料填寫!$E$1&amp;"-"&amp;ROW(書籍檔建置!BV79),基本資料填寫!$E:$EU,COLUMN(基本資料填寫!BZ79),0),"")</f>
        <v/>
      </c>
      <c r="R82" s="314" t="str">
        <f>IFERROR(VLOOKUP(基本資料填寫!$E$1&amp;"-"&amp;ROW(書籍檔建置!BX79),基本資料填寫!$E:$EU,COLUMN(基本資料填寫!CB79),0),"")</f>
        <v/>
      </c>
      <c r="S82" s="314" t="str">
        <f>IFERROR(VLOOKUP(基本資料填寫!$E$1&amp;"-"&amp;ROW(書籍檔建置!BY79),基本資料填寫!$E:$EU,COLUMN(基本資料填寫!CC79),0),"")</f>
        <v/>
      </c>
      <c r="T82" s="314" t="str">
        <f>IFERROR(VLOOKUP(基本資料填寫!$E$1&amp;"-"&amp;ROW(書籍檔建置!BZ79),基本資料填寫!$E:$EU,COLUMN(基本資料填寫!CD79),0),"")</f>
        <v/>
      </c>
      <c r="U82" s="314" t="str">
        <f>IFERROR(VLOOKUP(基本資料填寫!$E$1&amp;"-"&amp;ROW(書籍檔建置!CA79),基本資料填寫!$E:$EU,COLUMN(基本資料填寫!CE79),0),"")</f>
        <v/>
      </c>
      <c r="V82" s="166" t="str">
        <f>IFERROR(VLOOKUP(基本資料填寫!$E$1&amp;"-"&amp;ROW(書籍檔建置!BL79),基本資料填寫!$E:$EU,COLUMN(基本資料填寫!BP79),0),"")</f>
        <v/>
      </c>
      <c r="W82" s="178"/>
      <c r="X82" s="178"/>
      <c r="Y82" s="178"/>
      <c r="Z82" s="178"/>
      <c r="AA82" s="178"/>
      <c r="AB82" s="178"/>
      <c r="AC82" s="314" t="str">
        <f>IFERROR(VLOOKUP(基本資料填寫!$E$1&amp;"-"&amp;ROW(書籍檔建置!S79),基本資料填寫!$E:$EU,COLUMN(基本資料填寫!W79),0),"")</f>
        <v/>
      </c>
      <c r="AD82" s="166" t="str">
        <f>IFERROR(VLOOKUP(基本資料填寫!$E$1&amp;"-"&amp;ROW(書籍檔建置!BM79),基本資料填寫!$E:$EU,COLUMN(基本資料填寫!BQ79),0),"")</f>
        <v/>
      </c>
      <c r="AE82" s="178"/>
      <c r="AF82" s="178"/>
      <c r="AG82" s="178"/>
      <c r="AH82" s="314" t="str">
        <f>IFERROR(VLOOKUP(基本資料填寫!$E$1&amp;"-"&amp;ROW(書籍檔建置!CB79),基本資料填寫!$E:$EU,COLUMN(基本資料填寫!CF79),0),"")</f>
        <v/>
      </c>
      <c r="AI82" s="314" t="str">
        <f>IFERROR(VLOOKUP(基本資料填寫!$E$1&amp;"-"&amp;ROW(書籍檔建置!CC79),基本資料填寫!$E:$EU,COLUMN(基本資料填寫!CG79),0),"")</f>
        <v/>
      </c>
      <c r="AJ82" s="314" t="str">
        <f>IFERROR(VLOOKUP(基本資料填寫!$E$1&amp;"-"&amp;ROW(書籍檔建置!H79),基本資料填寫!$E:$EU,COLUMN(基本資料填寫!K79),0),"")</f>
        <v/>
      </c>
      <c r="AK82" s="314" t="str">
        <f>IFERROR(VLOOKUP(基本資料填寫!$E$1&amp;"-"&amp;ROW(書籍檔建置!CF79),基本資料填寫!$E:$EU,COLUMN(基本資料填寫!CJ79),0),"")</f>
        <v/>
      </c>
      <c r="AL82" s="314" t="str">
        <f>IFERROR(VLOOKUP(基本資料填寫!$E$1&amp;"-"&amp;ROW(書籍檔建置!CG79),基本資料填寫!$E:$EU,COLUMN(基本資料填寫!CK79),0),"")</f>
        <v/>
      </c>
      <c r="AM82" s="314" t="str">
        <f>IFERROR(VLOOKUP(基本資料填寫!$E$1&amp;"-"&amp;ROW(書籍檔建置!BP79),基本資料填寫!$E:$EU,COLUMN(基本資料填寫!BT79),0),"")</f>
        <v/>
      </c>
      <c r="AN82" s="153"/>
    </row>
    <row r="83" spans="2:40" x14ac:dyDescent="0.3">
      <c r="B83" s="47" t="str">
        <f>IF(F83="","",COUNTA($F$4:F83))</f>
        <v/>
      </c>
      <c r="C83" s="314" t="str">
        <f>IFERROR(VLOOKUP(基本資料填寫!$E$1&amp;"-"&amp;ROW(書籍檔建置!K80),基本資料填寫!$E:$EU,COLUMN(基本資料填寫!O80),0),"")</f>
        <v/>
      </c>
      <c r="D83" s="314" t="str">
        <f>IFERROR(VLOOKUP(基本資料填寫!$E$1&amp;"-"&amp;ROW(書籍檔建置!N80),基本資料填寫!$E:$EU,COLUMN(基本資料填寫!R80),0),"")</f>
        <v/>
      </c>
      <c r="E83" s="314" t="str">
        <f>IFERROR(VLOOKUP(基本資料填寫!$E$1&amp;"-"&amp;ROW(書籍檔建置!AF80),基本資料填寫!$E:$EU,COLUMN(基本資料填寫!AJ80),0),"")</f>
        <v/>
      </c>
      <c r="F83" s="314" t="str">
        <f>IFERROR(VLOOKUP(基本資料填寫!$E$1&amp;"-"&amp;ROW(書籍檔建置!J80),基本資料填寫!$E:$EU,COLUMN(基本資料填寫!N80),0),"")</f>
        <v/>
      </c>
      <c r="G83" s="314" t="str">
        <f>IFERROR(VLOOKUP(基本資料填寫!$E$1&amp;"-"&amp;ROW(書籍檔建置!BO80),基本資料填寫!$E:$EU,COLUMN(基本資料填寫!BS80),0),"")</f>
        <v/>
      </c>
      <c r="H83" s="314" t="str">
        <f>IFERROR(VLOOKUP(基本資料填寫!$E$1&amp;"-"&amp;ROW(書籍檔建置!R80),基本資料填寫!$E:$EU,COLUMN(基本資料填寫!V80),0),"")</f>
        <v/>
      </c>
      <c r="I83" s="315" t="str">
        <f>IFERROR(VLOOKUP(基本資料填寫!$E$1&amp;"-"&amp;ROW(書籍檔建置!BQ80),基本資料填寫!$E:$EU,COLUMN(基本資料填寫!BU80),0),"")</f>
        <v/>
      </c>
      <c r="J83" s="314" t="str">
        <f>IFERROR(VLOOKUP(基本資料填寫!$E$1&amp;"-"&amp;ROW(書籍檔建置!BW80),基本資料填寫!$E:$EU,COLUMN(基本資料填寫!CA80),0),"")</f>
        <v/>
      </c>
      <c r="K83" s="314" t="str">
        <f>IFERROR(VLOOKUP(基本資料填寫!$E$1&amp;"-"&amp;ROW(書籍檔建置!BR80),基本資料填寫!$E:$EU,COLUMN(基本資料填寫!BV80),0),"")</f>
        <v/>
      </c>
      <c r="L83" s="314" t="str">
        <f>IFERROR(VLOOKUP(基本資料填寫!$E$1&amp;"-"&amp;ROW(書籍檔建置!BS80),基本資料填寫!$E:$EU,COLUMN(基本資料填寫!BW80),0),"")</f>
        <v/>
      </c>
      <c r="M83" s="166" t="str">
        <f>IFERROR(VLOOKUP(基本資料填寫!$E$1&amp;"-"&amp;ROW(書籍檔建置!BK80),基本資料填寫!$E:$EU,COLUMN(基本資料填寫!BO80),0),"")</f>
        <v/>
      </c>
      <c r="N83" s="314" t="str">
        <f>IFERROR(VLOOKUP(基本資料填寫!$E$1&amp;"-"&amp;ROW(書籍檔建置!AG80),基本資料填寫!$E:$EU,COLUMN(基本資料填寫!AK80),0),"")</f>
        <v/>
      </c>
      <c r="O83" s="314" t="str">
        <f>IFERROR(VLOOKUP(基本資料填寫!$E$1&amp;"-"&amp;ROW(書籍檔建置!BT80),基本資料填寫!$E:$EU,COLUMN(基本資料填寫!BX80),0),"")</f>
        <v/>
      </c>
      <c r="P83" s="314" t="str">
        <f>IFERROR(VLOOKUP(基本資料填寫!$E$1&amp;"-"&amp;ROW(書籍檔建置!BU80),基本資料填寫!$E:$EU,COLUMN(基本資料填寫!BY80),0),"")</f>
        <v/>
      </c>
      <c r="Q83" s="314" t="str">
        <f>IFERROR(VLOOKUP(基本資料填寫!$E$1&amp;"-"&amp;ROW(書籍檔建置!BV80),基本資料填寫!$E:$EU,COLUMN(基本資料填寫!BZ80),0),"")</f>
        <v/>
      </c>
      <c r="R83" s="314" t="str">
        <f>IFERROR(VLOOKUP(基本資料填寫!$E$1&amp;"-"&amp;ROW(書籍檔建置!BX80),基本資料填寫!$E:$EU,COLUMN(基本資料填寫!CB80),0),"")</f>
        <v/>
      </c>
      <c r="S83" s="314" t="str">
        <f>IFERROR(VLOOKUP(基本資料填寫!$E$1&amp;"-"&amp;ROW(書籍檔建置!BY80),基本資料填寫!$E:$EU,COLUMN(基本資料填寫!CC80),0),"")</f>
        <v/>
      </c>
      <c r="T83" s="314" t="str">
        <f>IFERROR(VLOOKUP(基本資料填寫!$E$1&amp;"-"&amp;ROW(書籍檔建置!BZ80),基本資料填寫!$E:$EU,COLUMN(基本資料填寫!CD80),0),"")</f>
        <v/>
      </c>
      <c r="U83" s="314" t="str">
        <f>IFERROR(VLOOKUP(基本資料填寫!$E$1&amp;"-"&amp;ROW(書籍檔建置!CA80),基本資料填寫!$E:$EU,COLUMN(基本資料填寫!CE80),0),"")</f>
        <v/>
      </c>
      <c r="V83" s="166" t="str">
        <f>IFERROR(VLOOKUP(基本資料填寫!$E$1&amp;"-"&amp;ROW(書籍檔建置!BL80),基本資料填寫!$E:$EU,COLUMN(基本資料填寫!BP80),0),"")</f>
        <v/>
      </c>
      <c r="W83" s="178"/>
      <c r="X83" s="178"/>
      <c r="Y83" s="178"/>
      <c r="Z83" s="178"/>
      <c r="AA83" s="178"/>
      <c r="AB83" s="178"/>
      <c r="AC83" s="314" t="str">
        <f>IFERROR(VLOOKUP(基本資料填寫!$E$1&amp;"-"&amp;ROW(書籍檔建置!S80),基本資料填寫!$E:$EU,COLUMN(基本資料填寫!W80),0),"")</f>
        <v/>
      </c>
      <c r="AD83" s="166" t="str">
        <f>IFERROR(VLOOKUP(基本資料填寫!$E$1&amp;"-"&amp;ROW(書籍檔建置!BM80),基本資料填寫!$E:$EU,COLUMN(基本資料填寫!BQ80),0),"")</f>
        <v/>
      </c>
      <c r="AE83" s="178"/>
      <c r="AF83" s="178"/>
      <c r="AG83" s="178"/>
      <c r="AH83" s="314" t="str">
        <f>IFERROR(VLOOKUP(基本資料填寫!$E$1&amp;"-"&amp;ROW(書籍檔建置!CB80),基本資料填寫!$E:$EU,COLUMN(基本資料填寫!CF80),0),"")</f>
        <v/>
      </c>
      <c r="AI83" s="314" t="str">
        <f>IFERROR(VLOOKUP(基本資料填寫!$E$1&amp;"-"&amp;ROW(書籍檔建置!CC80),基本資料填寫!$E:$EU,COLUMN(基本資料填寫!CG80),0),"")</f>
        <v/>
      </c>
      <c r="AJ83" s="314" t="str">
        <f>IFERROR(VLOOKUP(基本資料填寫!$E$1&amp;"-"&amp;ROW(書籍檔建置!H80),基本資料填寫!$E:$EU,COLUMN(基本資料填寫!K80),0),"")</f>
        <v/>
      </c>
      <c r="AK83" s="314" t="str">
        <f>IFERROR(VLOOKUP(基本資料填寫!$E$1&amp;"-"&amp;ROW(書籍檔建置!CF80),基本資料填寫!$E:$EU,COLUMN(基本資料填寫!CJ80),0),"")</f>
        <v/>
      </c>
      <c r="AL83" s="314" t="str">
        <f>IFERROR(VLOOKUP(基本資料填寫!$E$1&amp;"-"&amp;ROW(書籍檔建置!CG80),基本資料填寫!$E:$EU,COLUMN(基本資料填寫!CK80),0),"")</f>
        <v/>
      </c>
      <c r="AM83" s="314" t="str">
        <f>IFERROR(VLOOKUP(基本資料填寫!$E$1&amp;"-"&amp;ROW(書籍檔建置!BP80),基本資料填寫!$E:$EU,COLUMN(基本資料填寫!BT80),0),"")</f>
        <v/>
      </c>
      <c r="AN83" s="153"/>
    </row>
    <row r="84" spans="2:40" x14ac:dyDescent="0.3">
      <c r="B84" s="47" t="str">
        <f>IF(F84="","",COUNTA($F$4:F84))</f>
        <v/>
      </c>
      <c r="C84" s="314" t="str">
        <f>IFERROR(VLOOKUP(基本資料填寫!$E$1&amp;"-"&amp;ROW(書籍檔建置!K81),基本資料填寫!$E:$EU,COLUMN(基本資料填寫!O81),0),"")</f>
        <v/>
      </c>
      <c r="D84" s="314" t="str">
        <f>IFERROR(VLOOKUP(基本資料填寫!$E$1&amp;"-"&amp;ROW(書籍檔建置!N81),基本資料填寫!$E:$EU,COLUMN(基本資料填寫!R81),0),"")</f>
        <v/>
      </c>
      <c r="E84" s="314" t="str">
        <f>IFERROR(VLOOKUP(基本資料填寫!$E$1&amp;"-"&amp;ROW(書籍檔建置!AF81),基本資料填寫!$E:$EU,COLUMN(基本資料填寫!AJ81),0),"")</f>
        <v/>
      </c>
      <c r="F84" s="314" t="str">
        <f>IFERROR(VLOOKUP(基本資料填寫!$E$1&amp;"-"&amp;ROW(書籍檔建置!J81),基本資料填寫!$E:$EU,COLUMN(基本資料填寫!N81),0),"")</f>
        <v/>
      </c>
      <c r="G84" s="314" t="str">
        <f>IFERROR(VLOOKUP(基本資料填寫!$E$1&amp;"-"&amp;ROW(書籍檔建置!BO81),基本資料填寫!$E:$EU,COLUMN(基本資料填寫!BS81),0),"")</f>
        <v/>
      </c>
      <c r="H84" s="314" t="str">
        <f>IFERROR(VLOOKUP(基本資料填寫!$E$1&amp;"-"&amp;ROW(書籍檔建置!R81),基本資料填寫!$E:$EU,COLUMN(基本資料填寫!V81),0),"")</f>
        <v/>
      </c>
      <c r="I84" s="315" t="str">
        <f>IFERROR(VLOOKUP(基本資料填寫!$E$1&amp;"-"&amp;ROW(書籍檔建置!BQ81),基本資料填寫!$E:$EU,COLUMN(基本資料填寫!BU81),0),"")</f>
        <v/>
      </c>
      <c r="J84" s="314" t="str">
        <f>IFERROR(VLOOKUP(基本資料填寫!$E$1&amp;"-"&amp;ROW(書籍檔建置!BW81),基本資料填寫!$E:$EU,COLUMN(基本資料填寫!CA81),0),"")</f>
        <v/>
      </c>
      <c r="K84" s="314" t="str">
        <f>IFERROR(VLOOKUP(基本資料填寫!$E$1&amp;"-"&amp;ROW(書籍檔建置!BR81),基本資料填寫!$E:$EU,COLUMN(基本資料填寫!BV81),0),"")</f>
        <v/>
      </c>
      <c r="L84" s="314" t="str">
        <f>IFERROR(VLOOKUP(基本資料填寫!$E$1&amp;"-"&amp;ROW(書籍檔建置!BS81),基本資料填寫!$E:$EU,COLUMN(基本資料填寫!BW81),0),"")</f>
        <v/>
      </c>
      <c r="M84" s="166" t="str">
        <f>IFERROR(VLOOKUP(基本資料填寫!$E$1&amp;"-"&amp;ROW(書籍檔建置!BK81),基本資料填寫!$E:$EU,COLUMN(基本資料填寫!BO81),0),"")</f>
        <v/>
      </c>
      <c r="N84" s="314" t="str">
        <f>IFERROR(VLOOKUP(基本資料填寫!$E$1&amp;"-"&amp;ROW(書籍檔建置!AG81),基本資料填寫!$E:$EU,COLUMN(基本資料填寫!AK81),0),"")</f>
        <v/>
      </c>
      <c r="O84" s="314" t="str">
        <f>IFERROR(VLOOKUP(基本資料填寫!$E$1&amp;"-"&amp;ROW(書籍檔建置!BT81),基本資料填寫!$E:$EU,COLUMN(基本資料填寫!BX81),0),"")</f>
        <v/>
      </c>
      <c r="P84" s="314" t="str">
        <f>IFERROR(VLOOKUP(基本資料填寫!$E$1&amp;"-"&amp;ROW(書籍檔建置!BU81),基本資料填寫!$E:$EU,COLUMN(基本資料填寫!BY81),0),"")</f>
        <v/>
      </c>
      <c r="Q84" s="314" t="str">
        <f>IFERROR(VLOOKUP(基本資料填寫!$E$1&amp;"-"&amp;ROW(書籍檔建置!BV81),基本資料填寫!$E:$EU,COLUMN(基本資料填寫!BZ81),0),"")</f>
        <v/>
      </c>
      <c r="R84" s="314" t="str">
        <f>IFERROR(VLOOKUP(基本資料填寫!$E$1&amp;"-"&amp;ROW(書籍檔建置!BX81),基本資料填寫!$E:$EU,COLUMN(基本資料填寫!CB81),0),"")</f>
        <v/>
      </c>
      <c r="S84" s="314" t="str">
        <f>IFERROR(VLOOKUP(基本資料填寫!$E$1&amp;"-"&amp;ROW(書籍檔建置!BY81),基本資料填寫!$E:$EU,COLUMN(基本資料填寫!CC81),0),"")</f>
        <v/>
      </c>
      <c r="T84" s="314" t="str">
        <f>IFERROR(VLOOKUP(基本資料填寫!$E$1&amp;"-"&amp;ROW(書籍檔建置!BZ81),基本資料填寫!$E:$EU,COLUMN(基本資料填寫!CD81),0),"")</f>
        <v/>
      </c>
      <c r="U84" s="314" t="str">
        <f>IFERROR(VLOOKUP(基本資料填寫!$E$1&amp;"-"&amp;ROW(書籍檔建置!CA81),基本資料填寫!$E:$EU,COLUMN(基本資料填寫!CE81),0),"")</f>
        <v/>
      </c>
      <c r="V84" s="166" t="str">
        <f>IFERROR(VLOOKUP(基本資料填寫!$E$1&amp;"-"&amp;ROW(書籍檔建置!BL81),基本資料填寫!$E:$EU,COLUMN(基本資料填寫!BP81),0),"")</f>
        <v/>
      </c>
      <c r="W84" s="178"/>
      <c r="X84" s="178"/>
      <c r="Y84" s="178"/>
      <c r="Z84" s="178"/>
      <c r="AA84" s="178"/>
      <c r="AB84" s="178"/>
      <c r="AC84" s="314" t="str">
        <f>IFERROR(VLOOKUP(基本資料填寫!$E$1&amp;"-"&amp;ROW(書籍檔建置!S81),基本資料填寫!$E:$EU,COLUMN(基本資料填寫!W81),0),"")</f>
        <v/>
      </c>
      <c r="AD84" s="166" t="str">
        <f>IFERROR(VLOOKUP(基本資料填寫!$E$1&amp;"-"&amp;ROW(書籍檔建置!BM81),基本資料填寫!$E:$EU,COLUMN(基本資料填寫!BQ81),0),"")</f>
        <v/>
      </c>
      <c r="AE84" s="178"/>
      <c r="AF84" s="178"/>
      <c r="AG84" s="178"/>
      <c r="AH84" s="314" t="str">
        <f>IFERROR(VLOOKUP(基本資料填寫!$E$1&amp;"-"&amp;ROW(書籍檔建置!CB81),基本資料填寫!$E:$EU,COLUMN(基本資料填寫!CF81),0),"")</f>
        <v/>
      </c>
      <c r="AI84" s="314" t="str">
        <f>IFERROR(VLOOKUP(基本資料填寫!$E$1&amp;"-"&amp;ROW(書籍檔建置!CC81),基本資料填寫!$E:$EU,COLUMN(基本資料填寫!CG81),0),"")</f>
        <v/>
      </c>
      <c r="AJ84" s="314" t="str">
        <f>IFERROR(VLOOKUP(基本資料填寫!$E$1&amp;"-"&amp;ROW(書籍檔建置!H81),基本資料填寫!$E:$EU,COLUMN(基本資料填寫!K81),0),"")</f>
        <v/>
      </c>
      <c r="AK84" s="314" t="str">
        <f>IFERROR(VLOOKUP(基本資料填寫!$E$1&amp;"-"&amp;ROW(書籍檔建置!CF81),基本資料填寫!$E:$EU,COLUMN(基本資料填寫!CJ81),0),"")</f>
        <v/>
      </c>
      <c r="AL84" s="314" t="str">
        <f>IFERROR(VLOOKUP(基本資料填寫!$E$1&amp;"-"&amp;ROW(書籍檔建置!CG81),基本資料填寫!$E:$EU,COLUMN(基本資料填寫!CK81),0),"")</f>
        <v/>
      </c>
      <c r="AM84" s="314" t="str">
        <f>IFERROR(VLOOKUP(基本資料填寫!$E$1&amp;"-"&amp;ROW(書籍檔建置!BP81),基本資料填寫!$E:$EU,COLUMN(基本資料填寫!BT81),0),"")</f>
        <v/>
      </c>
      <c r="AN84" s="153"/>
    </row>
    <row r="85" spans="2:40" x14ac:dyDescent="0.3">
      <c r="B85" s="47" t="str">
        <f>IF(F85="","",COUNTA($F$4:F85))</f>
        <v/>
      </c>
      <c r="C85" s="314" t="str">
        <f>IFERROR(VLOOKUP(基本資料填寫!$E$1&amp;"-"&amp;ROW(書籍檔建置!K82),基本資料填寫!$E:$EU,COLUMN(基本資料填寫!O82),0),"")</f>
        <v/>
      </c>
      <c r="D85" s="314" t="str">
        <f>IFERROR(VLOOKUP(基本資料填寫!$E$1&amp;"-"&amp;ROW(書籍檔建置!N82),基本資料填寫!$E:$EU,COLUMN(基本資料填寫!R82),0),"")</f>
        <v/>
      </c>
      <c r="E85" s="314" t="str">
        <f>IFERROR(VLOOKUP(基本資料填寫!$E$1&amp;"-"&amp;ROW(書籍檔建置!AF82),基本資料填寫!$E:$EU,COLUMN(基本資料填寫!AJ82),0),"")</f>
        <v/>
      </c>
      <c r="F85" s="314" t="str">
        <f>IFERROR(VLOOKUP(基本資料填寫!$E$1&amp;"-"&amp;ROW(書籍檔建置!J82),基本資料填寫!$E:$EU,COLUMN(基本資料填寫!N82),0),"")</f>
        <v/>
      </c>
      <c r="G85" s="314" t="str">
        <f>IFERROR(VLOOKUP(基本資料填寫!$E$1&amp;"-"&amp;ROW(書籍檔建置!BO82),基本資料填寫!$E:$EU,COLUMN(基本資料填寫!BS82),0),"")</f>
        <v/>
      </c>
      <c r="H85" s="314" t="str">
        <f>IFERROR(VLOOKUP(基本資料填寫!$E$1&amp;"-"&amp;ROW(書籍檔建置!R82),基本資料填寫!$E:$EU,COLUMN(基本資料填寫!V82),0),"")</f>
        <v/>
      </c>
      <c r="I85" s="315" t="str">
        <f>IFERROR(VLOOKUP(基本資料填寫!$E$1&amp;"-"&amp;ROW(書籍檔建置!BQ82),基本資料填寫!$E:$EU,COLUMN(基本資料填寫!BU82),0),"")</f>
        <v/>
      </c>
      <c r="J85" s="314" t="str">
        <f>IFERROR(VLOOKUP(基本資料填寫!$E$1&amp;"-"&amp;ROW(書籍檔建置!BW82),基本資料填寫!$E:$EU,COLUMN(基本資料填寫!CA82),0),"")</f>
        <v/>
      </c>
      <c r="K85" s="314" t="str">
        <f>IFERROR(VLOOKUP(基本資料填寫!$E$1&amp;"-"&amp;ROW(書籍檔建置!BR82),基本資料填寫!$E:$EU,COLUMN(基本資料填寫!BV82),0),"")</f>
        <v/>
      </c>
      <c r="L85" s="314" t="str">
        <f>IFERROR(VLOOKUP(基本資料填寫!$E$1&amp;"-"&amp;ROW(書籍檔建置!BS82),基本資料填寫!$E:$EU,COLUMN(基本資料填寫!BW82),0),"")</f>
        <v/>
      </c>
      <c r="M85" s="166" t="str">
        <f>IFERROR(VLOOKUP(基本資料填寫!$E$1&amp;"-"&amp;ROW(書籍檔建置!BK82),基本資料填寫!$E:$EU,COLUMN(基本資料填寫!BO82),0),"")</f>
        <v/>
      </c>
      <c r="N85" s="314" t="str">
        <f>IFERROR(VLOOKUP(基本資料填寫!$E$1&amp;"-"&amp;ROW(書籍檔建置!AG82),基本資料填寫!$E:$EU,COLUMN(基本資料填寫!AK82),0),"")</f>
        <v/>
      </c>
      <c r="O85" s="314" t="str">
        <f>IFERROR(VLOOKUP(基本資料填寫!$E$1&amp;"-"&amp;ROW(書籍檔建置!BT82),基本資料填寫!$E:$EU,COLUMN(基本資料填寫!BX82),0),"")</f>
        <v/>
      </c>
      <c r="P85" s="314" t="str">
        <f>IFERROR(VLOOKUP(基本資料填寫!$E$1&amp;"-"&amp;ROW(書籍檔建置!BU82),基本資料填寫!$E:$EU,COLUMN(基本資料填寫!BY82),0),"")</f>
        <v/>
      </c>
      <c r="Q85" s="314" t="str">
        <f>IFERROR(VLOOKUP(基本資料填寫!$E$1&amp;"-"&amp;ROW(書籍檔建置!BV82),基本資料填寫!$E:$EU,COLUMN(基本資料填寫!BZ82),0),"")</f>
        <v/>
      </c>
      <c r="R85" s="314" t="str">
        <f>IFERROR(VLOOKUP(基本資料填寫!$E$1&amp;"-"&amp;ROW(書籍檔建置!BX82),基本資料填寫!$E:$EU,COLUMN(基本資料填寫!CB82),0),"")</f>
        <v/>
      </c>
      <c r="S85" s="314" t="str">
        <f>IFERROR(VLOOKUP(基本資料填寫!$E$1&amp;"-"&amp;ROW(書籍檔建置!BY82),基本資料填寫!$E:$EU,COLUMN(基本資料填寫!CC82),0),"")</f>
        <v/>
      </c>
      <c r="T85" s="314" t="str">
        <f>IFERROR(VLOOKUP(基本資料填寫!$E$1&amp;"-"&amp;ROW(書籍檔建置!BZ82),基本資料填寫!$E:$EU,COLUMN(基本資料填寫!CD82),0),"")</f>
        <v/>
      </c>
      <c r="U85" s="314" t="str">
        <f>IFERROR(VLOOKUP(基本資料填寫!$E$1&amp;"-"&amp;ROW(書籍檔建置!CA82),基本資料填寫!$E:$EU,COLUMN(基本資料填寫!CE82),0),"")</f>
        <v/>
      </c>
      <c r="V85" s="166" t="str">
        <f>IFERROR(VLOOKUP(基本資料填寫!$E$1&amp;"-"&amp;ROW(書籍檔建置!BL82),基本資料填寫!$E:$EU,COLUMN(基本資料填寫!BP82),0),"")</f>
        <v/>
      </c>
      <c r="W85" s="178"/>
      <c r="X85" s="178"/>
      <c r="Y85" s="178"/>
      <c r="Z85" s="178"/>
      <c r="AA85" s="178"/>
      <c r="AB85" s="178"/>
      <c r="AC85" s="314" t="str">
        <f>IFERROR(VLOOKUP(基本資料填寫!$E$1&amp;"-"&amp;ROW(書籍檔建置!S82),基本資料填寫!$E:$EU,COLUMN(基本資料填寫!W82),0),"")</f>
        <v/>
      </c>
      <c r="AD85" s="166" t="str">
        <f>IFERROR(VLOOKUP(基本資料填寫!$E$1&amp;"-"&amp;ROW(書籍檔建置!BM82),基本資料填寫!$E:$EU,COLUMN(基本資料填寫!BQ82),0),"")</f>
        <v/>
      </c>
      <c r="AE85" s="178"/>
      <c r="AF85" s="178"/>
      <c r="AG85" s="178"/>
      <c r="AH85" s="314" t="str">
        <f>IFERROR(VLOOKUP(基本資料填寫!$E$1&amp;"-"&amp;ROW(書籍檔建置!CB82),基本資料填寫!$E:$EU,COLUMN(基本資料填寫!CF82),0),"")</f>
        <v/>
      </c>
      <c r="AI85" s="314" t="str">
        <f>IFERROR(VLOOKUP(基本資料填寫!$E$1&amp;"-"&amp;ROW(書籍檔建置!CC82),基本資料填寫!$E:$EU,COLUMN(基本資料填寫!CG82),0),"")</f>
        <v/>
      </c>
      <c r="AJ85" s="314" t="str">
        <f>IFERROR(VLOOKUP(基本資料填寫!$E$1&amp;"-"&amp;ROW(書籍檔建置!H82),基本資料填寫!$E:$EU,COLUMN(基本資料填寫!K82),0),"")</f>
        <v/>
      </c>
      <c r="AK85" s="314" t="str">
        <f>IFERROR(VLOOKUP(基本資料填寫!$E$1&amp;"-"&amp;ROW(書籍檔建置!CF82),基本資料填寫!$E:$EU,COLUMN(基本資料填寫!CJ82),0),"")</f>
        <v/>
      </c>
      <c r="AL85" s="314" t="str">
        <f>IFERROR(VLOOKUP(基本資料填寫!$E$1&amp;"-"&amp;ROW(書籍檔建置!CG82),基本資料填寫!$E:$EU,COLUMN(基本資料填寫!CK82),0),"")</f>
        <v/>
      </c>
      <c r="AM85" s="314" t="str">
        <f>IFERROR(VLOOKUP(基本資料填寫!$E$1&amp;"-"&amp;ROW(書籍檔建置!BP82),基本資料填寫!$E:$EU,COLUMN(基本資料填寫!BT82),0),"")</f>
        <v/>
      </c>
      <c r="AN85" s="153"/>
    </row>
    <row r="86" spans="2:40" x14ac:dyDescent="0.3">
      <c r="B86" s="47" t="str">
        <f>IF(F86="","",COUNTA($F$4:F86))</f>
        <v/>
      </c>
      <c r="C86" s="314" t="str">
        <f>IFERROR(VLOOKUP(基本資料填寫!$E$1&amp;"-"&amp;ROW(書籍檔建置!K83),基本資料填寫!$E:$EU,COLUMN(基本資料填寫!O83),0),"")</f>
        <v/>
      </c>
      <c r="D86" s="314" t="str">
        <f>IFERROR(VLOOKUP(基本資料填寫!$E$1&amp;"-"&amp;ROW(書籍檔建置!N83),基本資料填寫!$E:$EU,COLUMN(基本資料填寫!R83),0),"")</f>
        <v/>
      </c>
      <c r="E86" s="314" t="str">
        <f>IFERROR(VLOOKUP(基本資料填寫!$E$1&amp;"-"&amp;ROW(書籍檔建置!AF83),基本資料填寫!$E:$EU,COLUMN(基本資料填寫!AJ83),0),"")</f>
        <v/>
      </c>
      <c r="F86" s="314" t="str">
        <f>IFERROR(VLOOKUP(基本資料填寫!$E$1&amp;"-"&amp;ROW(書籍檔建置!J83),基本資料填寫!$E:$EU,COLUMN(基本資料填寫!N83),0),"")</f>
        <v/>
      </c>
      <c r="G86" s="314" t="str">
        <f>IFERROR(VLOOKUP(基本資料填寫!$E$1&amp;"-"&amp;ROW(書籍檔建置!BO83),基本資料填寫!$E:$EU,COLUMN(基本資料填寫!BS83),0),"")</f>
        <v/>
      </c>
      <c r="H86" s="314" t="str">
        <f>IFERROR(VLOOKUP(基本資料填寫!$E$1&amp;"-"&amp;ROW(書籍檔建置!R83),基本資料填寫!$E:$EU,COLUMN(基本資料填寫!V83),0),"")</f>
        <v/>
      </c>
      <c r="I86" s="315" t="str">
        <f>IFERROR(VLOOKUP(基本資料填寫!$E$1&amp;"-"&amp;ROW(書籍檔建置!BQ83),基本資料填寫!$E:$EU,COLUMN(基本資料填寫!BU83),0),"")</f>
        <v/>
      </c>
      <c r="J86" s="314" t="str">
        <f>IFERROR(VLOOKUP(基本資料填寫!$E$1&amp;"-"&amp;ROW(書籍檔建置!BW83),基本資料填寫!$E:$EU,COLUMN(基本資料填寫!CA83),0),"")</f>
        <v/>
      </c>
      <c r="K86" s="314" t="str">
        <f>IFERROR(VLOOKUP(基本資料填寫!$E$1&amp;"-"&amp;ROW(書籍檔建置!BR83),基本資料填寫!$E:$EU,COLUMN(基本資料填寫!BV83),0),"")</f>
        <v/>
      </c>
      <c r="L86" s="314" t="str">
        <f>IFERROR(VLOOKUP(基本資料填寫!$E$1&amp;"-"&amp;ROW(書籍檔建置!BS83),基本資料填寫!$E:$EU,COLUMN(基本資料填寫!BW83),0),"")</f>
        <v/>
      </c>
      <c r="M86" s="166" t="str">
        <f>IFERROR(VLOOKUP(基本資料填寫!$E$1&amp;"-"&amp;ROW(書籍檔建置!BK83),基本資料填寫!$E:$EU,COLUMN(基本資料填寫!BO83),0),"")</f>
        <v/>
      </c>
      <c r="N86" s="314" t="str">
        <f>IFERROR(VLOOKUP(基本資料填寫!$E$1&amp;"-"&amp;ROW(書籍檔建置!AG83),基本資料填寫!$E:$EU,COLUMN(基本資料填寫!AK83),0),"")</f>
        <v/>
      </c>
      <c r="O86" s="314" t="str">
        <f>IFERROR(VLOOKUP(基本資料填寫!$E$1&amp;"-"&amp;ROW(書籍檔建置!BT83),基本資料填寫!$E:$EU,COLUMN(基本資料填寫!BX83),0),"")</f>
        <v/>
      </c>
      <c r="P86" s="314" t="str">
        <f>IFERROR(VLOOKUP(基本資料填寫!$E$1&amp;"-"&amp;ROW(書籍檔建置!BU83),基本資料填寫!$E:$EU,COLUMN(基本資料填寫!BY83),0),"")</f>
        <v/>
      </c>
      <c r="Q86" s="314" t="str">
        <f>IFERROR(VLOOKUP(基本資料填寫!$E$1&amp;"-"&amp;ROW(書籍檔建置!BV83),基本資料填寫!$E:$EU,COLUMN(基本資料填寫!BZ83),0),"")</f>
        <v/>
      </c>
      <c r="R86" s="314" t="str">
        <f>IFERROR(VLOOKUP(基本資料填寫!$E$1&amp;"-"&amp;ROW(書籍檔建置!BX83),基本資料填寫!$E:$EU,COLUMN(基本資料填寫!CB83),0),"")</f>
        <v/>
      </c>
      <c r="S86" s="314" t="str">
        <f>IFERROR(VLOOKUP(基本資料填寫!$E$1&amp;"-"&amp;ROW(書籍檔建置!BY83),基本資料填寫!$E:$EU,COLUMN(基本資料填寫!CC83),0),"")</f>
        <v/>
      </c>
      <c r="T86" s="314" t="str">
        <f>IFERROR(VLOOKUP(基本資料填寫!$E$1&amp;"-"&amp;ROW(書籍檔建置!BZ83),基本資料填寫!$E:$EU,COLUMN(基本資料填寫!CD83),0),"")</f>
        <v/>
      </c>
      <c r="U86" s="314" t="str">
        <f>IFERROR(VLOOKUP(基本資料填寫!$E$1&amp;"-"&amp;ROW(書籍檔建置!CA83),基本資料填寫!$E:$EU,COLUMN(基本資料填寫!CE83),0),"")</f>
        <v/>
      </c>
      <c r="V86" s="166" t="str">
        <f>IFERROR(VLOOKUP(基本資料填寫!$E$1&amp;"-"&amp;ROW(書籍檔建置!BL83),基本資料填寫!$E:$EU,COLUMN(基本資料填寫!BP83),0),"")</f>
        <v/>
      </c>
      <c r="W86" s="178"/>
      <c r="X86" s="178"/>
      <c r="Y86" s="178"/>
      <c r="Z86" s="178"/>
      <c r="AA86" s="178"/>
      <c r="AB86" s="178"/>
      <c r="AC86" s="314" t="str">
        <f>IFERROR(VLOOKUP(基本資料填寫!$E$1&amp;"-"&amp;ROW(書籍檔建置!S83),基本資料填寫!$E:$EU,COLUMN(基本資料填寫!W83),0),"")</f>
        <v/>
      </c>
      <c r="AD86" s="166" t="str">
        <f>IFERROR(VLOOKUP(基本資料填寫!$E$1&amp;"-"&amp;ROW(書籍檔建置!BM83),基本資料填寫!$E:$EU,COLUMN(基本資料填寫!BQ83),0),"")</f>
        <v/>
      </c>
      <c r="AE86" s="178"/>
      <c r="AF86" s="178"/>
      <c r="AG86" s="178"/>
      <c r="AH86" s="314" t="str">
        <f>IFERROR(VLOOKUP(基本資料填寫!$E$1&amp;"-"&amp;ROW(書籍檔建置!CB83),基本資料填寫!$E:$EU,COLUMN(基本資料填寫!CF83),0),"")</f>
        <v/>
      </c>
      <c r="AI86" s="314" t="str">
        <f>IFERROR(VLOOKUP(基本資料填寫!$E$1&amp;"-"&amp;ROW(書籍檔建置!CC83),基本資料填寫!$E:$EU,COLUMN(基本資料填寫!CG83),0),"")</f>
        <v/>
      </c>
      <c r="AJ86" s="314" t="str">
        <f>IFERROR(VLOOKUP(基本資料填寫!$E$1&amp;"-"&amp;ROW(書籍檔建置!H83),基本資料填寫!$E:$EU,COLUMN(基本資料填寫!K83),0),"")</f>
        <v/>
      </c>
      <c r="AK86" s="314" t="str">
        <f>IFERROR(VLOOKUP(基本資料填寫!$E$1&amp;"-"&amp;ROW(書籍檔建置!CF83),基本資料填寫!$E:$EU,COLUMN(基本資料填寫!CJ83),0),"")</f>
        <v/>
      </c>
      <c r="AL86" s="314" t="str">
        <f>IFERROR(VLOOKUP(基本資料填寫!$E$1&amp;"-"&amp;ROW(書籍檔建置!CG83),基本資料填寫!$E:$EU,COLUMN(基本資料填寫!CK83),0),"")</f>
        <v/>
      </c>
      <c r="AM86" s="314" t="str">
        <f>IFERROR(VLOOKUP(基本資料填寫!$E$1&amp;"-"&amp;ROW(書籍檔建置!BP83),基本資料填寫!$E:$EU,COLUMN(基本資料填寫!BT83),0),"")</f>
        <v/>
      </c>
      <c r="AN86" s="153"/>
    </row>
    <row r="87" spans="2:40" x14ac:dyDescent="0.3">
      <c r="B87" s="47" t="str">
        <f>IF(F87="","",COUNTA($F$4:F87))</f>
        <v/>
      </c>
      <c r="C87" s="314" t="str">
        <f>IFERROR(VLOOKUP(基本資料填寫!$E$1&amp;"-"&amp;ROW(書籍檔建置!K84),基本資料填寫!$E:$EU,COLUMN(基本資料填寫!O84),0),"")</f>
        <v/>
      </c>
      <c r="D87" s="314" t="str">
        <f>IFERROR(VLOOKUP(基本資料填寫!$E$1&amp;"-"&amp;ROW(書籍檔建置!N84),基本資料填寫!$E:$EU,COLUMN(基本資料填寫!R84),0),"")</f>
        <v/>
      </c>
      <c r="E87" s="314" t="str">
        <f>IFERROR(VLOOKUP(基本資料填寫!$E$1&amp;"-"&amp;ROW(書籍檔建置!AF84),基本資料填寫!$E:$EU,COLUMN(基本資料填寫!AJ84),0),"")</f>
        <v/>
      </c>
      <c r="F87" s="314" t="str">
        <f>IFERROR(VLOOKUP(基本資料填寫!$E$1&amp;"-"&amp;ROW(書籍檔建置!J84),基本資料填寫!$E:$EU,COLUMN(基本資料填寫!N84),0),"")</f>
        <v/>
      </c>
      <c r="G87" s="314" t="str">
        <f>IFERROR(VLOOKUP(基本資料填寫!$E$1&amp;"-"&amp;ROW(書籍檔建置!BO84),基本資料填寫!$E:$EU,COLUMN(基本資料填寫!BS84),0),"")</f>
        <v/>
      </c>
      <c r="H87" s="314" t="str">
        <f>IFERROR(VLOOKUP(基本資料填寫!$E$1&amp;"-"&amp;ROW(書籍檔建置!R84),基本資料填寫!$E:$EU,COLUMN(基本資料填寫!V84),0),"")</f>
        <v/>
      </c>
      <c r="I87" s="315" t="str">
        <f>IFERROR(VLOOKUP(基本資料填寫!$E$1&amp;"-"&amp;ROW(書籍檔建置!BQ84),基本資料填寫!$E:$EU,COLUMN(基本資料填寫!BU84),0),"")</f>
        <v/>
      </c>
      <c r="J87" s="314" t="str">
        <f>IFERROR(VLOOKUP(基本資料填寫!$E$1&amp;"-"&amp;ROW(書籍檔建置!BW84),基本資料填寫!$E:$EU,COLUMN(基本資料填寫!CA84),0),"")</f>
        <v/>
      </c>
      <c r="K87" s="314" t="str">
        <f>IFERROR(VLOOKUP(基本資料填寫!$E$1&amp;"-"&amp;ROW(書籍檔建置!BR84),基本資料填寫!$E:$EU,COLUMN(基本資料填寫!BV84),0),"")</f>
        <v/>
      </c>
      <c r="L87" s="314" t="str">
        <f>IFERROR(VLOOKUP(基本資料填寫!$E$1&amp;"-"&amp;ROW(書籍檔建置!BS84),基本資料填寫!$E:$EU,COLUMN(基本資料填寫!BW84),0),"")</f>
        <v/>
      </c>
      <c r="M87" s="166" t="str">
        <f>IFERROR(VLOOKUP(基本資料填寫!$E$1&amp;"-"&amp;ROW(書籍檔建置!BK84),基本資料填寫!$E:$EU,COLUMN(基本資料填寫!BO84),0),"")</f>
        <v/>
      </c>
      <c r="N87" s="314" t="str">
        <f>IFERROR(VLOOKUP(基本資料填寫!$E$1&amp;"-"&amp;ROW(書籍檔建置!AG84),基本資料填寫!$E:$EU,COLUMN(基本資料填寫!AK84),0),"")</f>
        <v/>
      </c>
      <c r="O87" s="314" t="str">
        <f>IFERROR(VLOOKUP(基本資料填寫!$E$1&amp;"-"&amp;ROW(書籍檔建置!BT84),基本資料填寫!$E:$EU,COLUMN(基本資料填寫!BX84),0),"")</f>
        <v/>
      </c>
      <c r="P87" s="314" t="str">
        <f>IFERROR(VLOOKUP(基本資料填寫!$E$1&amp;"-"&amp;ROW(書籍檔建置!BU84),基本資料填寫!$E:$EU,COLUMN(基本資料填寫!BY84),0),"")</f>
        <v/>
      </c>
      <c r="Q87" s="314" t="str">
        <f>IFERROR(VLOOKUP(基本資料填寫!$E$1&amp;"-"&amp;ROW(書籍檔建置!BV84),基本資料填寫!$E:$EU,COLUMN(基本資料填寫!BZ84),0),"")</f>
        <v/>
      </c>
      <c r="R87" s="314" t="str">
        <f>IFERROR(VLOOKUP(基本資料填寫!$E$1&amp;"-"&amp;ROW(書籍檔建置!BX84),基本資料填寫!$E:$EU,COLUMN(基本資料填寫!CB84),0),"")</f>
        <v/>
      </c>
      <c r="S87" s="314" t="str">
        <f>IFERROR(VLOOKUP(基本資料填寫!$E$1&amp;"-"&amp;ROW(書籍檔建置!BY84),基本資料填寫!$E:$EU,COLUMN(基本資料填寫!CC84),0),"")</f>
        <v/>
      </c>
      <c r="T87" s="314" t="str">
        <f>IFERROR(VLOOKUP(基本資料填寫!$E$1&amp;"-"&amp;ROW(書籍檔建置!BZ84),基本資料填寫!$E:$EU,COLUMN(基本資料填寫!CD84),0),"")</f>
        <v/>
      </c>
      <c r="U87" s="314" t="str">
        <f>IFERROR(VLOOKUP(基本資料填寫!$E$1&amp;"-"&amp;ROW(書籍檔建置!CA84),基本資料填寫!$E:$EU,COLUMN(基本資料填寫!CE84),0),"")</f>
        <v/>
      </c>
      <c r="V87" s="166" t="str">
        <f>IFERROR(VLOOKUP(基本資料填寫!$E$1&amp;"-"&amp;ROW(書籍檔建置!BL84),基本資料填寫!$E:$EU,COLUMN(基本資料填寫!BP84),0),"")</f>
        <v/>
      </c>
      <c r="W87" s="178"/>
      <c r="X87" s="178"/>
      <c r="Y87" s="178"/>
      <c r="Z87" s="178"/>
      <c r="AA87" s="178"/>
      <c r="AB87" s="178"/>
      <c r="AC87" s="314" t="str">
        <f>IFERROR(VLOOKUP(基本資料填寫!$E$1&amp;"-"&amp;ROW(書籍檔建置!S84),基本資料填寫!$E:$EU,COLUMN(基本資料填寫!W84),0),"")</f>
        <v/>
      </c>
      <c r="AD87" s="166" t="str">
        <f>IFERROR(VLOOKUP(基本資料填寫!$E$1&amp;"-"&amp;ROW(書籍檔建置!BM84),基本資料填寫!$E:$EU,COLUMN(基本資料填寫!BQ84),0),"")</f>
        <v/>
      </c>
      <c r="AE87" s="178"/>
      <c r="AF87" s="178"/>
      <c r="AG87" s="178"/>
      <c r="AH87" s="314" t="str">
        <f>IFERROR(VLOOKUP(基本資料填寫!$E$1&amp;"-"&amp;ROW(書籍檔建置!CB84),基本資料填寫!$E:$EU,COLUMN(基本資料填寫!CF84),0),"")</f>
        <v/>
      </c>
      <c r="AI87" s="314" t="str">
        <f>IFERROR(VLOOKUP(基本資料填寫!$E$1&amp;"-"&amp;ROW(書籍檔建置!CC84),基本資料填寫!$E:$EU,COLUMN(基本資料填寫!CG84),0),"")</f>
        <v/>
      </c>
      <c r="AJ87" s="314" t="str">
        <f>IFERROR(VLOOKUP(基本資料填寫!$E$1&amp;"-"&amp;ROW(書籍檔建置!H84),基本資料填寫!$E:$EU,COLUMN(基本資料填寫!K84),0),"")</f>
        <v/>
      </c>
      <c r="AK87" s="314" t="str">
        <f>IFERROR(VLOOKUP(基本資料填寫!$E$1&amp;"-"&amp;ROW(書籍檔建置!CF84),基本資料填寫!$E:$EU,COLUMN(基本資料填寫!CJ84),0),"")</f>
        <v/>
      </c>
      <c r="AL87" s="314" t="str">
        <f>IFERROR(VLOOKUP(基本資料填寫!$E$1&amp;"-"&amp;ROW(書籍檔建置!CG84),基本資料填寫!$E:$EU,COLUMN(基本資料填寫!CK84),0),"")</f>
        <v/>
      </c>
      <c r="AM87" s="314" t="str">
        <f>IFERROR(VLOOKUP(基本資料填寫!$E$1&amp;"-"&amp;ROW(書籍檔建置!BP84),基本資料填寫!$E:$EU,COLUMN(基本資料填寫!BT84),0),"")</f>
        <v/>
      </c>
      <c r="AN87" s="153"/>
    </row>
    <row r="88" spans="2:40" x14ac:dyDescent="0.3">
      <c r="B88" s="47" t="str">
        <f>IF(F88="","",COUNTA($F$4:F88))</f>
        <v/>
      </c>
      <c r="C88" s="314" t="str">
        <f>IFERROR(VLOOKUP(基本資料填寫!$E$1&amp;"-"&amp;ROW(書籍檔建置!K85),基本資料填寫!$E:$EU,COLUMN(基本資料填寫!O85),0),"")</f>
        <v/>
      </c>
      <c r="D88" s="314" t="str">
        <f>IFERROR(VLOOKUP(基本資料填寫!$E$1&amp;"-"&amp;ROW(書籍檔建置!N85),基本資料填寫!$E:$EU,COLUMN(基本資料填寫!R85),0),"")</f>
        <v/>
      </c>
      <c r="E88" s="314" t="str">
        <f>IFERROR(VLOOKUP(基本資料填寫!$E$1&amp;"-"&amp;ROW(書籍檔建置!AF85),基本資料填寫!$E:$EU,COLUMN(基本資料填寫!AJ85),0),"")</f>
        <v/>
      </c>
      <c r="F88" s="314" t="str">
        <f>IFERROR(VLOOKUP(基本資料填寫!$E$1&amp;"-"&amp;ROW(書籍檔建置!J85),基本資料填寫!$E:$EU,COLUMN(基本資料填寫!N85),0),"")</f>
        <v/>
      </c>
      <c r="G88" s="314" t="str">
        <f>IFERROR(VLOOKUP(基本資料填寫!$E$1&amp;"-"&amp;ROW(書籍檔建置!BO85),基本資料填寫!$E:$EU,COLUMN(基本資料填寫!BS85),0),"")</f>
        <v/>
      </c>
      <c r="H88" s="314" t="str">
        <f>IFERROR(VLOOKUP(基本資料填寫!$E$1&amp;"-"&amp;ROW(書籍檔建置!R85),基本資料填寫!$E:$EU,COLUMN(基本資料填寫!V85),0),"")</f>
        <v/>
      </c>
      <c r="I88" s="315" t="str">
        <f>IFERROR(VLOOKUP(基本資料填寫!$E$1&amp;"-"&amp;ROW(書籍檔建置!BQ85),基本資料填寫!$E:$EU,COLUMN(基本資料填寫!BU85),0),"")</f>
        <v/>
      </c>
      <c r="J88" s="314" t="str">
        <f>IFERROR(VLOOKUP(基本資料填寫!$E$1&amp;"-"&amp;ROW(書籍檔建置!BW85),基本資料填寫!$E:$EU,COLUMN(基本資料填寫!CA85),0),"")</f>
        <v/>
      </c>
      <c r="K88" s="314" t="str">
        <f>IFERROR(VLOOKUP(基本資料填寫!$E$1&amp;"-"&amp;ROW(書籍檔建置!BR85),基本資料填寫!$E:$EU,COLUMN(基本資料填寫!BV85),0),"")</f>
        <v/>
      </c>
      <c r="L88" s="314" t="str">
        <f>IFERROR(VLOOKUP(基本資料填寫!$E$1&amp;"-"&amp;ROW(書籍檔建置!BS85),基本資料填寫!$E:$EU,COLUMN(基本資料填寫!BW85),0),"")</f>
        <v/>
      </c>
      <c r="M88" s="166" t="str">
        <f>IFERROR(VLOOKUP(基本資料填寫!$E$1&amp;"-"&amp;ROW(書籍檔建置!BK85),基本資料填寫!$E:$EU,COLUMN(基本資料填寫!BO85),0),"")</f>
        <v/>
      </c>
      <c r="N88" s="314" t="str">
        <f>IFERROR(VLOOKUP(基本資料填寫!$E$1&amp;"-"&amp;ROW(書籍檔建置!AG85),基本資料填寫!$E:$EU,COLUMN(基本資料填寫!AK85),0),"")</f>
        <v/>
      </c>
      <c r="O88" s="314" t="str">
        <f>IFERROR(VLOOKUP(基本資料填寫!$E$1&amp;"-"&amp;ROW(書籍檔建置!BT85),基本資料填寫!$E:$EU,COLUMN(基本資料填寫!BX85),0),"")</f>
        <v/>
      </c>
      <c r="P88" s="314" t="str">
        <f>IFERROR(VLOOKUP(基本資料填寫!$E$1&amp;"-"&amp;ROW(書籍檔建置!BU85),基本資料填寫!$E:$EU,COLUMN(基本資料填寫!BY85),0),"")</f>
        <v/>
      </c>
      <c r="Q88" s="314" t="str">
        <f>IFERROR(VLOOKUP(基本資料填寫!$E$1&amp;"-"&amp;ROW(書籍檔建置!BV85),基本資料填寫!$E:$EU,COLUMN(基本資料填寫!BZ85),0),"")</f>
        <v/>
      </c>
      <c r="R88" s="314" t="str">
        <f>IFERROR(VLOOKUP(基本資料填寫!$E$1&amp;"-"&amp;ROW(書籍檔建置!BX85),基本資料填寫!$E:$EU,COLUMN(基本資料填寫!CB85),0),"")</f>
        <v/>
      </c>
      <c r="S88" s="314" t="str">
        <f>IFERROR(VLOOKUP(基本資料填寫!$E$1&amp;"-"&amp;ROW(書籍檔建置!BY85),基本資料填寫!$E:$EU,COLUMN(基本資料填寫!CC85),0),"")</f>
        <v/>
      </c>
      <c r="T88" s="314" t="str">
        <f>IFERROR(VLOOKUP(基本資料填寫!$E$1&amp;"-"&amp;ROW(書籍檔建置!BZ85),基本資料填寫!$E:$EU,COLUMN(基本資料填寫!CD85),0),"")</f>
        <v/>
      </c>
      <c r="U88" s="314" t="str">
        <f>IFERROR(VLOOKUP(基本資料填寫!$E$1&amp;"-"&amp;ROW(書籍檔建置!CA85),基本資料填寫!$E:$EU,COLUMN(基本資料填寫!CE85),0),"")</f>
        <v/>
      </c>
      <c r="V88" s="166" t="str">
        <f>IFERROR(VLOOKUP(基本資料填寫!$E$1&amp;"-"&amp;ROW(書籍檔建置!BL85),基本資料填寫!$E:$EU,COLUMN(基本資料填寫!BP85),0),"")</f>
        <v/>
      </c>
      <c r="W88" s="178"/>
      <c r="X88" s="178"/>
      <c r="Y88" s="178"/>
      <c r="Z88" s="178"/>
      <c r="AA88" s="178"/>
      <c r="AB88" s="178"/>
      <c r="AC88" s="314" t="str">
        <f>IFERROR(VLOOKUP(基本資料填寫!$E$1&amp;"-"&amp;ROW(書籍檔建置!S85),基本資料填寫!$E:$EU,COLUMN(基本資料填寫!W85),0),"")</f>
        <v/>
      </c>
      <c r="AD88" s="166" t="str">
        <f>IFERROR(VLOOKUP(基本資料填寫!$E$1&amp;"-"&amp;ROW(書籍檔建置!BM85),基本資料填寫!$E:$EU,COLUMN(基本資料填寫!BQ85),0),"")</f>
        <v/>
      </c>
      <c r="AE88" s="178"/>
      <c r="AF88" s="178"/>
      <c r="AG88" s="178"/>
      <c r="AH88" s="314" t="str">
        <f>IFERROR(VLOOKUP(基本資料填寫!$E$1&amp;"-"&amp;ROW(書籍檔建置!CB85),基本資料填寫!$E:$EU,COLUMN(基本資料填寫!CF85),0),"")</f>
        <v/>
      </c>
      <c r="AI88" s="314" t="str">
        <f>IFERROR(VLOOKUP(基本資料填寫!$E$1&amp;"-"&amp;ROW(書籍檔建置!CC85),基本資料填寫!$E:$EU,COLUMN(基本資料填寫!CG85),0),"")</f>
        <v/>
      </c>
      <c r="AJ88" s="314" t="str">
        <f>IFERROR(VLOOKUP(基本資料填寫!$E$1&amp;"-"&amp;ROW(書籍檔建置!H85),基本資料填寫!$E:$EU,COLUMN(基本資料填寫!K85),0),"")</f>
        <v/>
      </c>
      <c r="AK88" s="314" t="str">
        <f>IFERROR(VLOOKUP(基本資料填寫!$E$1&amp;"-"&amp;ROW(書籍檔建置!CF85),基本資料填寫!$E:$EU,COLUMN(基本資料填寫!CJ85),0),"")</f>
        <v/>
      </c>
      <c r="AL88" s="314" t="str">
        <f>IFERROR(VLOOKUP(基本資料填寫!$E$1&amp;"-"&amp;ROW(書籍檔建置!CG85),基本資料填寫!$E:$EU,COLUMN(基本資料填寫!CK85),0),"")</f>
        <v/>
      </c>
      <c r="AM88" s="314" t="str">
        <f>IFERROR(VLOOKUP(基本資料填寫!$E$1&amp;"-"&amp;ROW(書籍檔建置!BP85),基本資料填寫!$E:$EU,COLUMN(基本資料填寫!BT85),0),"")</f>
        <v/>
      </c>
      <c r="AN88" s="153"/>
    </row>
    <row r="89" spans="2:40" x14ac:dyDescent="0.3">
      <c r="B89" s="47" t="str">
        <f>IF(F89="","",COUNTA($F$4:F89))</f>
        <v/>
      </c>
      <c r="C89" s="314" t="str">
        <f>IFERROR(VLOOKUP(基本資料填寫!$E$1&amp;"-"&amp;ROW(書籍檔建置!K86),基本資料填寫!$E:$EU,COLUMN(基本資料填寫!O86),0),"")</f>
        <v/>
      </c>
      <c r="D89" s="314" t="str">
        <f>IFERROR(VLOOKUP(基本資料填寫!$E$1&amp;"-"&amp;ROW(書籍檔建置!N86),基本資料填寫!$E:$EU,COLUMN(基本資料填寫!R86),0),"")</f>
        <v/>
      </c>
      <c r="E89" s="314" t="str">
        <f>IFERROR(VLOOKUP(基本資料填寫!$E$1&amp;"-"&amp;ROW(書籍檔建置!AF86),基本資料填寫!$E:$EU,COLUMN(基本資料填寫!AJ86),0),"")</f>
        <v/>
      </c>
      <c r="F89" s="314" t="str">
        <f>IFERROR(VLOOKUP(基本資料填寫!$E$1&amp;"-"&amp;ROW(書籍檔建置!J86),基本資料填寫!$E:$EU,COLUMN(基本資料填寫!N86),0),"")</f>
        <v/>
      </c>
      <c r="G89" s="314" t="str">
        <f>IFERROR(VLOOKUP(基本資料填寫!$E$1&amp;"-"&amp;ROW(書籍檔建置!BO86),基本資料填寫!$E:$EU,COLUMN(基本資料填寫!BS86),0),"")</f>
        <v/>
      </c>
      <c r="H89" s="314" t="str">
        <f>IFERROR(VLOOKUP(基本資料填寫!$E$1&amp;"-"&amp;ROW(書籍檔建置!R86),基本資料填寫!$E:$EU,COLUMN(基本資料填寫!V86),0),"")</f>
        <v/>
      </c>
      <c r="I89" s="315" t="str">
        <f>IFERROR(VLOOKUP(基本資料填寫!$E$1&amp;"-"&amp;ROW(書籍檔建置!BQ86),基本資料填寫!$E:$EU,COLUMN(基本資料填寫!BU86),0),"")</f>
        <v/>
      </c>
      <c r="J89" s="314" t="str">
        <f>IFERROR(VLOOKUP(基本資料填寫!$E$1&amp;"-"&amp;ROW(書籍檔建置!BW86),基本資料填寫!$E:$EU,COLUMN(基本資料填寫!CA86),0),"")</f>
        <v/>
      </c>
      <c r="K89" s="314" t="str">
        <f>IFERROR(VLOOKUP(基本資料填寫!$E$1&amp;"-"&amp;ROW(書籍檔建置!BR86),基本資料填寫!$E:$EU,COLUMN(基本資料填寫!BV86),0),"")</f>
        <v/>
      </c>
      <c r="L89" s="314" t="str">
        <f>IFERROR(VLOOKUP(基本資料填寫!$E$1&amp;"-"&amp;ROW(書籍檔建置!BS86),基本資料填寫!$E:$EU,COLUMN(基本資料填寫!BW86),0),"")</f>
        <v/>
      </c>
      <c r="M89" s="166" t="str">
        <f>IFERROR(VLOOKUP(基本資料填寫!$E$1&amp;"-"&amp;ROW(書籍檔建置!BK86),基本資料填寫!$E:$EU,COLUMN(基本資料填寫!BO86),0),"")</f>
        <v/>
      </c>
      <c r="N89" s="314" t="str">
        <f>IFERROR(VLOOKUP(基本資料填寫!$E$1&amp;"-"&amp;ROW(書籍檔建置!AG86),基本資料填寫!$E:$EU,COLUMN(基本資料填寫!AK86),0),"")</f>
        <v/>
      </c>
      <c r="O89" s="314" t="str">
        <f>IFERROR(VLOOKUP(基本資料填寫!$E$1&amp;"-"&amp;ROW(書籍檔建置!BT86),基本資料填寫!$E:$EU,COLUMN(基本資料填寫!BX86),0),"")</f>
        <v/>
      </c>
      <c r="P89" s="314" t="str">
        <f>IFERROR(VLOOKUP(基本資料填寫!$E$1&amp;"-"&amp;ROW(書籍檔建置!BU86),基本資料填寫!$E:$EU,COLUMN(基本資料填寫!BY86),0),"")</f>
        <v/>
      </c>
      <c r="Q89" s="314" t="str">
        <f>IFERROR(VLOOKUP(基本資料填寫!$E$1&amp;"-"&amp;ROW(書籍檔建置!BV86),基本資料填寫!$E:$EU,COLUMN(基本資料填寫!BZ86),0),"")</f>
        <v/>
      </c>
      <c r="R89" s="314" t="str">
        <f>IFERROR(VLOOKUP(基本資料填寫!$E$1&amp;"-"&amp;ROW(書籍檔建置!BX86),基本資料填寫!$E:$EU,COLUMN(基本資料填寫!CB86),0),"")</f>
        <v/>
      </c>
      <c r="S89" s="314" t="str">
        <f>IFERROR(VLOOKUP(基本資料填寫!$E$1&amp;"-"&amp;ROW(書籍檔建置!BY86),基本資料填寫!$E:$EU,COLUMN(基本資料填寫!CC86),0),"")</f>
        <v/>
      </c>
      <c r="T89" s="314" t="str">
        <f>IFERROR(VLOOKUP(基本資料填寫!$E$1&amp;"-"&amp;ROW(書籍檔建置!BZ86),基本資料填寫!$E:$EU,COLUMN(基本資料填寫!CD86),0),"")</f>
        <v/>
      </c>
      <c r="U89" s="314" t="str">
        <f>IFERROR(VLOOKUP(基本資料填寫!$E$1&amp;"-"&amp;ROW(書籍檔建置!CA86),基本資料填寫!$E:$EU,COLUMN(基本資料填寫!CE86),0),"")</f>
        <v/>
      </c>
      <c r="V89" s="166" t="str">
        <f>IFERROR(VLOOKUP(基本資料填寫!$E$1&amp;"-"&amp;ROW(書籍檔建置!BL86),基本資料填寫!$E:$EU,COLUMN(基本資料填寫!BP86),0),"")</f>
        <v/>
      </c>
      <c r="W89" s="178"/>
      <c r="X89" s="178"/>
      <c r="Y89" s="178"/>
      <c r="Z89" s="178"/>
      <c r="AA89" s="178"/>
      <c r="AB89" s="178"/>
      <c r="AC89" s="314" t="str">
        <f>IFERROR(VLOOKUP(基本資料填寫!$E$1&amp;"-"&amp;ROW(書籍檔建置!S86),基本資料填寫!$E:$EU,COLUMN(基本資料填寫!W86),0),"")</f>
        <v/>
      </c>
      <c r="AD89" s="166" t="str">
        <f>IFERROR(VLOOKUP(基本資料填寫!$E$1&amp;"-"&amp;ROW(書籍檔建置!BM86),基本資料填寫!$E:$EU,COLUMN(基本資料填寫!BQ86),0),"")</f>
        <v/>
      </c>
      <c r="AE89" s="178"/>
      <c r="AF89" s="178"/>
      <c r="AG89" s="178"/>
      <c r="AH89" s="314" t="str">
        <f>IFERROR(VLOOKUP(基本資料填寫!$E$1&amp;"-"&amp;ROW(書籍檔建置!CB86),基本資料填寫!$E:$EU,COLUMN(基本資料填寫!CF86),0),"")</f>
        <v/>
      </c>
      <c r="AI89" s="314" t="str">
        <f>IFERROR(VLOOKUP(基本資料填寫!$E$1&amp;"-"&amp;ROW(書籍檔建置!CC86),基本資料填寫!$E:$EU,COLUMN(基本資料填寫!CG86),0),"")</f>
        <v/>
      </c>
      <c r="AJ89" s="314" t="str">
        <f>IFERROR(VLOOKUP(基本資料填寫!$E$1&amp;"-"&amp;ROW(書籍檔建置!H86),基本資料填寫!$E:$EU,COLUMN(基本資料填寫!K86),0),"")</f>
        <v/>
      </c>
      <c r="AK89" s="314" t="str">
        <f>IFERROR(VLOOKUP(基本資料填寫!$E$1&amp;"-"&amp;ROW(書籍檔建置!CF86),基本資料填寫!$E:$EU,COLUMN(基本資料填寫!CJ86),0),"")</f>
        <v/>
      </c>
      <c r="AL89" s="314" t="str">
        <f>IFERROR(VLOOKUP(基本資料填寫!$E$1&amp;"-"&amp;ROW(書籍檔建置!CG86),基本資料填寫!$E:$EU,COLUMN(基本資料填寫!CK86),0),"")</f>
        <v/>
      </c>
      <c r="AM89" s="314" t="str">
        <f>IFERROR(VLOOKUP(基本資料填寫!$E$1&amp;"-"&amp;ROW(書籍檔建置!BP86),基本資料填寫!$E:$EU,COLUMN(基本資料填寫!BT86),0),"")</f>
        <v/>
      </c>
      <c r="AN89" s="153"/>
    </row>
    <row r="90" spans="2:40" x14ac:dyDescent="0.3">
      <c r="B90" s="47" t="str">
        <f>IF(F90="","",COUNTA($F$4:F90))</f>
        <v/>
      </c>
      <c r="C90" s="314" t="str">
        <f>IFERROR(VLOOKUP(基本資料填寫!$E$1&amp;"-"&amp;ROW(書籍檔建置!K87),基本資料填寫!$E:$EU,COLUMN(基本資料填寫!O87),0),"")</f>
        <v/>
      </c>
      <c r="D90" s="314" t="str">
        <f>IFERROR(VLOOKUP(基本資料填寫!$E$1&amp;"-"&amp;ROW(書籍檔建置!N87),基本資料填寫!$E:$EU,COLUMN(基本資料填寫!R87),0),"")</f>
        <v/>
      </c>
      <c r="E90" s="314" t="str">
        <f>IFERROR(VLOOKUP(基本資料填寫!$E$1&amp;"-"&amp;ROW(書籍檔建置!AF87),基本資料填寫!$E:$EU,COLUMN(基本資料填寫!AJ87),0),"")</f>
        <v/>
      </c>
      <c r="F90" s="314" t="str">
        <f>IFERROR(VLOOKUP(基本資料填寫!$E$1&amp;"-"&amp;ROW(書籍檔建置!J87),基本資料填寫!$E:$EU,COLUMN(基本資料填寫!N87),0),"")</f>
        <v/>
      </c>
      <c r="G90" s="314" t="str">
        <f>IFERROR(VLOOKUP(基本資料填寫!$E$1&amp;"-"&amp;ROW(書籍檔建置!BO87),基本資料填寫!$E:$EU,COLUMN(基本資料填寫!BS87),0),"")</f>
        <v/>
      </c>
      <c r="H90" s="314" t="str">
        <f>IFERROR(VLOOKUP(基本資料填寫!$E$1&amp;"-"&amp;ROW(書籍檔建置!R87),基本資料填寫!$E:$EU,COLUMN(基本資料填寫!V87),0),"")</f>
        <v/>
      </c>
      <c r="I90" s="315" t="str">
        <f>IFERROR(VLOOKUP(基本資料填寫!$E$1&amp;"-"&amp;ROW(書籍檔建置!BQ87),基本資料填寫!$E:$EU,COLUMN(基本資料填寫!BU87),0),"")</f>
        <v/>
      </c>
      <c r="J90" s="314" t="str">
        <f>IFERROR(VLOOKUP(基本資料填寫!$E$1&amp;"-"&amp;ROW(書籍檔建置!BW87),基本資料填寫!$E:$EU,COLUMN(基本資料填寫!CA87),0),"")</f>
        <v/>
      </c>
      <c r="K90" s="314" t="str">
        <f>IFERROR(VLOOKUP(基本資料填寫!$E$1&amp;"-"&amp;ROW(書籍檔建置!BR87),基本資料填寫!$E:$EU,COLUMN(基本資料填寫!BV87),0),"")</f>
        <v/>
      </c>
      <c r="L90" s="314" t="str">
        <f>IFERROR(VLOOKUP(基本資料填寫!$E$1&amp;"-"&amp;ROW(書籍檔建置!BS87),基本資料填寫!$E:$EU,COLUMN(基本資料填寫!BW87),0),"")</f>
        <v/>
      </c>
      <c r="M90" s="166" t="str">
        <f>IFERROR(VLOOKUP(基本資料填寫!$E$1&amp;"-"&amp;ROW(書籍檔建置!BK87),基本資料填寫!$E:$EU,COLUMN(基本資料填寫!BO87),0),"")</f>
        <v/>
      </c>
      <c r="N90" s="314" t="str">
        <f>IFERROR(VLOOKUP(基本資料填寫!$E$1&amp;"-"&amp;ROW(書籍檔建置!AG87),基本資料填寫!$E:$EU,COLUMN(基本資料填寫!AK87),0),"")</f>
        <v/>
      </c>
      <c r="O90" s="314" t="str">
        <f>IFERROR(VLOOKUP(基本資料填寫!$E$1&amp;"-"&amp;ROW(書籍檔建置!BT87),基本資料填寫!$E:$EU,COLUMN(基本資料填寫!BX87),0),"")</f>
        <v/>
      </c>
      <c r="P90" s="314" t="str">
        <f>IFERROR(VLOOKUP(基本資料填寫!$E$1&amp;"-"&amp;ROW(書籍檔建置!BU87),基本資料填寫!$E:$EU,COLUMN(基本資料填寫!BY87),0),"")</f>
        <v/>
      </c>
      <c r="Q90" s="314" t="str">
        <f>IFERROR(VLOOKUP(基本資料填寫!$E$1&amp;"-"&amp;ROW(書籍檔建置!BV87),基本資料填寫!$E:$EU,COLUMN(基本資料填寫!BZ87),0),"")</f>
        <v/>
      </c>
      <c r="R90" s="314" t="str">
        <f>IFERROR(VLOOKUP(基本資料填寫!$E$1&amp;"-"&amp;ROW(書籍檔建置!BX87),基本資料填寫!$E:$EU,COLUMN(基本資料填寫!CB87),0),"")</f>
        <v/>
      </c>
      <c r="S90" s="314" t="str">
        <f>IFERROR(VLOOKUP(基本資料填寫!$E$1&amp;"-"&amp;ROW(書籍檔建置!BY87),基本資料填寫!$E:$EU,COLUMN(基本資料填寫!CC87),0),"")</f>
        <v/>
      </c>
      <c r="T90" s="314" t="str">
        <f>IFERROR(VLOOKUP(基本資料填寫!$E$1&amp;"-"&amp;ROW(書籍檔建置!BZ87),基本資料填寫!$E:$EU,COLUMN(基本資料填寫!CD87),0),"")</f>
        <v/>
      </c>
      <c r="U90" s="314" t="str">
        <f>IFERROR(VLOOKUP(基本資料填寫!$E$1&amp;"-"&amp;ROW(書籍檔建置!CA87),基本資料填寫!$E:$EU,COLUMN(基本資料填寫!CE87),0),"")</f>
        <v/>
      </c>
      <c r="V90" s="166" t="str">
        <f>IFERROR(VLOOKUP(基本資料填寫!$E$1&amp;"-"&amp;ROW(書籍檔建置!BL87),基本資料填寫!$E:$EU,COLUMN(基本資料填寫!BP87),0),"")</f>
        <v/>
      </c>
      <c r="W90" s="178"/>
      <c r="X90" s="178"/>
      <c r="Y90" s="178"/>
      <c r="Z90" s="178"/>
      <c r="AA90" s="178"/>
      <c r="AB90" s="178"/>
      <c r="AC90" s="314" t="str">
        <f>IFERROR(VLOOKUP(基本資料填寫!$E$1&amp;"-"&amp;ROW(書籍檔建置!S87),基本資料填寫!$E:$EU,COLUMN(基本資料填寫!W87),0),"")</f>
        <v/>
      </c>
      <c r="AD90" s="166" t="str">
        <f>IFERROR(VLOOKUP(基本資料填寫!$E$1&amp;"-"&amp;ROW(書籍檔建置!BM87),基本資料填寫!$E:$EU,COLUMN(基本資料填寫!BQ87),0),"")</f>
        <v/>
      </c>
      <c r="AE90" s="178"/>
      <c r="AF90" s="178"/>
      <c r="AG90" s="178"/>
      <c r="AH90" s="314" t="str">
        <f>IFERROR(VLOOKUP(基本資料填寫!$E$1&amp;"-"&amp;ROW(書籍檔建置!CB87),基本資料填寫!$E:$EU,COLUMN(基本資料填寫!CF87),0),"")</f>
        <v/>
      </c>
      <c r="AI90" s="314" t="str">
        <f>IFERROR(VLOOKUP(基本資料填寫!$E$1&amp;"-"&amp;ROW(書籍檔建置!CC87),基本資料填寫!$E:$EU,COLUMN(基本資料填寫!CG87),0),"")</f>
        <v/>
      </c>
      <c r="AJ90" s="314" t="str">
        <f>IFERROR(VLOOKUP(基本資料填寫!$E$1&amp;"-"&amp;ROW(書籍檔建置!H87),基本資料填寫!$E:$EU,COLUMN(基本資料填寫!K87),0),"")</f>
        <v/>
      </c>
      <c r="AK90" s="314" t="str">
        <f>IFERROR(VLOOKUP(基本資料填寫!$E$1&amp;"-"&amp;ROW(書籍檔建置!CF87),基本資料填寫!$E:$EU,COLUMN(基本資料填寫!CJ87),0),"")</f>
        <v/>
      </c>
      <c r="AL90" s="314" t="str">
        <f>IFERROR(VLOOKUP(基本資料填寫!$E$1&amp;"-"&amp;ROW(書籍檔建置!CG87),基本資料填寫!$E:$EU,COLUMN(基本資料填寫!CK87),0),"")</f>
        <v/>
      </c>
      <c r="AM90" s="314" t="str">
        <f>IFERROR(VLOOKUP(基本資料填寫!$E$1&amp;"-"&amp;ROW(書籍檔建置!BP87),基本資料填寫!$E:$EU,COLUMN(基本資料填寫!BT87),0),"")</f>
        <v/>
      </c>
      <c r="AN90" s="153"/>
    </row>
    <row r="91" spans="2:40" x14ac:dyDescent="0.3">
      <c r="B91" s="47" t="str">
        <f>IF(F91="","",COUNTA($F$4:F91))</f>
        <v/>
      </c>
      <c r="C91" s="314" t="str">
        <f>IFERROR(VLOOKUP(基本資料填寫!$E$1&amp;"-"&amp;ROW(書籍檔建置!K88),基本資料填寫!$E:$EU,COLUMN(基本資料填寫!O88),0),"")</f>
        <v/>
      </c>
      <c r="D91" s="314" t="str">
        <f>IFERROR(VLOOKUP(基本資料填寫!$E$1&amp;"-"&amp;ROW(書籍檔建置!N88),基本資料填寫!$E:$EU,COLUMN(基本資料填寫!R88),0),"")</f>
        <v/>
      </c>
      <c r="E91" s="314" t="str">
        <f>IFERROR(VLOOKUP(基本資料填寫!$E$1&amp;"-"&amp;ROW(書籍檔建置!AF88),基本資料填寫!$E:$EU,COLUMN(基本資料填寫!AJ88),0),"")</f>
        <v/>
      </c>
      <c r="F91" s="314" t="str">
        <f>IFERROR(VLOOKUP(基本資料填寫!$E$1&amp;"-"&amp;ROW(書籍檔建置!J88),基本資料填寫!$E:$EU,COLUMN(基本資料填寫!N88),0),"")</f>
        <v/>
      </c>
      <c r="G91" s="314" t="str">
        <f>IFERROR(VLOOKUP(基本資料填寫!$E$1&amp;"-"&amp;ROW(書籍檔建置!BO88),基本資料填寫!$E:$EU,COLUMN(基本資料填寫!BS88),0),"")</f>
        <v/>
      </c>
      <c r="H91" s="314" t="str">
        <f>IFERROR(VLOOKUP(基本資料填寫!$E$1&amp;"-"&amp;ROW(書籍檔建置!R88),基本資料填寫!$E:$EU,COLUMN(基本資料填寫!V88),0),"")</f>
        <v/>
      </c>
      <c r="I91" s="315" t="str">
        <f>IFERROR(VLOOKUP(基本資料填寫!$E$1&amp;"-"&amp;ROW(書籍檔建置!BQ88),基本資料填寫!$E:$EU,COLUMN(基本資料填寫!BU88),0),"")</f>
        <v/>
      </c>
      <c r="J91" s="314" t="str">
        <f>IFERROR(VLOOKUP(基本資料填寫!$E$1&amp;"-"&amp;ROW(書籍檔建置!BW88),基本資料填寫!$E:$EU,COLUMN(基本資料填寫!CA88),0),"")</f>
        <v/>
      </c>
      <c r="K91" s="314" t="str">
        <f>IFERROR(VLOOKUP(基本資料填寫!$E$1&amp;"-"&amp;ROW(書籍檔建置!BR88),基本資料填寫!$E:$EU,COLUMN(基本資料填寫!BV88),0),"")</f>
        <v/>
      </c>
      <c r="L91" s="314" t="str">
        <f>IFERROR(VLOOKUP(基本資料填寫!$E$1&amp;"-"&amp;ROW(書籍檔建置!BS88),基本資料填寫!$E:$EU,COLUMN(基本資料填寫!BW88),0),"")</f>
        <v/>
      </c>
      <c r="M91" s="166" t="str">
        <f>IFERROR(VLOOKUP(基本資料填寫!$E$1&amp;"-"&amp;ROW(書籍檔建置!BK88),基本資料填寫!$E:$EU,COLUMN(基本資料填寫!BO88),0),"")</f>
        <v/>
      </c>
      <c r="N91" s="314" t="str">
        <f>IFERROR(VLOOKUP(基本資料填寫!$E$1&amp;"-"&amp;ROW(書籍檔建置!AG88),基本資料填寫!$E:$EU,COLUMN(基本資料填寫!AK88),0),"")</f>
        <v/>
      </c>
      <c r="O91" s="314" t="str">
        <f>IFERROR(VLOOKUP(基本資料填寫!$E$1&amp;"-"&amp;ROW(書籍檔建置!BT88),基本資料填寫!$E:$EU,COLUMN(基本資料填寫!BX88),0),"")</f>
        <v/>
      </c>
      <c r="P91" s="314" t="str">
        <f>IFERROR(VLOOKUP(基本資料填寫!$E$1&amp;"-"&amp;ROW(書籍檔建置!BU88),基本資料填寫!$E:$EU,COLUMN(基本資料填寫!BY88),0),"")</f>
        <v/>
      </c>
      <c r="Q91" s="314" t="str">
        <f>IFERROR(VLOOKUP(基本資料填寫!$E$1&amp;"-"&amp;ROW(書籍檔建置!BV88),基本資料填寫!$E:$EU,COLUMN(基本資料填寫!BZ88),0),"")</f>
        <v/>
      </c>
      <c r="R91" s="314" t="str">
        <f>IFERROR(VLOOKUP(基本資料填寫!$E$1&amp;"-"&amp;ROW(書籍檔建置!BX88),基本資料填寫!$E:$EU,COLUMN(基本資料填寫!CB88),0),"")</f>
        <v/>
      </c>
      <c r="S91" s="314" t="str">
        <f>IFERROR(VLOOKUP(基本資料填寫!$E$1&amp;"-"&amp;ROW(書籍檔建置!BY88),基本資料填寫!$E:$EU,COLUMN(基本資料填寫!CC88),0),"")</f>
        <v/>
      </c>
      <c r="T91" s="314" t="str">
        <f>IFERROR(VLOOKUP(基本資料填寫!$E$1&amp;"-"&amp;ROW(書籍檔建置!BZ88),基本資料填寫!$E:$EU,COLUMN(基本資料填寫!CD88),0),"")</f>
        <v/>
      </c>
      <c r="U91" s="314" t="str">
        <f>IFERROR(VLOOKUP(基本資料填寫!$E$1&amp;"-"&amp;ROW(書籍檔建置!CA88),基本資料填寫!$E:$EU,COLUMN(基本資料填寫!CE88),0),"")</f>
        <v/>
      </c>
      <c r="V91" s="166" t="str">
        <f>IFERROR(VLOOKUP(基本資料填寫!$E$1&amp;"-"&amp;ROW(書籍檔建置!BL88),基本資料填寫!$E:$EU,COLUMN(基本資料填寫!BP88),0),"")</f>
        <v/>
      </c>
      <c r="W91" s="178"/>
      <c r="X91" s="178"/>
      <c r="Y91" s="178"/>
      <c r="Z91" s="178"/>
      <c r="AA91" s="178"/>
      <c r="AB91" s="178"/>
      <c r="AC91" s="314" t="str">
        <f>IFERROR(VLOOKUP(基本資料填寫!$E$1&amp;"-"&amp;ROW(書籍檔建置!S88),基本資料填寫!$E:$EU,COLUMN(基本資料填寫!W88),0),"")</f>
        <v/>
      </c>
      <c r="AD91" s="166" t="str">
        <f>IFERROR(VLOOKUP(基本資料填寫!$E$1&amp;"-"&amp;ROW(書籍檔建置!BM88),基本資料填寫!$E:$EU,COLUMN(基本資料填寫!BQ88),0),"")</f>
        <v/>
      </c>
      <c r="AE91" s="178"/>
      <c r="AF91" s="178"/>
      <c r="AG91" s="178"/>
      <c r="AH91" s="314" t="str">
        <f>IFERROR(VLOOKUP(基本資料填寫!$E$1&amp;"-"&amp;ROW(書籍檔建置!CB88),基本資料填寫!$E:$EU,COLUMN(基本資料填寫!CF88),0),"")</f>
        <v/>
      </c>
      <c r="AI91" s="314" t="str">
        <f>IFERROR(VLOOKUP(基本資料填寫!$E$1&amp;"-"&amp;ROW(書籍檔建置!CC88),基本資料填寫!$E:$EU,COLUMN(基本資料填寫!CG88),0),"")</f>
        <v/>
      </c>
      <c r="AJ91" s="314" t="str">
        <f>IFERROR(VLOOKUP(基本資料填寫!$E$1&amp;"-"&amp;ROW(書籍檔建置!H88),基本資料填寫!$E:$EU,COLUMN(基本資料填寫!K88),0),"")</f>
        <v/>
      </c>
      <c r="AK91" s="314" t="str">
        <f>IFERROR(VLOOKUP(基本資料填寫!$E$1&amp;"-"&amp;ROW(書籍檔建置!CF88),基本資料填寫!$E:$EU,COLUMN(基本資料填寫!CJ88),0),"")</f>
        <v/>
      </c>
      <c r="AL91" s="314" t="str">
        <f>IFERROR(VLOOKUP(基本資料填寫!$E$1&amp;"-"&amp;ROW(書籍檔建置!CG88),基本資料填寫!$E:$EU,COLUMN(基本資料填寫!CK88),0),"")</f>
        <v/>
      </c>
      <c r="AM91" s="314" t="str">
        <f>IFERROR(VLOOKUP(基本資料填寫!$E$1&amp;"-"&amp;ROW(書籍檔建置!BP88),基本資料填寫!$E:$EU,COLUMN(基本資料填寫!BT88),0),"")</f>
        <v/>
      </c>
      <c r="AN91" s="153"/>
    </row>
    <row r="92" spans="2:40" x14ac:dyDescent="0.3">
      <c r="B92" s="47" t="str">
        <f>IF(F92="","",COUNTA($F$4:F92))</f>
        <v/>
      </c>
      <c r="C92" s="314" t="str">
        <f>IFERROR(VLOOKUP(基本資料填寫!$E$1&amp;"-"&amp;ROW(書籍檔建置!K89),基本資料填寫!$E:$EU,COLUMN(基本資料填寫!O89),0),"")</f>
        <v/>
      </c>
      <c r="D92" s="314" t="str">
        <f>IFERROR(VLOOKUP(基本資料填寫!$E$1&amp;"-"&amp;ROW(書籍檔建置!N89),基本資料填寫!$E:$EU,COLUMN(基本資料填寫!R89),0),"")</f>
        <v/>
      </c>
      <c r="E92" s="314" t="str">
        <f>IFERROR(VLOOKUP(基本資料填寫!$E$1&amp;"-"&amp;ROW(書籍檔建置!AF89),基本資料填寫!$E:$EU,COLUMN(基本資料填寫!AJ89),0),"")</f>
        <v/>
      </c>
      <c r="F92" s="314" t="str">
        <f>IFERROR(VLOOKUP(基本資料填寫!$E$1&amp;"-"&amp;ROW(書籍檔建置!J89),基本資料填寫!$E:$EU,COLUMN(基本資料填寫!N89),0),"")</f>
        <v/>
      </c>
      <c r="G92" s="314" t="str">
        <f>IFERROR(VLOOKUP(基本資料填寫!$E$1&amp;"-"&amp;ROW(書籍檔建置!BO89),基本資料填寫!$E:$EU,COLUMN(基本資料填寫!BS89),0),"")</f>
        <v/>
      </c>
      <c r="H92" s="314" t="str">
        <f>IFERROR(VLOOKUP(基本資料填寫!$E$1&amp;"-"&amp;ROW(書籍檔建置!R89),基本資料填寫!$E:$EU,COLUMN(基本資料填寫!V89),0),"")</f>
        <v/>
      </c>
      <c r="I92" s="315" t="str">
        <f>IFERROR(VLOOKUP(基本資料填寫!$E$1&amp;"-"&amp;ROW(書籍檔建置!BQ89),基本資料填寫!$E:$EU,COLUMN(基本資料填寫!BU89),0),"")</f>
        <v/>
      </c>
      <c r="J92" s="314" t="str">
        <f>IFERROR(VLOOKUP(基本資料填寫!$E$1&amp;"-"&amp;ROW(書籍檔建置!BW89),基本資料填寫!$E:$EU,COLUMN(基本資料填寫!CA89),0),"")</f>
        <v/>
      </c>
      <c r="K92" s="314" t="str">
        <f>IFERROR(VLOOKUP(基本資料填寫!$E$1&amp;"-"&amp;ROW(書籍檔建置!BR89),基本資料填寫!$E:$EU,COLUMN(基本資料填寫!BV89),0),"")</f>
        <v/>
      </c>
      <c r="L92" s="314" t="str">
        <f>IFERROR(VLOOKUP(基本資料填寫!$E$1&amp;"-"&amp;ROW(書籍檔建置!BS89),基本資料填寫!$E:$EU,COLUMN(基本資料填寫!BW89),0),"")</f>
        <v/>
      </c>
      <c r="M92" s="166" t="str">
        <f>IFERROR(VLOOKUP(基本資料填寫!$E$1&amp;"-"&amp;ROW(書籍檔建置!BK89),基本資料填寫!$E:$EU,COLUMN(基本資料填寫!BO89),0),"")</f>
        <v/>
      </c>
      <c r="N92" s="314" t="str">
        <f>IFERROR(VLOOKUP(基本資料填寫!$E$1&amp;"-"&amp;ROW(書籍檔建置!AG89),基本資料填寫!$E:$EU,COLUMN(基本資料填寫!AK89),0),"")</f>
        <v/>
      </c>
      <c r="O92" s="314" t="str">
        <f>IFERROR(VLOOKUP(基本資料填寫!$E$1&amp;"-"&amp;ROW(書籍檔建置!BT89),基本資料填寫!$E:$EU,COLUMN(基本資料填寫!BX89),0),"")</f>
        <v/>
      </c>
      <c r="P92" s="314" t="str">
        <f>IFERROR(VLOOKUP(基本資料填寫!$E$1&amp;"-"&amp;ROW(書籍檔建置!BU89),基本資料填寫!$E:$EU,COLUMN(基本資料填寫!BY89),0),"")</f>
        <v/>
      </c>
      <c r="Q92" s="314" t="str">
        <f>IFERROR(VLOOKUP(基本資料填寫!$E$1&amp;"-"&amp;ROW(書籍檔建置!BV89),基本資料填寫!$E:$EU,COLUMN(基本資料填寫!BZ89),0),"")</f>
        <v/>
      </c>
      <c r="R92" s="314" t="str">
        <f>IFERROR(VLOOKUP(基本資料填寫!$E$1&amp;"-"&amp;ROW(書籍檔建置!BX89),基本資料填寫!$E:$EU,COLUMN(基本資料填寫!CB89),0),"")</f>
        <v/>
      </c>
      <c r="S92" s="314" t="str">
        <f>IFERROR(VLOOKUP(基本資料填寫!$E$1&amp;"-"&amp;ROW(書籍檔建置!BY89),基本資料填寫!$E:$EU,COLUMN(基本資料填寫!CC89),0),"")</f>
        <v/>
      </c>
      <c r="T92" s="314" t="str">
        <f>IFERROR(VLOOKUP(基本資料填寫!$E$1&amp;"-"&amp;ROW(書籍檔建置!BZ89),基本資料填寫!$E:$EU,COLUMN(基本資料填寫!CD89),0),"")</f>
        <v/>
      </c>
      <c r="U92" s="314" t="str">
        <f>IFERROR(VLOOKUP(基本資料填寫!$E$1&amp;"-"&amp;ROW(書籍檔建置!CA89),基本資料填寫!$E:$EU,COLUMN(基本資料填寫!CE89),0),"")</f>
        <v/>
      </c>
      <c r="V92" s="166" t="str">
        <f>IFERROR(VLOOKUP(基本資料填寫!$E$1&amp;"-"&amp;ROW(書籍檔建置!BL89),基本資料填寫!$E:$EU,COLUMN(基本資料填寫!BP89),0),"")</f>
        <v/>
      </c>
      <c r="W92" s="178"/>
      <c r="X92" s="178"/>
      <c r="Y92" s="178"/>
      <c r="Z92" s="178"/>
      <c r="AA92" s="178"/>
      <c r="AB92" s="178"/>
      <c r="AC92" s="314" t="str">
        <f>IFERROR(VLOOKUP(基本資料填寫!$E$1&amp;"-"&amp;ROW(書籍檔建置!S89),基本資料填寫!$E:$EU,COLUMN(基本資料填寫!W89),0),"")</f>
        <v/>
      </c>
      <c r="AD92" s="166" t="str">
        <f>IFERROR(VLOOKUP(基本資料填寫!$E$1&amp;"-"&amp;ROW(書籍檔建置!BM89),基本資料填寫!$E:$EU,COLUMN(基本資料填寫!BQ89),0),"")</f>
        <v/>
      </c>
      <c r="AE92" s="178"/>
      <c r="AF92" s="178"/>
      <c r="AG92" s="178"/>
      <c r="AH92" s="314" t="str">
        <f>IFERROR(VLOOKUP(基本資料填寫!$E$1&amp;"-"&amp;ROW(書籍檔建置!CB89),基本資料填寫!$E:$EU,COLUMN(基本資料填寫!CF89),0),"")</f>
        <v/>
      </c>
      <c r="AI92" s="314" t="str">
        <f>IFERROR(VLOOKUP(基本資料填寫!$E$1&amp;"-"&amp;ROW(書籍檔建置!CC89),基本資料填寫!$E:$EU,COLUMN(基本資料填寫!CG89),0),"")</f>
        <v/>
      </c>
      <c r="AJ92" s="314" t="str">
        <f>IFERROR(VLOOKUP(基本資料填寫!$E$1&amp;"-"&amp;ROW(書籍檔建置!H89),基本資料填寫!$E:$EU,COLUMN(基本資料填寫!K89),0),"")</f>
        <v/>
      </c>
      <c r="AK92" s="314" t="str">
        <f>IFERROR(VLOOKUP(基本資料填寫!$E$1&amp;"-"&amp;ROW(書籍檔建置!CF89),基本資料填寫!$E:$EU,COLUMN(基本資料填寫!CJ89),0),"")</f>
        <v/>
      </c>
      <c r="AL92" s="314" t="str">
        <f>IFERROR(VLOOKUP(基本資料填寫!$E$1&amp;"-"&amp;ROW(書籍檔建置!CG89),基本資料填寫!$E:$EU,COLUMN(基本資料填寫!CK89),0),"")</f>
        <v/>
      </c>
      <c r="AM92" s="314" t="str">
        <f>IFERROR(VLOOKUP(基本資料填寫!$E$1&amp;"-"&amp;ROW(書籍檔建置!BP89),基本資料填寫!$E:$EU,COLUMN(基本資料填寫!BT89),0),"")</f>
        <v/>
      </c>
      <c r="AN92" s="153"/>
    </row>
    <row r="93" spans="2:40" x14ac:dyDescent="0.3">
      <c r="B93" s="47" t="str">
        <f>IF(F93="","",COUNTA($F$4:F93))</f>
        <v/>
      </c>
      <c r="C93" s="314" t="str">
        <f>IFERROR(VLOOKUP(基本資料填寫!$E$1&amp;"-"&amp;ROW(書籍檔建置!K90),基本資料填寫!$E:$EU,COLUMN(基本資料填寫!O90),0),"")</f>
        <v/>
      </c>
      <c r="D93" s="314" t="str">
        <f>IFERROR(VLOOKUP(基本資料填寫!$E$1&amp;"-"&amp;ROW(書籍檔建置!N90),基本資料填寫!$E:$EU,COLUMN(基本資料填寫!R90),0),"")</f>
        <v/>
      </c>
      <c r="E93" s="314" t="str">
        <f>IFERROR(VLOOKUP(基本資料填寫!$E$1&amp;"-"&amp;ROW(書籍檔建置!AF90),基本資料填寫!$E:$EU,COLUMN(基本資料填寫!AJ90),0),"")</f>
        <v/>
      </c>
      <c r="F93" s="314" t="str">
        <f>IFERROR(VLOOKUP(基本資料填寫!$E$1&amp;"-"&amp;ROW(書籍檔建置!J90),基本資料填寫!$E:$EU,COLUMN(基本資料填寫!N90),0),"")</f>
        <v/>
      </c>
      <c r="G93" s="314" t="str">
        <f>IFERROR(VLOOKUP(基本資料填寫!$E$1&amp;"-"&amp;ROW(書籍檔建置!BO90),基本資料填寫!$E:$EU,COLUMN(基本資料填寫!BS90),0),"")</f>
        <v/>
      </c>
      <c r="H93" s="314" t="str">
        <f>IFERROR(VLOOKUP(基本資料填寫!$E$1&amp;"-"&amp;ROW(書籍檔建置!R90),基本資料填寫!$E:$EU,COLUMN(基本資料填寫!V90),0),"")</f>
        <v/>
      </c>
      <c r="I93" s="315" t="str">
        <f>IFERROR(VLOOKUP(基本資料填寫!$E$1&amp;"-"&amp;ROW(書籍檔建置!BQ90),基本資料填寫!$E:$EU,COLUMN(基本資料填寫!BU90),0),"")</f>
        <v/>
      </c>
      <c r="J93" s="314" t="str">
        <f>IFERROR(VLOOKUP(基本資料填寫!$E$1&amp;"-"&amp;ROW(書籍檔建置!BW90),基本資料填寫!$E:$EU,COLUMN(基本資料填寫!CA90),0),"")</f>
        <v/>
      </c>
      <c r="K93" s="314" t="str">
        <f>IFERROR(VLOOKUP(基本資料填寫!$E$1&amp;"-"&amp;ROW(書籍檔建置!BR90),基本資料填寫!$E:$EU,COLUMN(基本資料填寫!BV90),0),"")</f>
        <v/>
      </c>
      <c r="L93" s="314" t="str">
        <f>IFERROR(VLOOKUP(基本資料填寫!$E$1&amp;"-"&amp;ROW(書籍檔建置!BS90),基本資料填寫!$E:$EU,COLUMN(基本資料填寫!BW90),0),"")</f>
        <v/>
      </c>
      <c r="M93" s="166" t="str">
        <f>IFERROR(VLOOKUP(基本資料填寫!$E$1&amp;"-"&amp;ROW(書籍檔建置!BK90),基本資料填寫!$E:$EU,COLUMN(基本資料填寫!BO90),0),"")</f>
        <v/>
      </c>
      <c r="N93" s="314" t="str">
        <f>IFERROR(VLOOKUP(基本資料填寫!$E$1&amp;"-"&amp;ROW(書籍檔建置!AG90),基本資料填寫!$E:$EU,COLUMN(基本資料填寫!AK90),0),"")</f>
        <v/>
      </c>
      <c r="O93" s="314" t="str">
        <f>IFERROR(VLOOKUP(基本資料填寫!$E$1&amp;"-"&amp;ROW(書籍檔建置!BT90),基本資料填寫!$E:$EU,COLUMN(基本資料填寫!BX90),0),"")</f>
        <v/>
      </c>
      <c r="P93" s="314" t="str">
        <f>IFERROR(VLOOKUP(基本資料填寫!$E$1&amp;"-"&amp;ROW(書籍檔建置!BU90),基本資料填寫!$E:$EU,COLUMN(基本資料填寫!BY90),0),"")</f>
        <v/>
      </c>
      <c r="Q93" s="314" t="str">
        <f>IFERROR(VLOOKUP(基本資料填寫!$E$1&amp;"-"&amp;ROW(書籍檔建置!BV90),基本資料填寫!$E:$EU,COLUMN(基本資料填寫!BZ90),0),"")</f>
        <v/>
      </c>
      <c r="R93" s="314" t="str">
        <f>IFERROR(VLOOKUP(基本資料填寫!$E$1&amp;"-"&amp;ROW(書籍檔建置!BX90),基本資料填寫!$E:$EU,COLUMN(基本資料填寫!CB90),0),"")</f>
        <v/>
      </c>
      <c r="S93" s="314" t="str">
        <f>IFERROR(VLOOKUP(基本資料填寫!$E$1&amp;"-"&amp;ROW(書籍檔建置!BY90),基本資料填寫!$E:$EU,COLUMN(基本資料填寫!CC90),0),"")</f>
        <v/>
      </c>
      <c r="T93" s="314" t="str">
        <f>IFERROR(VLOOKUP(基本資料填寫!$E$1&amp;"-"&amp;ROW(書籍檔建置!BZ90),基本資料填寫!$E:$EU,COLUMN(基本資料填寫!CD90),0),"")</f>
        <v/>
      </c>
      <c r="U93" s="314" t="str">
        <f>IFERROR(VLOOKUP(基本資料填寫!$E$1&amp;"-"&amp;ROW(書籍檔建置!CA90),基本資料填寫!$E:$EU,COLUMN(基本資料填寫!CE90),0),"")</f>
        <v/>
      </c>
      <c r="V93" s="166" t="str">
        <f>IFERROR(VLOOKUP(基本資料填寫!$E$1&amp;"-"&amp;ROW(書籍檔建置!BL90),基本資料填寫!$E:$EU,COLUMN(基本資料填寫!BP90),0),"")</f>
        <v/>
      </c>
      <c r="W93" s="178"/>
      <c r="X93" s="178"/>
      <c r="Y93" s="178"/>
      <c r="Z93" s="178"/>
      <c r="AA93" s="178"/>
      <c r="AB93" s="178"/>
      <c r="AC93" s="314" t="str">
        <f>IFERROR(VLOOKUP(基本資料填寫!$E$1&amp;"-"&amp;ROW(書籍檔建置!S90),基本資料填寫!$E:$EU,COLUMN(基本資料填寫!W90),0),"")</f>
        <v/>
      </c>
      <c r="AD93" s="166" t="str">
        <f>IFERROR(VLOOKUP(基本資料填寫!$E$1&amp;"-"&amp;ROW(書籍檔建置!BM90),基本資料填寫!$E:$EU,COLUMN(基本資料填寫!BQ90),0),"")</f>
        <v/>
      </c>
      <c r="AE93" s="178"/>
      <c r="AF93" s="178"/>
      <c r="AG93" s="178"/>
      <c r="AH93" s="314" t="str">
        <f>IFERROR(VLOOKUP(基本資料填寫!$E$1&amp;"-"&amp;ROW(書籍檔建置!CB90),基本資料填寫!$E:$EU,COLUMN(基本資料填寫!CF90),0),"")</f>
        <v/>
      </c>
      <c r="AI93" s="314" t="str">
        <f>IFERROR(VLOOKUP(基本資料填寫!$E$1&amp;"-"&amp;ROW(書籍檔建置!CC90),基本資料填寫!$E:$EU,COLUMN(基本資料填寫!CG90),0),"")</f>
        <v/>
      </c>
      <c r="AJ93" s="314" t="str">
        <f>IFERROR(VLOOKUP(基本資料填寫!$E$1&amp;"-"&amp;ROW(書籍檔建置!H90),基本資料填寫!$E:$EU,COLUMN(基本資料填寫!K90),0),"")</f>
        <v/>
      </c>
      <c r="AK93" s="314" t="str">
        <f>IFERROR(VLOOKUP(基本資料填寫!$E$1&amp;"-"&amp;ROW(書籍檔建置!CF90),基本資料填寫!$E:$EU,COLUMN(基本資料填寫!CJ90),0),"")</f>
        <v/>
      </c>
      <c r="AL93" s="314" t="str">
        <f>IFERROR(VLOOKUP(基本資料填寫!$E$1&amp;"-"&amp;ROW(書籍檔建置!CG90),基本資料填寫!$E:$EU,COLUMN(基本資料填寫!CK90),0),"")</f>
        <v/>
      </c>
      <c r="AM93" s="314" t="str">
        <f>IFERROR(VLOOKUP(基本資料填寫!$E$1&amp;"-"&amp;ROW(書籍檔建置!BP90),基本資料填寫!$E:$EU,COLUMN(基本資料填寫!BT90),0),"")</f>
        <v/>
      </c>
      <c r="AN93" s="153"/>
    </row>
    <row r="94" spans="2:40" x14ac:dyDescent="0.3">
      <c r="B94" s="47" t="str">
        <f>IF(F94="","",COUNTA($F$4:F94))</f>
        <v/>
      </c>
      <c r="C94" s="314" t="str">
        <f>IFERROR(VLOOKUP(基本資料填寫!$E$1&amp;"-"&amp;ROW(書籍檔建置!K91),基本資料填寫!$E:$EU,COLUMN(基本資料填寫!O91),0),"")</f>
        <v/>
      </c>
      <c r="D94" s="314" t="str">
        <f>IFERROR(VLOOKUP(基本資料填寫!$E$1&amp;"-"&amp;ROW(書籍檔建置!N91),基本資料填寫!$E:$EU,COLUMN(基本資料填寫!R91),0),"")</f>
        <v/>
      </c>
      <c r="E94" s="314" t="str">
        <f>IFERROR(VLOOKUP(基本資料填寫!$E$1&amp;"-"&amp;ROW(書籍檔建置!AF91),基本資料填寫!$E:$EU,COLUMN(基本資料填寫!AJ91),0),"")</f>
        <v/>
      </c>
      <c r="F94" s="314" t="str">
        <f>IFERROR(VLOOKUP(基本資料填寫!$E$1&amp;"-"&amp;ROW(書籍檔建置!J91),基本資料填寫!$E:$EU,COLUMN(基本資料填寫!N91),0),"")</f>
        <v/>
      </c>
      <c r="G94" s="314" t="str">
        <f>IFERROR(VLOOKUP(基本資料填寫!$E$1&amp;"-"&amp;ROW(書籍檔建置!BO91),基本資料填寫!$E:$EU,COLUMN(基本資料填寫!BS91),0),"")</f>
        <v/>
      </c>
      <c r="H94" s="314" t="str">
        <f>IFERROR(VLOOKUP(基本資料填寫!$E$1&amp;"-"&amp;ROW(書籍檔建置!R91),基本資料填寫!$E:$EU,COLUMN(基本資料填寫!V91),0),"")</f>
        <v/>
      </c>
      <c r="I94" s="315" t="str">
        <f>IFERROR(VLOOKUP(基本資料填寫!$E$1&amp;"-"&amp;ROW(書籍檔建置!BQ91),基本資料填寫!$E:$EU,COLUMN(基本資料填寫!BU91),0),"")</f>
        <v/>
      </c>
      <c r="J94" s="314" t="str">
        <f>IFERROR(VLOOKUP(基本資料填寫!$E$1&amp;"-"&amp;ROW(書籍檔建置!BW91),基本資料填寫!$E:$EU,COLUMN(基本資料填寫!CA91),0),"")</f>
        <v/>
      </c>
      <c r="K94" s="314" t="str">
        <f>IFERROR(VLOOKUP(基本資料填寫!$E$1&amp;"-"&amp;ROW(書籍檔建置!BR91),基本資料填寫!$E:$EU,COLUMN(基本資料填寫!BV91),0),"")</f>
        <v/>
      </c>
      <c r="L94" s="314" t="str">
        <f>IFERROR(VLOOKUP(基本資料填寫!$E$1&amp;"-"&amp;ROW(書籍檔建置!BS91),基本資料填寫!$E:$EU,COLUMN(基本資料填寫!BW91),0),"")</f>
        <v/>
      </c>
      <c r="M94" s="166" t="str">
        <f>IFERROR(VLOOKUP(基本資料填寫!$E$1&amp;"-"&amp;ROW(書籍檔建置!BK91),基本資料填寫!$E:$EU,COLUMN(基本資料填寫!BO91),0),"")</f>
        <v/>
      </c>
      <c r="N94" s="314" t="str">
        <f>IFERROR(VLOOKUP(基本資料填寫!$E$1&amp;"-"&amp;ROW(書籍檔建置!AG91),基本資料填寫!$E:$EU,COLUMN(基本資料填寫!AK91),0),"")</f>
        <v/>
      </c>
      <c r="O94" s="314" t="str">
        <f>IFERROR(VLOOKUP(基本資料填寫!$E$1&amp;"-"&amp;ROW(書籍檔建置!BT91),基本資料填寫!$E:$EU,COLUMN(基本資料填寫!BX91),0),"")</f>
        <v/>
      </c>
      <c r="P94" s="314" t="str">
        <f>IFERROR(VLOOKUP(基本資料填寫!$E$1&amp;"-"&amp;ROW(書籍檔建置!BU91),基本資料填寫!$E:$EU,COLUMN(基本資料填寫!BY91),0),"")</f>
        <v/>
      </c>
      <c r="Q94" s="314" t="str">
        <f>IFERROR(VLOOKUP(基本資料填寫!$E$1&amp;"-"&amp;ROW(書籍檔建置!BV91),基本資料填寫!$E:$EU,COLUMN(基本資料填寫!BZ91),0),"")</f>
        <v/>
      </c>
      <c r="R94" s="314" t="str">
        <f>IFERROR(VLOOKUP(基本資料填寫!$E$1&amp;"-"&amp;ROW(書籍檔建置!BX91),基本資料填寫!$E:$EU,COLUMN(基本資料填寫!CB91),0),"")</f>
        <v/>
      </c>
      <c r="S94" s="314" t="str">
        <f>IFERROR(VLOOKUP(基本資料填寫!$E$1&amp;"-"&amp;ROW(書籍檔建置!BY91),基本資料填寫!$E:$EU,COLUMN(基本資料填寫!CC91),0),"")</f>
        <v/>
      </c>
      <c r="T94" s="314" t="str">
        <f>IFERROR(VLOOKUP(基本資料填寫!$E$1&amp;"-"&amp;ROW(書籍檔建置!BZ91),基本資料填寫!$E:$EU,COLUMN(基本資料填寫!CD91),0),"")</f>
        <v/>
      </c>
      <c r="U94" s="314" t="str">
        <f>IFERROR(VLOOKUP(基本資料填寫!$E$1&amp;"-"&amp;ROW(書籍檔建置!CA91),基本資料填寫!$E:$EU,COLUMN(基本資料填寫!CE91),0),"")</f>
        <v/>
      </c>
      <c r="V94" s="166" t="str">
        <f>IFERROR(VLOOKUP(基本資料填寫!$E$1&amp;"-"&amp;ROW(書籍檔建置!BL91),基本資料填寫!$E:$EU,COLUMN(基本資料填寫!BP91),0),"")</f>
        <v/>
      </c>
      <c r="W94" s="178"/>
      <c r="X94" s="178"/>
      <c r="Y94" s="178"/>
      <c r="Z94" s="178"/>
      <c r="AA94" s="178"/>
      <c r="AB94" s="178"/>
      <c r="AC94" s="314" t="str">
        <f>IFERROR(VLOOKUP(基本資料填寫!$E$1&amp;"-"&amp;ROW(書籍檔建置!S91),基本資料填寫!$E:$EU,COLUMN(基本資料填寫!W91),0),"")</f>
        <v/>
      </c>
      <c r="AD94" s="166" t="str">
        <f>IFERROR(VLOOKUP(基本資料填寫!$E$1&amp;"-"&amp;ROW(書籍檔建置!BM91),基本資料填寫!$E:$EU,COLUMN(基本資料填寫!BQ91),0),"")</f>
        <v/>
      </c>
      <c r="AE94" s="178"/>
      <c r="AF94" s="178"/>
      <c r="AG94" s="178"/>
      <c r="AH94" s="314" t="str">
        <f>IFERROR(VLOOKUP(基本資料填寫!$E$1&amp;"-"&amp;ROW(書籍檔建置!CB91),基本資料填寫!$E:$EU,COLUMN(基本資料填寫!CF91),0),"")</f>
        <v/>
      </c>
      <c r="AI94" s="314" t="str">
        <f>IFERROR(VLOOKUP(基本資料填寫!$E$1&amp;"-"&amp;ROW(書籍檔建置!CC91),基本資料填寫!$E:$EU,COLUMN(基本資料填寫!CG91),0),"")</f>
        <v/>
      </c>
      <c r="AJ94" s="314" t="str">
        <f>IFERROR(VLOOKUP(基本資料填寫!$E$1&amp;"-"&amp;ROW(書籍檔建置!H91),基本資料填寫!$E:$EU,COLUMN(基本資料填寫!K91),0),"")</f>
        <v/>
      </c>
      <c r="AK94" s="314" t="str">
        <f>IFERROR(VLOOKUP(基本資料填寫!$E$1&amp;"-"&amp;ROW(書籍檔建置!CF91),基本資料填寫!$E:$EU,COLUMN(基本資料填寫!CJ91),0),"")</f>
        <v/>
      </c>
      <c r="AL94" s="314" t="str">
        <f>IFERROR(VLOOKUP(基本資料填寫!$E$1&amp;"-"&amp;ROW(書籍檔建置!CG91),基本資料填寫!$E:$EU,COLUMN(基本資料填寫!CK91),0),"")</f>
        <v/>
      </c>
      <c r="AM94" s="314" t="str">
        <f>IFERROR(VLOOKUP(基本資料填寫!$E$1&amp;"-"&amp;ROW(書籍檔建置!BP91),基本資料填寫!$E:$EU,COLUMN(基本資料填寫!BT91),0),"")</f>
        <v/>
      </c>
      <c r="AN94" s="153"/>
    </row>
    <row r="95" spans="2:40" x14ac:dyDescent="0.3">
      <c r="B95" s="47" t="str">
        <f>IF(F95="","",COUNTA($F$4:F95))</f>
        <v/>
      </c>
      <c r="C95" s="314" t="str">
        <f>IFERROR(VLOOKUP(基本資料填寫!$E$1&amp;"-"&amp;ROW(書籍檔建置!K92),基本資料填寫!$E:$EU,COLUMN(基本資料填寫!O92),0),"")</f>
        <v/>
      </c>
      <c r="D95" s="314" t="str">
        <f>IFERROR(VLOOKUP(基本資料填寫!$E$1&amp;"-"&amp;ROW(書籍檔建置!N92),基本資料填寫!$E:$EU,COLUMN(基本資料填寫!R92),0),"")</f>
        <v/>
      </c>
      <c r="E95" s="314" t="str">
        <f>IFERROR(VLOOKUP(基本資料填寫!$E$1&amp;"-"&amp;ROW(書籍檔建置!AF92),基本資料填寫!$E:$EU,COLUMN(基本資料填寫!AJ92),0),"")</f>
        <v/>
      </c>
      <c r="F95" s="314" t="str">
        <f>IFERROR(VLOOKUP(基本資料填寫!$E$1&amp;"-"&amp;ROW(書籍檔建置!J92),基本資料填寫!$E:$EU,COLUMN(基本資料填寫!N92),0),"")</f>
        <v/>
      </c>
      <c r="G95" s="314" t="str">
        <f>IFERROR(VLOOKUP(基本資料填寫!$E$1&amp;"-"&amp;ROW(書籍檔建置!BO92),基本資料填寫!$E:$EU,COLUMN(基本資料填寫!BS92),0),"")</f>
        <v/>
      </c>
      <c r="H95" s="314" t="str">
        <f>IFERROR(VLOOKUP(基本資料填寫!$E$1&amp;"-"&amp;ROW(書籍檔建置!R92),基本資料填寫!$E:$EU,COLUMN(基本資料填寫!V92),0),"")</f>
        <v/>
      </c>
      <c r="I95" s="315" t="str">
        <f>IFERROR(VLOOKUP(基本資料填寫!$E$1&amp;"-"&amp;ROW(書籍檔建置!BQ92),基本資料填寫!$E:$EU,COLUMN(基本資料填寫!BU92),0),"")</f>
        <v/>
      </c>
      <c r="J95" s="314" t="str">
        <f>IFERROR(VLOOKUP(基本資料填寫!$E$1&amp;"-"&amp;ROW(書籍檔建置!BW92),基本資料填寫!$E:$EU,COLUMN(基本資料填寫!CA92),0),"")</f>
        <v/>
      </c>
      <c r="K95" s="314" t="str">
        <f>IFERROR(VLOOKUP(基本資料填寫!$E$1&amp;"-"&amp;ROW(書籍檔建置!BR92),基本資料填寫!$E:$EU,COLUMN(基本資料填寫!BV92),0),"")</f>
        <v/>
      </c>
      <c r="L95" s="314" t="str">
        <f>IFERROR(VLOOKUP(基本資料填寫!$E$1&amp;"-"&amp;ROW(書籍檔建置!BS92),基本資料填寫!$E:$EU,COLUMN(基本資料填寫!BW92),0),"")</f>
        <v/>
      </c>
      <c r="M95" s="166" t="str">
        <f>IFERROR(VLOOKUP(基本資料填寫!$E$1&amp;"-"&amp;ROW(書籍檔建置!BK92),基本資料填寫!$E:$EU,COLUMN(基本資料填寫!BO92),0),"")</f>
        <v/>
      </c>
      <c r="N95" s="314" t="str">
        <f>IFERROR(VLOOKUP(基本資料填寫!$E$1&amp;"-"&amp;ROW(書籍檔建置!AG92),基本資料填寫!$E:$EU,COLUMN(基本資料填寫!AK92),0),"")</f>
        <v/>
      </c>
      <c r="O95" s="314" t="str">
        <f>IFERROR(VLOOKUP(基本資料填寫!$E$1&amp;"-"&amp;ROW(書籍檔建置!BT92),基本資料填寫!$E:$EU,COLUMN(基本資料填寫!BX92),0),"")</f>
        <v/>
      </c>
      <c r="P95" s="314" t="str">
        <f>IFERROR(VLOOKUP(基本資料填寫!$E$1&amp;"-"&amp;ROW(書籍檔建置!BU92),基本資料填寫!$E:$EU,COLUMN(基本資料填寫!BY92),0),"")</f>
        <v/>
      </c>
      <c r="Q95" s="314" t="str">
        <f>IFERROR(VLOOKUP(基本資料填寫!$E$1&amp;"-"&amp;ROW(書籍檔建置!BV92),基本資料填寫!$E:$EU,COLUMN(基本資料填寫!BZ92),0),"")</f>
        <v/>
      </c>
      <c r="R95" s="314" t="str">
        <f>IFERROR(VLOOKUP(基本資料填寫!$E$1&amp;"-"&amp;ROW(書籍檔建置!BX92),基本資料填寫!$E:$EU,COLUMN(基本資料填寫!CB92),0),"")</f>
        <v/>
      </c>
      <c r="S95" s="314" t="str">
        <f>IFERROR(VLOOKUP(基本資料填寫!$E$1&amp;"-"&amp;ROW(書籍檔建置!BY92),基本資料填寫!$E:$EU,COLUMN(基本資料填寫!CC92),0),"")</f>
        <v/>
      </c>
      <c r="T95" s="314" t="str">
        <f>IFERROR(VLOOKUP(基本資料填寫!$E$1&amp;"-"&amp;ROW(書籍檔建置!BZ92),基本資料填寫!$E:$EU,COLUMN(基本資料填寫!CD92),0),"")</f>
        <v/>
      </c>
      <c r="U95" s="314" t="str">
        <f>IFERROR(VLOOKUP(基本資料填寫!$E$1&amp;"-"&amp;ROW(書籍檔建置!CA92),基本資料填寫!$E:$EU,COLUMN(基本資料填寫!CE92),0),"")</f>
        <v/>
      </c>
      <c r="V95" s="166" t="str">
        <f>IFERROR(VLOOKUP(基本資料填寫!$E$1&amp;"-"&amp;ROW(書籍檔建置!BL92),基本資料填寫!$E:$EU,COLUMN(基本資料填寫!BP92),0),"")</f>
        <v/>
      </c>
      <c r="W95" s="178"/>
      <c r="X95" s="178"/>
      <c r="Y95" s="178"/>
      <c r="Z95" s="178"/>
      <c r="AA95" s="178"/>
      <c r="AB95" s="178"/>
      <c r="AC95" s="314" t="str">
        <f>IFERROR(VLOOKUP(基本資料填寫!$E$1&amp;"-"&amp;ROW(書籍檔建置!S92),基本資料填寫!$E:$EU,COLUMN(基本資料填寫!W92),0),"")</f>
        <v/>
      </c>
      <c r="AD95" s="166" t="str">
        <f>IFERROR(VLOOKUP(基本資料填寫!$E$1&amp;"-"&amp;ROW(書籍檔建置!BM92),基本資料填寫!$E:$EU,COLUMN(基本資料填寫!BQ92),0),"")</f>
        <v/>
      </c>
      <c r="AE95" s="178"/>
      <c r="AF95" s="178"/>
      <c r="AG95" s="178"/>
      <c r="AH95" s="314" t="str">
        <f>IFERROR(VLOOKUP(基本資料填寫!$E$1&amp;"-"&amp;ROW(書籍檔建置!CB92),基本資料填寫!$E:$EU,COLUMN(基本資料填寫!CF92),0),"")</f>
        <v/>
      </c>
      <c r="AI95" s="314" t="str">
        <f>IFERROR(VLOOKUP(基本資料填寫!$E$1&amp;"-"&amp;ROW(書籍檔建置!CC92),基本資料填寫!$E:$EU,COLUMN(基本資料填寫!CG92),0),"")</f>
        <v/>
      </c>
      <c r="AJ95" s="314" t="str">
        <f>IFERROR(VLOOKUP(基本資料填寫!$E$1&amp;"-"&amp;ROW(書籍檔建置!H92),基本資料填寫!$E:$EU,COLUMN(基本資料填寫!K92),0),"")</f>
        <v/>
      </c>
      <c r="AK95" s="314" t="str">
        <f>IFERROR(VLOOKUP(基本資料填寫!$E$1&amp;"-"&amp;ROW(書籍檔建置!CF92),基本資料填寫!$E:$EU,COLUMN(基本資料填寫!CJ92),0),"")</f>
        <v/>
      </c>
      <c r="AL95" s="314" t="str">
        <f>IFERROR(VLOOKUP(基本資料填寫!$E$1&amp;"-"&amp;ROW(書籍檔建置!CG92),基本資料填寫!$E:$EU,COLUMN(基本資料填寫!CK92),0),"")</f>
        <v/>
      </c>
      <c r="AM95" s="314" t="str">
        <f>IFERROR(VLOOKUP(基本資料填寫!$E$1&amp;"-"&amp;ROW(書籍檔建置!BP92),基本資料填寫!$E:$EU,COLUMN(基本資料填寫!BT92),0),"")</f>
        <v/>
      </c>
      <c r="AN95" s="153"/>
    </row>
    <row r="96" spans="2:40" x14ac:dyDescent="0.3">
      <c r="B96" s="47" t="str">
        <f>IF(F96="","",COUNTA($F$4:F96))</f>
        <v/>
      </c>
      <c r="C96" s="314" t="str">
        <f>IFERROR(VLOOKUP(基本資料填寫!$E$1&amp;"-"&amp;ROW(書籍檔建置!K93),基本資料填寫!$E:$EU,COLUMN(基本資料填寫!O93),0),"")</f>
        <v/>
      </c>
      <c r="D96" s="314" t="str">
        <f>IFERROR(VLOOKUP(基本資料填寫!$E$1&amp;"-"&amp;ROW(書籍檔建置!N93),基本資料填寫!$E:$EU,COLUMN(基本資料填寫!R93),0),"")</f>
        <v/>
      </c>
      <c r="E96" s="314" t="str">
        <f>IFERROR(VLOOKUP(基本資料填寫!$E$1&amp;"-"&amp;ROW(書籍檔建置!AF93),基本資料填寫!$E:$EU,COLUMN(基本資料填寫!AJ93),0),"")</f>
        <v/>
      </c>
      <c r="F96" s="314" t="str">
        <f>IFERROR(VLOOKUP(基本資料填寫!$E$1&amp;"-"&amp;ROW(書籍檔建置!J93),基本資料填寫!$E:$EU,COLUMN(基本資料填寫!N93),0),"")</f>
        <v/>
      </c>
      <c r="G96" s="314" t="str">
        <f>IFERROR(VLOOKUP(基本資料填寫!$E$1&amp;"-"&amp;ROW(書籍檔建置!BO93),基本資料填寫!$E:$EU,COLUMN(基本資料填寫!BS93),0),"")</f>
        <v/>
      </c>
      <c r="H96" s="314" t="str">
        <f>IFERROR(VLOOKUP(基本資料填寫!$E$1&amp;"-"&amp;ROW(書籍檔建置!R93),基本資料填寫!$E:$EU,COLUMN(基本資料填寫!V93),0),"")</f>
        <v/>
      </c>
      <c r="I96" s="315" t="str">
        <f>IFERROR(VLOOKUP(基本資料填寫!$E$1&amp;"-"&amp;ROW(書籍檔建置!BQ93),基本資料填寫!$E:$EU,COLUMN(基本資料填寫!BU93),0),"")</f>
        <v/>
      </c>
      <c r="J96" s="314" t="str">
        <f>IFERROR(VLOOKUP(基本資料填寫!$E$1&amp;"-"&amp;ROW(書籍檔建置!BW93),基本資料填寫!$E:$EU,COLUMN(基本資料填寫!CA93),0),"")</f>
        <v/>
      </c>
      <c r="K96" s="314" t="str">
        <f>IFERROR(VLOOKUP(基本資料填寫!$E$1&amp;"-"&amp;ROW(書籍檔建置!BR93),基本資料填寫!$E:$EU,COLUMN(基本資料填寫!BV93),0),"")</f>
        <v/>
      </c>
      <c r="L96" s="314" t="str">
        <f>IFERROR(VLOOKUP(基本資料填寫!$E$1&amp;"-"&amp;ROW(書籍檔建置!BS93),基本資料填寫!$E:$EU,COLUMN(基本資料填寫!BW93),0),"")</f>
        <v/>
      </c>
      <c r="M96" s="166" t="str">
        <f>IFERROR(VLOOKUP(基本資料填寫!$E$1&amp;"-"&amp;ROW(書籍檔建置!BK93),基本資料填寫!$E:$EU,COLUMN(基本資料填寫!BO93),0),"")</f>
        <v/>
      </c>
      <c r="N96" s="314" t="str">
        <f>IFERROR(VLOOKUP(基本資料填寫!$E$1&amp;"-"&amp;ROW(書籍檔建置!AG93),基本資料填寫!$E:$EU,COLUMN(基本資料填寫!AK93),0),"")</f>
        <v/>
      </c>
      <c r="O96" s="314" t="str">
        <f>IFERROR(VLOOKUP(基本資料填寫!$E$1&amp;"-"&amp;ROW(書籍檔建置!BT93),基本資料填寫!$E:$EU,COLUMN(基本資料填寫!BX93),0),"")</f>
        <v/>
      </c>
      <c r="P96" s="314" t="str">
        <f>IFERROR(VLOOKUP(基本資料填寫!$E$1&amp;"-"&amp;ROW(書籍檔建置!BU93),基本資料填寫!$E:$EU,COLUMN(基本資料填寫!BY93),0),"")</f>
        <v/>
      </c>
      <c r="Q96" s="314" t="str">
        <f>IFERROR(VLOOKUP(基本資料填寫!$E$1&amp;"-"&amp;ROW(書籍檔建置!BV93),基本資料填寫!$E:$EU,COLUMN(基本資料填寫!BZ93),0),"")</f>
        <v/>
      </c>
      <c r="R96" s="314" t="str">
        <f>IFERROR(VLOOKUP(基本資料填寫!$E$1&amp;"-"&amp;ROW(書籍檔建置!BX93),基本資料填寫!$E:$EU,COLUMN(基本資料填寫!CB93),0),"")</f>
        <v/>
      </c>
      <c r="S96" s="314" t="str">
        <f>IFERROR(VLOOKUP(基本資料填寫!$E$1&amp;"-"&amp;ROW(書籍檔建置!BY93),基本資料填寫!$E:$EU,COLUMN(基本資料填寫!CC93),0),"")</f>
        <v/>
      </c>
      <c r="T96" s="314" t="str">
        <f>IFERROR(VLOOKUP(基本資料填寫!$E$1&amp;"-"&amp;ROW(書籍檔建置!BZ93),基本資料填寫!$E:$EU,COLUMN(基本資料填寫!CD93),0),"")</f>
        <v/>
      </c>
      <c r="U96" s="314" t="str">
        <f>IFERROR(VLOOKUP(基本資料填寫!$E$1&amp;"-"&amp;ROW(書籍檔建置!CA93),基本資料填寫!$E:$EU,COLUMN(基本資料填寫!CE93),0),"")</f>
        <v/>
      </c>
      <c r="V96" s="166" t="str">
        <f>IFERROR(VLOOKUP(基本資料填寫!$E$1&amp;"-"&amp;ROW(書籍檔建置!BL93),基本資料填寫!$E:$EU,COLUMN(基本資料填寫!BP93),0),"")</f>
        <v/>
      </c>
      <c r="W96" s="178"/>
      <c r="X96" s="178"/>
      <c r="Y96" s="178"/>
      <c r="Z96" s="178"/>
      <c r="AA96" s="178"/>
      <c r="AB96" s="178"/>
      <c r="AC96" s="314" t="str">
        <f>IFERROR(VLOOKUP(基本資料填寫!$E$1&amp;"-"&amp;ROW(書籍檔建置!S93),基本資料填寫!$E:$EU,COLUMN(基本資料填寫!W93),0),"")</f>
        <v/>
      </c>
      <c r="AD96" s="166" t="str">
        <f>IFERROR(VLOOKUP(基本資料填寫!$E$1&amp;"-"&amp;ROW(書籍檔建置!BM93),基本資料填寫!$E:$EU,COLUMN(基本資料填寫!BQ93),0),"")</f>
        <v/>
      </c>
      <c r="AE96" s="178"/>
      <c r="AF96" s="178"/>
      <c r="AG96" s="178"/>
      <c r="AH96" s="314" t="str">
        <f>IFERROR(VLOOKUP(基本資料填寫!$E$1&amp;"-"&amp;ROW(書籍檔建置!CB93),基本資料填寫!$E:$EU,COLUMN(基本資料填寫!CF93),0),"")</f>
        <v/>
      </c>
      <c r="AI96" s="314" t="str">
        <f>IFERROR(VLOOKUP(基本資料填寫!$E$1&amp;"-"&amp;ROW(書籍檔建置!CC93),基本資料填寫!$E:$EU,COLUMN(基本資料填寫!CG93),0),"")</f>
        <v/>
      </c>
      <c r="AJ96" s="314" t="str">
        <f>IFERROR(VLOOKUP(基本資料填寫!$E$1&amp;"-"&amp;ROW(書籍檔建置!H93),基本資料填寫!$E:$EU,COLUMN(基本資料填寫!K93),0),"")</f>
        <v/>
      </c>
      <c r="AK96" s="314" t="str">
        <f>IFERROR(VLOOKUP(基本資料填寫!$E$1&amp;"-"&amp;ROW(書籍檔建置!CF93),基本資料填寫!$E:$EU,COLUMN(基本資料填寫!CJ93),0),"")</f>
        <v/>
      </c>
      <c r="AL96" s="314" t="str">
        <f>IFERROR(VLOOKUP(基本資料填寫!$E$1&amp;"-"&amp;ROW(書籍檔建置!CG93),基本資料填寫!$E:$EU,COLUMN(基本資料填寫!CK93),0),"")</f>
        <v/>
      </c>
      <c r="AM96" s="314" t="str">
        <f>IFERROR(VLOOKUP(基本資料填寫!$E$1&amp;"-"&amp;ROW(書籍檔建置!BP93),基本資料填寫!$E:$EU,COLUMN(基本資料填寫!BT93),0),"")</f>
        <v/>
      </c>
      <c r="AN96" s="153"/>
    </row>
    <row r="97" spans="2:40" x14ac:dyDescent="0.3">
      <c r="B97" s="47" t="str">
        <f>IF(F97="","",COUNTA($F$4:F97))</f>
        <v/>
      </c>
      <c r="C97" s="314" t="str">
        <f>IFERROR(VLOOKUP(基本資料填寫!$E$1&amp;"-"&amp;ROW(書籍檔建置!K94),基本資料填寫!$E:$EU,COLUMN(基本資料填寫!O94),0),"")</f>
        <v/>
      </c>
      <c r="D97" s="314" t="str">
        <f>IFERROR(VLOOKUP(基本資料填寫!$E$1&amp;"-"&amp;ROW(書籍檔建置!N94),基本資料填寫!$E:$EU,COLUMN(基本資料填寫!R94),0),"")</f>
        <v/>
      </c>
      <c r="E97" s="314" t="str">
        <f>IFERROR(VLOOKUP(基本資料填寫!$E$1&amp;"-"&amp;ROW(書籍檔建置!AF94),基本資料填寫!$E:$EU,COLUMN(基本資料填寫!AJ94),0),"")</f>
        <v/>
      </c>
      <c r="F97" s="314" t="str">
        <f>IFERROR(VLOOKUP(基本資料填寫!$E$1&amp;"-"&amp;ROW(書籍檔建置!J94),基本資料填寫!$E:$EU,COLUMN(基本資料填寫!N94),0),"")</f>
        <v/>
      </c>
      <c r="G97" s="314" t="str">
        <f>IFERROR(VLOOKUP(基本資料填寫!$E$1&amp;"-"&amp;ROW(書籍檔建置!BO94),基本資料填寫!$E:$EU,COLUMN(基本資料填寫!BS94),0),"")</f>
        <v/>
      </c>
      <c r="H97" s="314" t="str">
        <f>IFERROR(VLOOKUP(基本資料填寫!$E$1&amp;"-"&amp;ROW(書籍檔建置!R94),基本資料填寫!$E:$EU,COLUMN(基本資料填寫!V94),0),"")</f>
        <v/>
      </c>
      <c r="I97" s="315" t="str">
        <f>IFERROR(VLOOKUP(基本資料填寫!$E$1&amp;"-"&amp;ROW(書籍檔建置!BQ94),基本資料填寫!$E:$EU,COLUMN(基本資料填寫!BU94),0),"")</f>
        <v/>
      </c>
      <c r="J97" s="314" t="str">
        <f>IFERROR(VLOOKUP(基本資料填寫!$E$1&amp;"-"&amp;ROW(書籍檔建置!BW94),基本資料填寫!$E:$EU,COLUMN(基本資料填寫!CA94),0),"")</f>
        <v/>
      </c>
      <c r="K97" s="314" t="str">
        <f>IFERROR(VLOOKUP(基本資料填寫!$E$1&amp;"-"&amp;ROW(書籍檔建置!BR94),基本資料填寫!$E:$EU,COLUMN(基本資料填寫!BV94),0),"")</f>
        <v/>
      </c>
      <c r="L97" s="314" t="str">
        <f>IFERROR(VLOOKUP(基本資料填寫!$E$1&amp;"-"&amp;ROW(書籍檔建置!BS94),基本資料填寫!$E:$EU,COLUMN(基本資料填寫!BW94),0),"")</f>
        <v/>
      </c>
      <c r="M97" s="166" t="str">
        <f>IFERROR(VLOOKUP(基本資料填寫!$E$1&amp;"-"&amp;ROW(書籍檔建置!BK94),基本資料填寫!$E:$EU,COLUMN(基本資料填寫!BO94),0),"")</f>
        <v/>
      </c>
      <c r="N97" s="314" t="str">
        <f>IFERROR(VLOOKUP(基本資料填寫!$E$1&amp;"-"&amp;ROW(書籍檔建置!AG94),基本資料填寫!$E:$EU,COLUMN(基本資料填寫!AK94),0),"")</f>
        <v/>
      </c>
      <c r="O97" s="314" t="str">
        <f>IFERROR(VLOOKUP(基本資料填寫!$E$1&amp;"-"&amp;ROW(書籍檔建置!BT94),基本資料填寫!$E:$EU,COLUMN(基本資料填寫!BX94),0),"")</f>
        <v/>
      </c>
      <c r="P97" s="314" t="str">
        <f>IFERROR(VLOOKUP(基本資料填寫!$E$1&amp;"-"&amp;ROW(書籍檔建置!BU94),基本資料填寫!$E:$EU,COLUMN(基本資料填寫!BY94),0),"")</f>
        <v/>
      </c>
      <c r="Q97" s="314" t="str">
        <f>IFERROR(VLOOKUP(基本資料填寫!$E$1&amp;"-"&amp;ROW(書籍檔建置!BV94),基本資料填寫!$E:$EU,COLUMN(基本資料填寫!BZ94),0),"")</f>
        <v/>
      </c>
      <c r="R97" s="314" t="str">
        <f>IFERROR(VLOOKUP(基本資料填寫!$E$1&amp;"-"&amp;ROW(書籍檔建置!BX94),基本資料填寫!$E:$EU,COLUMN(基本資料填寫!CB94),0),"")</f>
        <v/>
      </c>
      <c r="S97" s="314" t="str">
        <f>IFERROR(VLOOKUP(基本資料填寫!$E$1&amp;"-"&amp;ROW(書籍檔建置!BY94),基本資料填寫!$E:$EU,COLUMN(基本資料填寫!CC94),0),"")</f>
        <v/>
      </c>
      <c r="T97" s="314" t="str">
        <f>IFERROR(VLOOKUP(基本資料填寫!$E$1&amp;"-"&amp;ROW(書籍檔建置!BZ94),基本資料填寫!$E:$EU,COLUMN(基本資料填寫!CD94),0),"")</f>
        <v/>
      </c>
      <c r="U97" s="314" t="str">
        <f>IFERROR(VLOOKUP(基本資料填寫!$E$1&amp;"-"&amp;ROW(書籍檔建置!CA94),基本資料填寫!$E:$EU,COLUMN(基本資料填寫!CE94),0),"")</f>
        <v/>
      </c>
      <c r="V97" s="166" t="str">
        <f>IFERROR(VLOOKUP(基本資料填寫!$E$1&amp;"-"&amp;ROW(書籍檔建置!BL94),基本資料填寫!$E:$EU,COLUMN(基本資料填寫!BP94),0),"")</f>
        <v/>
      </c>
      <c r="W97" s="178"/>
      <c r="X97" s="178"/>
      <c r="Y97" s="178"/>
      <c r="Z97" s="178"/>
      <c r="AA97" s="178"/>
      <c r="AB97" s="178"/>
      <c r="AC97" s="314" t="str">
        <f>IFERROR(VLOOKUP(基本資料填寫!$E$1&amp;"-"&amp;ROW(書籍檔建置!S94),基本資料填寫!$E:$EU,COLUMN(基本資料填寫!W94),0),"")</f>
        <v/>
      </c>
      <c r="AD97" s="166" t="str">
        <f>IFERROR(VLOOKUP(基本資料填寫!$E$1&amp;"-"&amp;ROW(書籍檔建置!BM94),基本資料填寫!$E:$EU,COLUMN(基本資料填寫!BQ94),0),"")</f>
        <v/>
      </c>
      <c r="AE97" s="178"/>
      <c r="AF97" s="178"/>
      <c r="AG97" s="178"/>
      <c r="AH97" s="314" t="str">
        <f>IFERROR(VLOOKUP(基本資料填寫!$E$1&amp;"-"&amp;ROW(書籍檔建置!CB94),基本資料填寫!$E:$EU,COLUMN(基本資料填寫!CF94),0),"")</f>
        <v/>
      </c>
      <c r="AI97" s="314" t="str">
        <f>IFERROR(VLOOKUP(基本資料填寫!$E$1&amp;"-"&amp;ROW(書籍檔建置!CC94),基本資料填寫!$E:$EU,COLUMN(基本資料填寫!CG94),0),"")</f>
        <v/>
      </c>
      <c r="AJ97" s="314" t="str">
        <f>IFERROR(VLOOKUP(基本資料填寫!$E$1&amp;"-"&amp;ROW(書籍檔建置!H94),基本資料填寫!$E:$EU,COLUMN(基本資料填寫!K94),0),"")</f>
        <v/>
      </c>
      <c r="AK97" s="314" t="str">
        <f>IFERROR(VLOOKUP(基本資料填寫!$E$1&amp;"-"&amp;ROW(書籍檔建置!CF94),基本資料填寫!$E:$EU,COLUMN(基本資料填寫!CJ94),0),"")</f>
        <v/>
      </c>
      <c r="AL97" s="314" t="str">
        <f>IFERROR(VLOOKUP(基本資料填寫!$E$1&amp;"-"&amp;ROW(書籍檔建置!CG94),基本資料填寫!$E:$EU,COLUMN(基本資料填寫!CK94),0),"")</f>
        <v/>
      </c>
      <c r="AM97" s="314" t="str">
        <f>IFERROR(VLOOKUP(基本資料填寫!$E$1&amp;"-"&amp;ROW(書籍檔建置!BP94),基本資料填寫!$E:$EU,COLUMN(基本資料填寫!BT94),0),"")</f>
        <v/>
      </c>
      <c r="AN97" s="153"/>
    </row>
    <row r="98" spans="2:40" x14ac:dyDescent="0.3">
      <c r="B98" s="47" t="str">
        <f>IF(F98="","",COUNTA($F$4:F98))</f>
        <v/>
      </c>
      <c r="C98" s="314" t="str">
        <f>IFERROR(VLOOKUP(基本資料填寫!$E$1&amp;"-"&amp;ROW(書籍檔建置!K95),基本資料填寫!$E:$EU,COLUMN(基本資料填寫!O95),0),"")</f>
        <v/>
      </c>
      <c r="D98" s="314" t="str">
        <f>IFERROR(VLOOKUP(基本資料填寫!$E$1&amp;"-"&amp;ROW(書籍檔建置!N95),基本資料填寫!$E:$EU,COLUMN(基本資料填寫!R95),0),"")</f>
        <v/>
      </c>
      <c r="E98" s="314" t="str">
        <f>IFERROR(VLOOKUP(基本資料填寫!$E$1&amp;"-"&amp;ROW(書籍檔建置!AF95),基本資料填寫!$E:$EU,COLUMN(基本資料填寫!AJ95),0),"")</f>
        <v/>
      </c>
      <c r="F98" s="314" t="str">
        <f>IFERROR(VLOOKUP(基本資料填寫!$E$1&amp;"-"&amp;ROW(書籍檔建置!J95),基本資料填寫!$E:$EU,COLUMN(基本資料填寫!N95),0),"")</f>
        <v/>
      </c>
      <c r="G98" s="314" t="str">
        <f>IFERROR(VLOOKUP(基本資料填寫!$E$1&amp;"-"&amp;ROW(書籍檔建置!BO95),基本資料填寫!$E:$EU,COLUMN(基本資料填寫!BS95),0),"")</f>
        <v/>
      </c>
      <c r="H98" s="314" t="str">
        <f>IFERROR(VLOOKUP(基本資料填寫!$E$1&amp;"-"&amp;ROW(書籍檔建置!R95),基本資料填寫!$E:$EU,COLUMN(基本資料填寫!V95),0),"")</f>
        <v/>
      </c>
      <c r="I98" s="315" t="str">
        <f>IFERROR(VLOOKUP(基本資料填寫!$E$1&amp;"-"&amp;ROW(書籍檔建置!BQ95),基本資料填寫!$E:$EU,COLUMN(基本資料填寫!BU95),0),"")</f>
        <v/>
      </c>
      <c r="J98" s="314" t="str">
        <f>IFERROR(VLOOKUP(基本資料填寫!$E$1&amp;"-"&amp;ROW(書籍檔建置!BW95),基本資料填寫!$E:$EU,COLUMN(基本資料填寫!CA95),0),"")</f>
        <v/>
      </c>
      <c r="K98" s="314" t="str">
        <f>IFERROR(VLOOKUP(基本資料填寫!$E$1&amp;"-"&amp;ROW(書籍檔建置!BR95),基本資料填寫!$E:$EU,COLUMN(基本資料填寫!BV95),0),"")</f>
        <v/>
      </c>
      <c r="L98" s="314" t="str">
        <f>IFERROR(VLOOKUP(基本資料填寫!$E$1&amp;"-"&amp;ROW(書籍檔建置!BS95),基本資料填寫!$E:$EU,COLUMN(基本資料填寫!BW95),0),"")</f>
        <v/>
      </c>
      <c r="M98" s="166" t="str">
        <f>IFERROR(VLOOKUP(基本資料填寫!$E$1&amp;"-"&amp;ROW(書籍檔建置!BK95),基本資料填寫!$E:$EU,COLUMN(基本資料填寫!BO95),0),"")</f>
        <v/>
      </c>
      <c r="N98" s="314" t="str">
        <f>IFERROR(VLOOKUP(基本資料填寫!$E$1&amp;"-"&amp;ROW(書籍檔建置!AG95),基本資料填寫!$E:$EU,COLUMN(基本資料填寫!AK95),0),"")</f>
        <v/>
      </c>
      <c r="O98" s="314" t="str">
        <f>IFERROR(VLOOKUP(基本資料填寫!$E$1&amp;"-"&amp;ROW(書籍檔建置!BT95),基本資料填寫!$E:$EU,COLUMN(基本資料填寫!BX95),0),"")</f>
        <v/>
      </c>
      <c r="P98" s="314" t="str">
        <f>IFERROR(VLOOKUP(基本資料填寫!$E$1&amp;"-"&amp;ROW(書籍檔建置!BU95),基本資料填寫!$E:$EU,COLUMN(基本資料填寫!BY95),0),"")</f>
        <v/>
      </c>
      <c r="Q98" s="314" t="str">
        <f>IFERROR(VLOOKUP(基本資料填寫!$E$1&amp;"-"&amp;ROW(書籍檔建置!BV95),基本資料填寫!$E:$EU,COLUMN(基本資料填寫!BZ95),0),"")</f>
        <v/>
      </c>
      <c r="R98" s="314" t="str">
        <f>IFERROR(VLOOKUP(基本資料填寫!$E$1&amp;"-"&amp;ROW(書籍檔建置!BX95),基本資料填寫!$E:$EU,COLUMN(基本資料填寫!CB95),0),"")</f>
        <v/>
      </c>
      <c r="S98" s="314" t="str">
        <f>IFERROR(VLOOKUP(基本資料填寫!$E$1&amp;"-"&amp;ROW(書籍檔建置!BY95),基本資料填寫!$E:$EU,COLUMN(基本資料填寫!CC95),0),"")</f>
        <v/>
      </c>
      <c r="T98" s="314" t="str">
        <f>IFERROR(VLOOKUP(基本資料填寫!$E$1&amp;"-"&amp;ROW(書籍檔建置!BZ95),基本資料填寫!$E:$EU,COLUMN(基本資料填寫!CD95),0),"")</f>
        <v/>
      </c>
      <c r="U98" s="314" t="str">
        <f>IFERROR(VLOOKUP(基本資料填寫!$E$1&amp;"-"&amp;ROW(書籍檔建置!CA95),基本資料填寫!$E:$EU,COLUMN(基本資料填寫!CE95),0),"")</f>
        <v/>
      </c>
      <c r="V98" s="166" t="str">
        <f>IFERROR(VLOOKUP(基本資料填寫!$E$1&amp;"-"&amp;ROW(書籍檔建置!BL95),基本資料填寫!$E:$EU,COLUMN(基本資料填寫!BP95),0),"")</f>
        <v/>
      </c>
      <c r="W98" s="178"/>
      <c r="X98" s="178"/>
      <c r="Y98" s="178"/>
      <c r="Z98" s="178"/>
      <c r="AA98" s="178"/>
      <c r="AB98" s="178"/>
      <c r="AC98" s="314" t="str">
        <f>IFERROR(VLOOKUP(基本資料填寫!$E$1&amp;"-"&amp;ROW(書籍檔建置!S95),基本資料填寫!$E:$EU,COLUMN(基本資料填寫!W95),0),"")</f>
        <v/>
      </c>
      <c r="AD98" s="166" t="str">
        <f>IFERROR(VLOOKUP(基本資料填寫!$E$1&amp;"-"&amp;ROW(書籍檔建置!BM95),基本資料填寫!$E:$EU,COLUMN(基本資料填寫!BQ95),0),"")</f>
        <v/>
      </c>
      <c r="AE98" s="178"/>
      <c r="AF98" s="178"/>
      <c r="AG98" s="178"/>
      <c r="AH98" s="314" t="str">
        <f>IFERROR(VLOOKUP(基本資料填寫!$E$1&amp;"-"&amp;ROW(書籍檔建置!CB95),基本資料填寫!$E:$EU,COLUMN(基本資料填寫!CF95),0),"")</f>
        <v/>
      </c>
      <c r="AI98" s="314" t="str">
        <f>IFERROR(VLOOKUP(基本資料填寫!$E$1&amp;"-"&amp;ROW(書籍檔建置!CC95),基本資料填寫!$E:$EU,COLUMN(基本資料填寫!CG95),0),"")</f>
        <v/>
      </c>
      <c r="AJ98" s="314" t="str">
        <f>IFERROR(VLOOKUP(基本資料填寫!$E$1&amp;"-"&amp;ROW(書籍檔建置!H95),基本資料填寫!$E:$EU,COLUMN(基本資料填寫!K95),0),"")</f>
        <v/>
      </c>
      <c r="AK98" s="314" t="str">
        <f>IFERROR(VLOOKUP(基本資料填寫!$E$1&amp;"-"&amp;ROW(書籍檔建置!CF95),基本資料填寫!$E:$EU,COLUMN(基本資料填寫!CJ95),0),"")</f>
        <v/>
      </c>
      <c r="AL98" s="314" t="str">
        <f>IFERROR(VLOOKUP(基本資料填寫!$E$1&amp;"-"&amp;ROW(書籍檔建置!CG95),基本資料填寫!$E:$EU,COLUMN(基本資料填寫!CK95),0),"")</f>
        <v/>
      </c>
      <c r="AM98" s="314" t="str">
        <f>IFERROR(VLOOKUP(基本資料填寫!$E$1&amp;"-"&amp;ROW(書籍檔建置!BP95),基本資料填寫!$E:$EU,COLUMN(基本資料填寫!BT95),0),"")</f>
        <v/>
      </c>
      <c r="AN98" s="153"/>
    </row>
    <row r="99" spans="2:40" x14ac:dyDescent="0.3">
      <c r="B99" s="47" t="str">
        <f>IF(F99="","",COUNTA($F$4:F99))</f>
        <v/>
      </c>
      <c r="C99" s="314" t="str">
        <f>IFERROR(VLOOKUP(基本資料填寫!$E$1&amp;"-"&amp;ROW(書籍檔建置!K96),基本資料填寫!$E:$EU,COLUMN(基本資料填寫!O96),0),"")</f>
        <v/>
      </c>
      <c r="D99" s="314" t="str">
        <f>IFERROR(VLOOKUP(基本資料填寫!$E$1&amp;"-"&amp;ROW(書籍檔建置!N96),基本資料填寫!$E:$EU,COLUMN(基本資料填寫!R96),0),"")</f>
        <v/>
      </c>
      <c r="E99" s="314" t="str">
        <f>IFERROR(VLOOKUP(基本資料填寫!$E$1&amp;"-"&amp;ROW(書籍檔建置!AF96),基本資料填寫!$E:$EU,COLUMN(基本資料填寫!AJ96),0),"")</f>
        <v/>
      </c>
      <c r="F99" s="314" t="str">
        <f>IFERROR(VLOOKUP(基本資料填寫!$E$1&amp;"-"&amp;ROW(書籍檔建置!J96),基本資料填寫!$E:$EU,COLUMN(基本資料填寫!N96),0),"")</f>
        <v/>
      </c>
      <c r="G99" s="314" t="str">
        <f>IFERROR(VLOOKUP(基本資料填寫!$E$1&amp;"-"&amp;ROW(書籍檔建置!BO96),基本資料填寫!$E:$EU,COLUMN(基本資料填寫!BS96),0),"")</f>
        <v/>
      </c>
      <c r="H99" s="314" t="str">
        <f>IFERROR(VLOOKUP(基本資料填寫!$E$1&amp;"-"&amp;ROW(書籍檔建置!R96),基本資料填寫!$E:$EU,COLUMN(基本資料填寫!V96),0),"")</f>
        <v/>
      </c>
      <c r="I99" s="315" t="str">
        <f>IFERROR(VLOOKUP(基本資料填寫!$E$1&amp;"-"&amp;ROW(書籍檔建置!BQ96),基本資料填寫!$E:$EU,COLUMN(基本資料填寫!BU96),0),"")</f>
        <v/>
      </c>
      <c r="J99" s="314" t="str">
        <f>IFERROR(VLOOKUP(基本資料填寫!$E$1&amp;"-"&amp;ROW(書籍檔建置!BW96),基本資料填寫!$E:$EU,COLUMN(基本資料填寫!CA96),0),"")</f>
        <v/>
      </c>
      <c r="K99" s="314" t="str">
        <f>IFERROR(VLOOKUP(基本資料填寫!$E$1&amp;"-"&amp;ROW(書籍檔建置!BR96),基本資料填寫!$E:$EU,COLUMN(基本資料填寫!BV96),0),"")</f>
        <v/>
      </c>
      <c r="L99" s="314" t="str">
        <f>IFERROR(VLOOKUP(基本資料填寫!$E$1&amp;"-"&amp;ROW(書籍檔建置!BS96),基本資料填寫!$E:$EU,COLUMN(基本資料填寫!BW96),0),"")</f>
        <v/>
      </c>
      <c r="M99" s="166" t="str">
        <f>IFERROR(VLOOKUP(基本資料填寫!$E$1&amp;"-"&amp;ROW(書籍檔建置!BK96),基本資料填寫!$E:$EU,COLUMN(基本資料填寫!BO96),0),"")</f>
        <v/>
      </c>
      <c r="N99" s="314" t="str">
        <f>IFERROR(VLOOKUP(基本資料填寫!$E$1&amp;"-"&amp;ROW(書籍檔建置!AG96),基本資料填寫!$E:$EU,COLUMN(基本資料填寫!AK96),0),"")</f>
        <v/>
      </c>
      <c r="O99" s="314" t="str">
        <f>IFERROR(VLOOKUP(基本資料填寫!$E$1&amp;"-"&amp;ROW(書籍檔建置!BT96),基本資料填寫!$E:$EU,COLUMN(基本資料填寫!BX96),0),"")</f>
        <v/>
      </c>
      <c r="P99" s="314" t="str">
        <f>IFERROR(VLOOKUP(基本資料填寫!$E$1&amp;"-"&amp;ROW(書籍檔建置!BU96),基本資料填寫!$E:$EU,COLUMN(基本資料填寫!BY96),0),"")</f>
        <v/>
      </c>
      <c r="Q99" s="314" t="str">
        <f>IFERROR(VLOOKUP(基本資料填寫!$E$1&amp;"-"&amp;ROW(書籍檔建置!BV96),基本資料填寫!$E:$EU,COLUMN(基本資料填寫!BZ96),0),"")</f>
        <v/>
      </c>
      <c r="R99" s="314" t="str">
        <f>IFERROR(VLOOKUP(基本資料填寫!$E$1&amp;"-"&amp;ROW(書籍檔建置!BX96),基本資料填寫!$E:$EU,COLUMN(基本資料填寫!CB96),0),"")</f>
        <v/>
      </c>
      <c r="S99" s="314" t="str">
        <f>IFERROR(VLOOKUP(基本資料填寫!$E$1&amp;"-"&amp;ROW(書籍檔建置!BY96),基本資料填寫!$E:$EU,COLUMN(基本資料填寫!CC96),0),"")</f>
        <v/>
      </c>
      <c r="T99" s="314" t="str">
        <f>IFERROR(VLOOKUP(基本資料填寫!$E$1&amp;"-"&amp;ROW(書籍檔建置!BZ96),基本資料填寫!$E:$EU,COLUMN(基本資料填寫!CD96),0),"")</f>
        <v/>
      </c>
      <c r="U99" s="314" t="str">
        <f>IFERROR(VLOOKUP(基本資料填寫!$E$1&amp;"-"&amp;ROW(書籍檔建置!CA96),基本資料填寫!$E:$EU,COLUMN(基本資料填寫!CE96),0),"")</f>
        <v/>
      </c>
      <c r="V99" s="166" t="str">
        <f>IFERROR(VLOOKUP(基本資料填寫!$E$1&amp;"-"&amp;ROW(書籍檔建置!BL96),基本資料填寫!$E:$EU,COLUMN(基本資料填寫!BP96),0),"")</f>
        <v/>
      </c>
      <c r="W99" s="178"/>
      <c r="X99" s="178"/>
      <c r="Y99" s="178"/>
      <c r="Z99" s="178"/>
      <c r="AA99" s="178"/>
      <c r="AB99" s="178"/>
      <c r="AC99" s="314" t="str">
        <f>IFERROR(VLOOKUP(基本資料填寫!$E$1&amp;"-"&amp;ROW(書籍檔建置!S96),基本資料填寫!$E:$EU,COLUMN(基本資料填寫!W96),0),"")</f>
        <v/>
      </c>
      <c r="AD99" s="166" t="str">
        <f>IFERROR(VLOOKUP(基本資料填寫!$E$1&amp;"-"&amp;ROW(書籍檔建置!BM96),基本資料填寫!$E:$EU,COLUMN(基本資料填寫!BQ96),0),"")</f>
        <v/>
      </c>
      <c r="AE99" s="178"/>
      <c r="AF99" s="178"/>
      <c r="AG99" s="178"/>
      <c r="AH99" s="314" t="str">
        <f>IFERROR(VLOOKUP(基本資料填寫!$E$1&amp;"-"&amp;ROW(書籍檔建置!CB96),基本資料填寫!$E:$EU,COLUMN(基本資料填寫!CF96),0),"")</f>
        <v/>
      </c>
      <c r="AI99" s="314" t="str">
        <f>IFERROR(VLOOKUP(基本資料填寫!$E$1&amp;"-"&amp;ROW(書籍檔建置!CC96),基本資料填寫!$E:$EU,COLUMN(基本資料填寫!CG96),0),"")</f>
        <v/>
      </c>
      <c r="AJ99" s="314" t="str">
        <f>IFERROR(VLOOKUP(基本資料填寫!$E$1&amp;"-"&amp;ROW(書籍檔建置!H96),基本資料填寫!$E:$EU,COLUMN(基本資料填寫!K96),0),"")</f>
        <v/>
      </c>
      <c r="AK99" s="314" t="str">
        <f>IFERROR(VLOOKUP(基本資料填寫!$E$1&amp;"-"&amp;ROW(書籍檔建置!CF96),基本資料填寫!$E:$EU,COLUMN(基本資料填寫!CJ96),0),"")</f>
        <v/>
      </c>
      <c r="AL99" s="314" t="str">
        <f>IFERROR(VLOOKUP(基本資料填寫!$E$1&amp;"-"&amp;ROW(書籍檔建置!CG96),基本資料填寫!$E:$EU,COLUMN(基本資料填寫!CK96),0),"")</f>
        <v/>
      </c>
      <c r="AM99" s="314" t="str">
        <f>IFERROR(VLOOKUP(基本資料填寫!$E$1&amp;"-"&amp;ROW(書籍檔建置!BP96),基本資料填寫!$E:$EU,COLUMN(基本資料填寫!BT96),0),"")</f>
        <v/>
      </c>
      <c r="AN99" s="153"/>
    </row>
    <row r="100" spans="2:40" x14ac:dyDescent="0.3">
      <c r="B100" s="47" t="str">
        <f>IF(F100="","",COUNTA($F$4:F100))</f>
        <v/>
      </c>
      <c r="C100" s="314" t="str">
        <f>IFERROR(VLOOKUP(基本資料填寫!$E$1&amp;"-"&amp;ROW(書籍檔建置!K97),基本資料填寫!$E:$EU,COLUMN(基本資料填寫!O97),0),"")</f>
        <v/>
      </c>
      <c r="D100" s="314" t="str">
        <f>IFERROR(VLOOKUP(基本資料填寫!$E$1&amp;"-"&amp;ROW(書籍檔建置!N97),基本資料填寫!$E:$EU,COLUMN(基本資料填寫!R97),0),"")</f>
        <v/>
      </c>
      <c r="E100" s="314" t="str">
        <f>IFERROR(VLOOKUP(基本資料填寫!$E$1&amp;"-"&amp;ROW(書籍檔建置!AF97),基本資料填寫!$E:$EU,COLUMN(基本資料填寫!AJ97),0),"")</f>
        <v/>
      </c>
      <c r="F100" s="314" t="str">
        <f>IFERROR(VLOOKUP(基本資料填寫!$E$1&amp;"-"&amp;ROW(書籍檔建置!J97),基本資料填寫!$E:$EU,COLUMN(基本資料填寫!N97),0),"")</f>
        <v/>
      </c>
      <c r="G100" s="314" t="str">
        <f>IFERROR(VLOOKUP(基本資料填寫!$E$1&amp;"-"&amp;ROW(書籍檔建置!BO97),基本資料填寫!$E:$EU,COLUMN(基本資料填寫!BS97),0),"")</f>
        <v/>
      </c>
      <c r="H100" s="314" t="str">
        <f>IFERROR(VLOOKUP(基本資料填寫!$E$1&amp;"-"&amp;ROW(書籍檔建置!R97),基本資料填寫!$E:$EU,COLUMN(基本資料填寫!V97),0),"")</f>
        <v/>
      </c>
      <c r="I100" s="315" t="str">
        <f>IFERROR(VLOOKUP(基本資料填寫!$E$1&amp;"-"&amp;ROW(書籍檔建置!BQ97),基本資料填寫!$E:$EU,COLUMN(基本資料填寫!BU97),0),"")</f>
        <v/>
      </c>
      <c r="J100" s="314" t="str">
        <f>IFERROR(VLOOKUP(基本資料填寫!$E$1&amp;"-"&amp;ROW(書籍檔建置!BW97),基本資料填寫!$E:$EU,COLUMN(基本資料填寫!CA97),0),"")</f>
        <v/>
      </c>
      <c r="K100" s="314" t="str">
        <f>IFERROR(VLOOKUP(基本資料填寫!$E$1&amp;"-"&amp;ROW(書籍檔建置!BR97),基本資料填寫!$E:$EU,COLUMN(基本資料填寫!BV97),0),"")</f>
        <v/>
      </c>
      <c r="L100" s="314" t="str">
        <f>IFERROR(VLOOKUP(基本資料填寫!$E$1&amp;"-"&amp;ROW(書籍檔建置!BS97),基本資料填寫!$E:$EU,COLUMN(基本資料填寫!BW97),0),"")</f>
        <v/>
      </c>
      <c r="M100" s="166" t="str">
        <f>IFERROR(VLOOKUP(基本資料填寫!$E$1&amp;"-"&amp;ROW(書籍檔建置!BK97),基本資料填寫!$E:$EU,COLUMN(基本資料填寫!BO97),0),"")</f>
        <v/>
      </c>
      <c r="N100" s="314" t="str">
        <f>IFERROR(VLOOKUP(基本資料填寫!$E$1&amp;"-"&amp;ROW(書籍檔建置!AG97),基本資料填寫!$E:$EU,COLUMN(基本資料填寫!AK97),0),"")</f>
        <v/>
      </c>
      <c r="O100" s="314" t="str">
        <f>IFERROR(VLOOKUP(基本資料填寫!$E$1&amp;"-"&amp;ROW(書籍檔建置!BT97),基本資料填寫!$E:$EU,COLUMN(基本資料填寫!BX97),0),"")</f>
        <v/>
      </c>
      <c r="P100" s="314" t="str">
        <f>IFERROR(VLOOKUP(基本資料填寫!$E$1&amp;"-"&amp;ROW(書籍檔建置!BU97),基本資料填寫!$E:$EU,COLUMN(基本資料填寫!BY97),0),"")</f>
        <v/>
      </c>
      <c r="Q100" s="314" t="str">
        <f>IFERROR(VLOOKUP(基本資料填寫!$E$1&amp;"-"&amp;ROW(書籍檔建置!BV97),基本資料填寫!$E:$EU,COLUMN(基本資料填寫!BZ97),0),"")</f>
        <v/>
      </c>
      <c r="R100" s="314" t="str">
        <f>IFERROR(VLOOKUP(基本資料填寫!$E$1&amp;"-"&amp;ROW(書籍檔建置!BX97),基本資料填寫!$E:$EU,COLUMN(基本資料填寫!CB97),0),"")</f>
        <v/>
      </c>
      <c r="S100" s="314" t="str">
        <f>IFERROR(VLOOKUP(基本資料填寫!$E$1&amp;"-"&amp;ROW(書籍檔建置!BY97),基本資料填寫!$E:$EU,COLUMN(基本資料填寫!CC97),0),"")</f>
        <v/>
      </c>
      <c r="T100" s="314" t="str">
        <f>IFERROR(VLOOKUP(基本資料填寫!$E$1&amp;"-"&amp;ROW(書籍檔建置!BZ97),基本資料填寫!$E:$EU,COLUMN(基本資料填寫!CD97),0),"")</f>
        <v/>
      </c>
      <c r="U100" s="314" t="str">
        <f>IFERROR(VLOOKUP(基本資料填寫!$E$1&amp;"-"&amp;ROW(書籍檔建置!CA97),基本資料填寫!$E:$EU,COLUMN(基本資料填寫!CE97),0),"")</f>
        <v/>
      </c>
      <c r="V100" s="166" t="str">
        <f>IFERROR(VLOOKUP(基本資料填寫!$E$1&amp;"-"&amp;ROW(書籍檔建置!BL97),基本資料填寫!$E:$EU,COLUMN(基本資料填寫!BP97),0),"")</f>
        <v/>
      </c>
      <c r="W100" s="178"/>
      <c r="X100" s="178"/>
      <c r="Y100" s="178"/>
      <c r="Z100" s="178"/>
      <c r="AA100" s="178"/>
      <c r="AB100" s="178"/>
      <c r="AC100" s="314" t="str">
        <f>IFERROR(VLOOKUP(基本資料填寫!$E$1&amp;"-"&amp;ROW(書籍檔建置!S97),基本資料填寫!$E:$EU,COLUMN(基本資料填寫!W97),0),"")</f>
        <v/>
      </c>
      <c r="AD100" s="166" t="str">
        <f>IFERROR(VLOOKUP(基本資料填寫!$E$1&amp;"-"&amp;ROW(書籍檔建置!BM97),基本資料填寫!$E:$EU,COLUMN(基本資料填寫!BQ97),0),"")</f>
        <v/>
      </c>
      <c r="AE100" s="178"/>
      <c r="AF100" s="178"/>
      <c r="AG100" s="178"/>
      <c r="AH100" s="314" t="str">
        <f>IFERROR(VLOOKUP(基本資料填寫!$E$1&amp;"-"&amp;ROW(書籍檔建置!CB97),基本資料填寫!$E:$EU,COLUMN(基本資料填寫!CF97),0),"")</f>
        <v/>
      </c>
      <c r="AI100" s="314" t="str">
        <f>IFERROR(VLOOKUP(基本資料填寫!$E$1&amp;"-"&amp;ROW(書籍檔建置!CC97),基本資料填寫!$E:$EU,COLUMN(基本資料填寫!CG97),0),"")</f>
        <v/>
      </c>
      <c r="AJ100" s="314" t="str">
        <f>IFERROR(VLOOKUP(基本資料填寫!$E$1&amp;"-"&amp;ROW(書籍檔建置!H97),基本資料填寫!$E:$EU,COLUMN(基本資料填寫!K97),0),"")</f>
        <v/>
      </c>
      <c r="AK100" s="314" t="str">
        <f>IFERROR(VLOOKUP(基本資料填寫!$E$1&amp;"-"&amp;ROW(書籍檔建置!CF97),基本資料填寫!$E:$EU,COLUMN(基本資料填寫!CJ97),0),"")</f>
        <v/>
      </c>
      <c r="AL100" s="314" t="str">
        <f>IFERROR(VLOOKUP(基本資料填寫!$E$1&amp;"-"&amp;ROW(書籍檔建置!CG97),基本資料填寫!$E:$EU,COLUMN(基本資料填寫!CK97),0),"")</f>
        <v/>
      </c>
      <c r="AM100" s="314" t="str">
        <f>IFERROR(VLOOKUP(基本資料填寫!$E$1&amp;"-"&amp;ROW(書籍檔建置!BP97),基本資料填寫!$E:$EU,COLUMN(基本資料填寫!BT97),0),"")</f>
        <v/>
      </c>
      <c r="AN100" s="153"/>
    </row>
    <row r="101" spans="2:40" x14ac:dyDescent="0.3">
      <c r="B101" s="47" t="str">
        <f>IF(F101="","",COUNTA($F$4:F101))</f>
        <v/>
      </c>
      <c r="C101" s="314" t="str">
        <f>IFERROR(VLOOKUP(基本資料填寫!$E$1&amp;"-"&amp;ROW(書籍檔建置!K98),基本資料填寫!$E:$EU,COLUMN(基本資料填寫!O98),0),"")</f>
        <v/>
      </c>
      <c r="D101" s="314" t="str">
        <f>IFERROR(VLOOKUP(基本資料填寫!$E$1&amp;"-"&amp;ROW(書籍檔建置!N98),基本資料填寫!$E:$EU,COLUMN(基本資料填寫!R98),0),"")</f>
        <v/>
      </c>
      <c r="E101" s="314" t="str">
        <f>IFERROR(VLOOKUP(基本資料填寫!$E$1&amp;"-"&amp;ROW(書籍檔建置!AF98),基本資料填寫!$E:$EU,COLUMN(基本資料填寫!AJ98),0),"")</f>
        <v/>
      </c>
      <c r="F101" s="314" t="str">
        <f>IFERROR(VLOOKUP(基本資料填寫!$E$1&amp;"-"&amp;ROW(書籍檔建置!J98),基本資料填寫!$E:$EU,COLUMN(基本資料填寫!N98),0),"")</f>
        <v/>
      </c>
      <c r="G101" s="314" t="str">
        <f>IFERROR(VLOOKUP(基本資料填寫!$E$1&amp;"-"&amp;ROW(書籍檔建置!BO98),基本資料填寫!$E:$EU,COLUMN(基本資料填寫!BS98),0),"")</f>
        <v/>
      </c>
      <c r="H101" s="314" t="str">
        <f>IFERROR(VLOOKUP(基本資料填寫!$E$1&amp;"-"&amp;ROW(書籍檔建置!R98),基本資料填寫!$E:$EU,COLUMN(基本資料填寫!V98),0),"")</f>
        <v/>
      </c>
      <c r="I101" s="315" t="str">
        <f>IFERROR(VLOOKUP(基本資料填寫!$E$1&amp;"-"&amp;ROW(書籍檔建置!BQ98),基本資料填寫!$E:$EU,COLUMN(基本資料填寫!BU98),0),"")</f>
        <v/>
      </c>
      <c r="J101" s="314" t="str">
        <f>IFERROR(VLOOKUP(基本資料填寫!$E$1&amp;"-"&amp;ROW(書籍檔建置!BW98),基本資料填寫!$E:$EU,COLUMN(基本資料填寫!CA98),0),"")</f>
        <v/>
      </c>
      <c r="K101" s="314" t="str">
        <f>IFERROR(VLOOKUP(基本資料填寫!$E$1&amp;"-"&amp;ROW(書籍檔建置!BR98),基本資料填寫!$E:$EU,COLUMN(基本資料填寫!BV98),0),"")</f>
        <v/>
      </c>
      <c r="L101" s="314" t="str">
        <f>IFERROR(VLOOKUP(基本資料填寫!$E$1&amp;"-"&amp;ROW(書籍檔建置!BS98),基本資料填寫!$E:$EU,COLUMN(基本資料填寫!BW98),0),"")</f>
        <v/>
      </c>
      <c r="M101" s="166" t="str">
        <f>IFERROR(VLOOKUP(基本資料填寫!$E$1&amp;"-"&amp;ROW(書籍檔建置!BK98),基本資料填寫!$E:$EU,COLUMN(基本資料填寫!BO98),0),"")</f>
        <v/>
      </c>
      <c r="N101" s="314" t="str">
        <f>IFERROR(VLOOKUP(基本資料填寫!$E$1&amp;"-"&amp;ROW(書籍檔建置!AG98),基本資料填寫!$E:$EU,COLUMN(基本資料填寫!AK98),0),"")</f>
        <v/>
      </c>
      <c r="O101" s="314" t="str">
        <f>IFERROR(VLOOKUP(基本資料填寫!$E$1&amp;"-"&amp;ROW(書籍檔建置!BT98),基本資料填寫!$E:$EU,COLUMN(基本資料填寫!BX98),0),"")</f>
        <v/>
      </c>
      <c r="P101" s="314" t="str">
        <f>IFERROR(VLOOKUP(基本資料填寫!$E$1&amp;"-"&amp;ROW(書籍檔建置!BU98),基本資料填寫!$E:$EU,COLUMN(基本資料填寫!BY98),0),"")</f>
        <v/>
      </c>
      <c r="Q101" s="314" t="str">
        <f>IFERROR(VLOOKUP(基本資料填寫!$E$1&amp;"-"&amp;ROW(書籍檔建置!BV98),基本資料填寫!$E:$EU,COLUMN(基本資料填寫!BZ98),0),"")</f>
        <v/>
      </c>
      <c r="R101" s="314" t="str">
        <f>IFERROR(VLOOKUP(基本資料填寫!$E$1&amp;"-"&amp;ROW(書籍檔建置!BX98),基本資料填寫!$E:$EU,COLUMN(基本資料填寫!CB98),0),"")</f>
        <v/>
      </c>
      <c r="S101" s="314" t="str">
        <f>IFERROR(VLOOKUP(基本資料填寫!$E$1&amp;"-"&amp;ROW(書籍檔建置!BY98),基本資料填寫!$E:$EU,COLUMN(基本資料填寫!CC98),0),"")</f>
        <v/>
      </c>
      <c r="T101" s="314" t="str">
        <f>IFERROR(VLOOKUP(基本資料填寫!$E$1&amp;"-"&amp;ROW(書籍檔建置!BZ98),基本資料填寫!$E:$EU,COLUMN(基本資料填寫!CD98),0),"")</f>
        <v/>
      </c>
      <c r="U101" s="314" t="str">
        <f>IFERROR(VLOOKUP(基本資料填寫!$E$1&amp;"-"&amp;ROW(書籍檔建置!CA98),基本資料填寫!$E:$EU,COLUMN(基本資料填寫!CE98),0),"")</f>
        <v/>
      </c>
      <c r="V101" s="166" t="str">
        <f>IFERROR(VLOOKUP(基本資料填寫!$E$1&amp;"-"&amp;ROW(書籍檔建置!BL98),基本資料填寫!$E:$EU,COLUMN(基本資料填寫!BP98),0),"")</f>
        <v/>
      </c>
      <c r="W101" s="178"/>
      <c r="X101" s="178"/>
      <c r="Y101" s="178"/>
      <c r="Z101" s="178"/>
      <c r="AA101" s="178"/>
      <c r="AB101" s="178"/>
      <c r="AC101" s="314" t="str">
        <f>IFERROR(VLOOKUP(基本資料填寫!$E$1&amp;"-"&amp;ROW(書籍檔建置!S98),基本資料填寫!$E:$EU,COLUMN(基本資料填寫!W98),0),"")</f>
        <v/>
      </c>
      <c r="AD101" s="166" t="str">
        <f>IFERROR(VLOOKUP(基本資料填寫!$E$1&amp;"-"&amp;ROW(書籍檔建置!BM98),基本資料填寫!$E:$EU,COLUMN(基本資料填寫!BQ98),0),"")</f>
        <v/>
      </c>
      <c r="AE101" s="178"/>
      <c r="AF101" s="178"/>
      <c r="AG101" s="178"/>
      <c r="AH101" s="314" t="str">
        <f>IFERROR(VLOOKUP(基本資料填寫!$E$1&amp;"-"&amp;ROW(書籍檔建置!CB98),基本資料填寫!$E:$EU,COLUMN(基本資料填寫!CF98),0),"")</f>
        <v/>
      </c>
      <c r="AI101" s="314" t="str">
        <f>IFERROR(VLOOKUP(基本資料填寫!$E$1&amp;"-"&amp;ROW(書籍檔建置!CC98),基本資料填寫!$E:$EU,COLUMN(基本資料填寫!CG98),0),"")</f>
        <v/>
      </c>
      <c r="AJ101" s="314" t="str">
        <f>IFERROR(VLOOKUP(基本資料填寫!$E$1&amp;"-"&amp;ROW(書籍檔建置!H98),基本資料填寫!$E:$EU,COLUMN(基本資料填寫!K98),0),"")</f>
        <v/>
      </c>
      <c r="AK101" s="314" t="str">
        <f>IFERROR(VLOOKUP(基本資料填寫!$E$1&amp;"-"&amp;ROW(書籍檔建置!CF98),基本資料填寫!$E:$EU,COLUMN(基本資料填寫!CJ98),0),"")</f>
        <v/>
      </c>
      <c r="AL101" s="314" t="str">
        <f>IFERROR(VLOOKUP(基本資料填寫!$E$1&amp;"-"&amp;ROW(書籍檔建置!CG98),基本資料填寫!$E:$EU,COLUMN(基本資料填寫!CK98),0),"")</f>
        <v/>
      </c>
      <c r="AM101" s="314" t="str">
        <f>IFERROR(VLOOKUP(基本資料填寫!$E$1&amp;"-"&amp;ROW(書籍檔建置!BP98),基本資料填寫!$E:$EU,COLUMN(基本資料填寫!BT98),0),"")</f>
        <v/>
      </c>
      <c r="AN101" s="153"/>
    </row>
    <row r="102" spans="2:40" x14ac:dyDescent="0.3">
      <c r="B102" s="47" t="str">
        <f>IF(F102="","",COUNTA($F$4:F102))</f>
        <v/>
      </c>
      <c r="C102" s="314" t="str">
        <f>IFERROR(VLOOKUP(基本資料填寫!$E$1&amp;"-"&amp;ROW(書籍檔建置!K99),基本資料填寫!$E:$EU,COLUMN(基本資料填寫!O99),0),"")</f>
        <v/>
      </c>
      <c r="D102" s="314" t="str">
        <f>IFERROR(VLOOKUP(基本資料填寫!$E$1&amp;"-"&amp;ROW(書籍檔建置!N99),基本資料填寫!$E:$EU,COLUMN(基本資料填寫!R99),0),"")</f>
        <v/>
      </c>
      <c r="E102" s="314" t="str">
        <f>IFERROR(VLOOKUP(基本資料填寫!$E$1&amp;"-"&amp;ROW(書籍檔建置!AF99),基本資料填寫!$E:$EU,COLUMN(基本資料填寫!AJ99),0),"")</f>
        <v/>
      </c>
      <c r="F102" s="314" t="str">
        <f>IFERROR(VLOOKUP(基本資料填寫!$E$1&amp;"-"&amp;ROW(書籍檔建置!J99),基本資料填寫!$E:$EU,COLUMN(基本資料填寫!N99),0),"")</f>
        <v/>
      </c>
      <c r="G102" s="314" t="str">
        <f>IFERROR(VLOOKUP(基本資料填寫!$E$1&amp;"-"&amp;ROW(書籍檔建置!BO99),基本資料填寫!$E:$EU,COLUMN(基本資料填寫!BS99),0),"")</f>
        <v/>
      </c>
      <c r="H102" s="314" t="str">
        <f>IFERROR(VLOOKUP(基本資料填寫!$E$1&amp;"-"&amp;ROW(書籍檔建置!R99),基本資料填寫!$E:$EU,COLUMN(基本資料填寫!V99),0),"")</f>
        <v/>
      </c>
      <c r="I102" s="315" t="str">
        <f>IFERROR(VLOOKUP(基本資料填寫!$E$1&amp;"-"&amp;ROW(書籍檔建置!BQ99),基本資料填寫!$E:$EU,COLUMN(基本資料填寫!BU99),0),"")</f>
        <v/>
      </c>
      <c r="J102" s="314" t="str">
        <f>IFERROR(VLOOKUP(基本資料填寫!$E$1&amp;"-"&amp;ROW(書籍檔建置!BW99),基本資料填寫!$E:$EU,COLUMN(基本資料填寫!CA99),0),"")</f>
        <v/>
      </c>
      <c r="K102" s="314" t="str">
        <f>IFERROR(VLOOKUP(基本資料填寫!$E$1&amp;"-"&amp;ROW(書籍檔建置!BR99),基本資料填寫!$E:$EU,COLUMN(基本資料填寫!BV99),0),"")</f>
        <v/>
      </c>
      <c r="L102" s="314" t="str">
        <f>IFERROR(VLOOKUP(基本資料填寫!$E$1&amp;"-"&amp;ROW(書籍檔建置!BS99),基本資料填寫!$E:$EU,COLUMN(基本資料填寫!BW99),0),"")</f>
        <v/>
      </c>
      <c r="M102" s="166" t="str">
        <f>IFERROR(VLOOKUP(基本資料填寫!$E$1&amp;"-"&amp;ROW(書籍檔建置!BK99),基本資料填寫!$E:$EU,COLUMN(基本資料填寫!BO99),0),"")</f>
        <v/>
      </c>
      <c r="N102" s="314" t="str">
        <f>IFERROR(VLOOKUP(基本資料填寫!$E$1&amp;"-"&amp;ROW(書籍檔建置!AG99),基本資料填寫!$E:$EU,COLUMN(基本資料填寫!AK99),0),"")</f>
        <v/>
      </c>
      <c r="O102" s="314" t="str">
        <f>IFERROR(VLOOKUP(基本資料填寫!$E$1&amp;"-"&amp;ROW(書籍檔建置!BT99),基本資料填寫!$E:$EU,COLUMN(基本資料填寫!BX99),0),"")</f>
        <v/>
      </c>
      <c r="P102" s="314" t="str">
        <f>IFERROR(VLOOKUP(基本資料填寫!$E$1&amp;"-"&amp;ROW(書籍檔建置!BU99),基本資料填寫!$E:$EU,COLUMN(基本資料填寫!BY99),0),"")</f>
        <v/>
      </c>
      <c r="Q102" s="314" t="str">
        <f>IFERROR(VLOOKUP(基本資料填寫!$E$1&amp;"-"&amp;ROW(書籍檔建置!BV99),基本資料填寫!$E:$EU,COLUMN(基本資料填寫!BZ99),0),"")</f>
        <v/>
      </c>
      <c r="R102" s="314" t="str">
        <f>IFERROR(VLOOKUP(基本資料填寫!$E$1&amp;"-"&amp;ROW(書籍檔建置!BX99),基本資料填寫!$E:$EU,COLUMN(基本資料填寫!CB99),0),"")</f>
        <v/>
      </c>
      <c r="S102" s="314" t="str">
        <f>IFERROR(VLOOKUP(基本資料填寫!$E$1&amp;"-"&amp;ROW(書籍檔建置!BY99),基本資料填寫!$E:$EU,COLUMN(基本資料填寫!CC99),0),"")</f>
        <v/>
      </c>
      <c r="T102" s="314" t="str">
        <f>IFERROR(VLOOKUP(基本資料填寫!$E$1&amp;"-"&amp;ROW(書籍檔建置!BZ99),基本資料填寫!$E:$EU,COLUMN(基本資料填寫!CD99),0),"")</f>
        <v/>
      </c>
      <c r="U102" s="314" t="str">
        <f>IFERROR(VLOOKUP(基本資料填寫!$E$1&amp;"-"&amp;ROW(書籍檔建置!CA99),基本資料填寫!$E:$EU,COLUMN(基本資料填寫!CE99),0),"")</f>
        <v/>
      </c>
      <c r="V102" s="166" t="str">
        <f>IFERROR(VLOOKUP(基本資料填寫!$E$1&amp;"-"&amp;ROW(書籍檔建置!BL99),基本資料填寫!$E:$EU,COLUMN(基本資料填寫!BP99),0),"")</f>
        <v/>
      </c>
      <c r="W102" s="178"/>
      <c r="X102" s="178"/>
      <c r="Y102" s="178"/>
      <c r="Z102" s="178"/>
      <c r="AA102" s="178"/>
      <c r="AB102" s="178"/>
      <c r="AC102" s="314" t="str">
        <f>IFERROR(VLOOKUP(基本資料填寫!$E$1&amp;"-"&amp;ROW(書籍檔建置!S99),基本資料填寫!$E:$EU,COLUMN(基本資料填寫!W99),0),"")</f>
        <v/>
      </c>
      <c r="AD102" s="166" t="str">
        <f>IFERROR(VLOOKUP(基本資料填寫!$E$1&amp;"-"&amp;ROW(書籍檔建置!BM99),基本資料填寫!$E:$EU,COLUMN(基本資料填寫!BQ99),0),"")</f>
        <v/>
      </c>
      <c r="AE102" s="178"/>
      <c r="AF102" s="178"/>
      <c r="AG102" s="178"/>
      <c r="AH102" s="314" t="str">
        <f>IFERROR(VLOOKUP(基本資料填寫!$E$1&amp;"-"&amp;ROW(書籍檔建置!CB99),基本資料填寫!$E:$EU,COLUMN(基本資料填寫!CF99),0),"")</f>
        <v/>
      </c>
      <c r="AI102" s="314" t="str">
        <f>IFERROR(VLOOKUP(基本資料填寫!$E$1&amp;"-"&amp;ROW(書籍檔建置!CC99),基本資料填寫!$E:$EU,COLUMN(基本資料填寫!CG99),0),"")</f>
        <v/>
      </c>
      <c r="AJ102" s="314" t="str">
        <f>IFERROR(VLOOKUP(基本資料填寫!$E$1&amp;"-"&amp;ROW(書籍檔建置!H99),基本資料填寫!$E:$EU,COLUMN(基本資料填寫!K99),0),"")</f>
        <v/>
      </c>
      <c r="AK102" s="314" t="str">
        <f>IFERROR(VLOOKUP(基本資料填寫!$E$1&amp;"-"&amp;ROW(書籍檔建置!CF99),基本資料填寫!$E:$EU,COLUMN(基本資料填寫!CJ99),0),"")</f>
        <v/>
      </c>
      <c r="AL102" s="314" t="str">
        <f>IFERROR(VLOOKUP(基本資料填寫!$E$1&amp;"-"&amp;ROW(書籍檔建置!CG99),基本資料填寫!$E:$EU,COLUMN(基本資料填寫!CK99),0),"")</f>
        <v/>
      </c>
      <c r="AM102" s="314" t="str">
        <f>IFERROR(VLOOKUP(基本資料填寫!$E$1&amp;"-"&amp;ROW(書籍檔建置!BP99),基本資料填寫!$E:$EU,COLUMN(基本資料填寫!BT99),0),"")</f>
        <v/>
      </c>
      <c r="AN102" s="153"/>
    </row>
    <row r="103" spans="2:40" s="24" customFormat="1" x14ac:dyDescent="0.3">
      <c r="B103" s="46"/>
      <c r="C103" s="46"/>
      <c r="D103" s="46"/>
      <c r="E103" s="179"/>
      <c r="F103" s="179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AC103" s="46"/>
      <c r="AD103" s="46"/>
      <c r="AH103" s="46"/>
      <c r="AI103" s="46"/>
      <c r="AJ103" s="46"/>
      <c r="AK103" s="46"/>
      <c r="AL103" s="46"/>
      <c r="AM103" s="46"/>
      <c r="AN103" s="152"/>
    </row>
    <row r="106" spans="2:40" x14ac:dyDescent="0.3">
      <c r="AE106" s="168"/>
      <c r="AG106" s="168"/>
    </row>
    <row r="128" ht="38.4" customHeight="1" x14ac:dyDescent="0.3"/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766AC4D-C6BE-4DC8-AADD-E5FF35BE4FC8}">
          <x14:formula1>
            <xm:f>清單及說明!$A$192:$A$197</xm:f>
          </x14:formula1>
          <xm:sqref>M4:M1048576</xm:sqref>
        </x14:dataValidation>
        <x14:dataValidation type="list" allowBlank="1" showInputMessage="1" showErrorMessage="1" xr:uid="{CA3C577D-7922-4F18-910E-4A54D814EA69}">
          <x14:formula1>
            <xm:f>清單及說明!$C$192:$C$199</xm:f>
          </x14:formula1>
          <xm:sqref>V4:V1048576</xm:sqref>
        </x14:dataValidation>
        <x14:dataValidation type="list" allowBlank="1" showInputMessage="1" showErrorMessage="1" xr:uid="{4311DEE0-0433-4E7B-A1E4-D63FD5A5BC82}">
          <x14:formula1>
            <xm:f>清單及說明!$E$192:$E$198</xm:f>
          </x14:formula1>
          <xm:sqref>W4:W1048576</xm:sqref>
        </x14:dataValidation>
        <x14:dataValidation type="list" allowBlank="1" showInputMessage="1" showErrorMessage="1" xr:uid="{FDB7AFBD-0DA4-4B13-BCEF-1F185E4E13B6}">
          <x14:formula1>
            <xm:f>清單及說明!$G$192:$G$199</xm:f>
          </x14:formula1>
          <xm:sqref>X4:X1048576</xm:sqref>
        </x14:dataValidation>
        <x14:dataValidation type="list" allowBlank="1" showInputMessage="1" showErrorMessage="1" xr:uid="{AC56A356-0A4B-4612-81AA-A5FD30672869}">
          <x14:formula1>
            <xm:f>清單及說明!$I$192:$I$263</xm:f>
          </x14:formula1>
          <xm:sqref>Z4:Z1048576</xm:sqref>
        </x14:dataValidation>
        <x14:dataValidation type="list" allowBlank="1" showInputMessage="1" showErrorMessage="1" xr:uid="{A5E329A9-3D33-4A8F-BCA0-F986955BB53A}">
          <x14:formula1>
            <xm:f>清單及說明!$K$192:$K$195</xm:f>
          </x14:formula1>
          <xm:sqref>AA4:AA1048576</xm:sqref>
        </x14:dataValidation>
        <x14:dataValidation type="list" allowBlank="1" showInputMessage="1" showErrorMessage="1" xr:uid="{5DBFE7FF-0923-4129-AFF0-8EAA507340D0}">
          <x14:formula1>
            <xm:f>清單及說明!$M$192:$M$193</xm:f>
          </x14:formula1>
          <xm:sqref>AN4:AN1048576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D394-88B7-46DB-A9AE-C2836E2297F1}">
  <sheetPr codeName="工作表12"/>
  <dimension ref="A1:N105"/>
  <sheetViews>
    <sheetView zoomScale="85" zoomScaleNormal="85" workbookViewId="0">
      <pane ySplit="3" topLeftCell="A4" activePane="bottomLeft" state="frozen"/>
      <selection pane="bottomLeft" activeCell="G10" sqref="G10"/>
    </sheetView>
  </sheetViews>
  <sheetFormatPr defaultColWidth="8.88671875" defaultRowHeight="16.2" x14ac:dyDescent="0.3"/>
  <cols>
    <col min="1" max="1" width="24.44140625" style="6" customWidth="1"/>
    <col min="2" max="2" width="23.44140625" style="47" customWidth="1"/>
    <col min="3" max="3" width="16" style="47" bestFit="1" customWidth="1"/>
    <col min="4" max="4" width="20.21875" style="180" bestFit="1" customWidth="1"/>
    <col min="5" max="5" width="17.77734375" style="47" bestFit="1" customWidth="1"/>
    <col min="6" max="6" width="23.88671875" style="47" bestFit="1" customWidth="1"/>
    <col min="7" max="7" width="24.88671875" style="127" bestFit="1" customWidth="1"/>
    <col min="8" max="9" width="24.109375" style="151" bestFit="1" customWidth="1"/>
    <col min="10" max="10" width="25.109375" style="6" bestFit="1" customWidth="1"/>
    <col min="11" max="16384" width="8.88671875" style="6"/>
  </cols>
  <sheetData>
    <row r="1" spans="1:10" s="19" customFormat="1" ht="59.4" x14ac:dyDescent="0.4">
      <c r="A1" s="148" t="s">
        <v>742</v>
      </c>
      <c r="B1" s="161" t="s">
        <v>550</v>
      </c>
      <c r="C1" s="245" t="s">
        <v>806</v>
      </c>
      <c r="D1" s="245" t="s">
        <v>807</v>
      </c>
      <c r="E1" s="246" t="s">
        <v>808</v>
      </c>
      <c r="F1" s="246" t="s">
        <v>809</v>
      </c>
      <c r="G1" s="189" t="s">
        <v>803</v>
      </c>
      <c r="H1" s="154" t="s">
        <v>810</v>
      </c>
      <c r="I1" s="154" t="s">
        <v>811</v>
      </c>
      <c r="J1" s="181" t="s">
        <v>387</v>
      </c>
    </row>
    <row r="2" spans="1:10" x14ac:dyDescent="0.3">
      <c r="A2" s="80" t="s">
        <v>388</v>
      </c>
      <c r="B2" s="158" t="s">
        <v>747</v>
      </c>
      <c r="C2" s="247" t="s">
        <v>191</v>
      </c>
      <c r="D2" s="247" t="s">
        <v>342</v>
      </c>
      <c r="E2" s="248" t="s">
        <v>402</v>
      </c>
      <c r="F2" s="248" t="s">
        <v>393</v>
      </c>
      <c r="G2" s="144" t="s">
        <v>804</v>
      </c>
      <c r="H2" s="93" t="s">
        <v>795</v>
      </c>
      <c r="I2" s="93" t="s">
        <v>796</v>
      </c>
      <c r="J2" s="182" t="s">
        <v>387</v>
      </c>
    </row>
    <row r="3" spans="1:10" x14ac:dyDescent="0.3">
      <c r="A3" s="82" t="s">
        <v>411</v>
      </c>
      <c r="B3" s="158" t="s">
        <v>552</v>
      </c>
      <c r="C3" s="247" t="s">
        <v>194</v>
      </c>
      <c r="D3" s="247" t="s">
        <v>347</v>
      </c>
      <c r="E3" s="248" t="s">
        <v>476</v>
      </c>
      <c r="F3" s="248" t="s">
        <v>797</v>
      </c>
      <c r="G3" s="144" t="s">
        <v>805</v>
      </c>
      <c r="H3" s="93" t="s">
        <v>798</v>
      </c>
      <c r="I3" s="93" t="s">
        <v>799</v>
      </c>
      <c r="J3" s="182" t="s">
        <v>387</v>
      </c>
    </row>
    <row r="4" spans="1:10" s="117" customFormat="1" x14ac:dyDescent="0.3">
      <c r="A4" s="117" t="s">
        <v>173</v>
      </c>
      <c r="B4" s="115">
        <f>IF(D4="","",COUNTA($D$4:D4))</f>
        <v>1</v>
      </c>
      <c r="C4" s="166" t="str">
        <f>IFERROR(VLOOKUP(基本資料填寫!$E$1&amp;"-"&amp;ROW(書籍檔建置!N1),基本資料填寫!$E:$EU,COLUMN(基本資料填寫!R1),0),"")</f>
        <v>YETL22090</v>
      </c>
      <c r="D4" s="166" t="str">
        <f>IFERROR(VLOOKUP(基本資料填寫!$E$1&amp;"-"&amp;ROW(書籍檔建置!H1),基本資料填寫!$E:$EU,COLUMN(基本資料填寫!K1),0),"")</f>
        <v>TA-4CI</v>
      </c>
      <c r="E4" s="166" t="str">
        <f>IFERROR(VLOOKUP(基本資料填寫!$E$1&amp;"-"&amp;ROW(書籍檔建置!CB1),基本資料填寫!$E:$EU,COLUMN(基本資料填寫!CF1),0),"")</f>
        <v>A</v>
      </c>
      <c r="F4" s="166" t="str">
        <f>IFERROR(VLOOKUP(基本資料填寫!$E$1&amp;"-"&amp;ROW(書籍檔建置!CC1),基本資料填寫!$E:$EU,COLUMN(基本資料填寫!CG1),0),"")</f>
        <v>1973B</v>
      </c>
      <c r="H4" s="151"/>
      <c r="I4" s="151"/>
      <c r="J4" s="178"/>
    </row>
    <row r="5" spans="1:10" s="117" customFormat="1" x14ac:dyDescent="0.3">
      <c r="A5" s="117" t="s">
        <v>173</v>
      </c>
      <c r="B5" s="115">
        <f>IF(D5="","",COUNTA($D$4:D5))</f>
        <v>2</v>
      </c>
      <c r="C5" s="166" t="str">
        <f>IFERROR(VLOOKUP(基本資料填寫!$E$1&amp;"-"&amp;ROW(書籍檔建置!N2),基本資料填寫!$E:$EU,COLUMN(基本資料填寫!R2),0),"")</f>
        <v>YETL22088</v>
      </c>
      <c r="D5" s="166" t="str">
        <f>IFERROR(VLOOKUP(基本資料填寫!$E$1&amp;"-"&amp;ROW(書籍檔建置!H2),基本資料填寫!$E:$EU,COLUMN(基本資料填寫!K2),0),"")</f>
        <v>455.029.4.21H</v>
      </c>
      <c r="E5" s="166" t="str">
        <f>IFERROR(VLOOKUP(基本資料填寫!$E$1&amp;"-"&amp;ROW(書籍檔建置!CB2),基本資料填寫!$E:$EU,COLUMN(基本資料填寫!CF2),0),"")</f>
        <v>A</v>
      </c>
      <c r="F5" s="166" t="str">
        <f>IFERROR(VLOOKUP(基本資料填寫!$E$1&amp;"-"&amp;ROW(書籍檔建置!CC2),基本資料填寫!$E:$EU,COLUMN(基本資料填寫!CG2),0),"")</f>
        <v>1973B</v>
      </c>
      <c r="H5" s="153"/>
      <c r="I5" s="153"/>
      <c r="J5" s="178"/>
    </row>
    <row r="6" spans="1:10" s="117" customFormat="1" x14ac:dyDescent="0.3">
      <c r="A6" s="117" t="s">
        <v>173</v>
      </c>
      <c r="B6" s="115">
        <f>IF(D6="","",COUNTA($D$4:D6))</f>
        <v>3</v>
      </c>
      <c r="C6" s="166" t="str">
        <f>IFERROR(VLOOKUP(基本資料填寫!$E$1&amp;"-"&amp;ROW(書籍檔建置!N3),基本資料填寫!$E:$EU,COLUMN(基本資料填寫!R3),0),"")</f>
        <v>YETL22087</v>
      </c>
      <c r="D6" s="166" t="str">
        <f>IFERROR(VLOOKUP(基本資料填寫!$E$1&amp;"-"&amp;ROW(書籍檔建置!H3),基本資料填寫!$E:$EU,COLUMN(基本資料填寫!K3),0),"")</f>
        <v>455.031.4.16H</v>
      </c>
      <c r="E6" s="166" t="str">
        <f>IFERROR(VLOOKUP(基本資料填寫!$E$1&amp;"-"&amp;ROW(書籍檔建置!CB3),基本資料填寫!$E:$EU,COLUMN(基本資料填寫!CF3),0),"")</f>
        <v>A</v>
      </c>
      <c r="F6" s="166" t="str">
        <f>IFERROR(VLOOKUP(基本資料填寫!$E$1&amp;"-"&amp;ROW(書籍檔建置!CC3),基本資料填寫!$E:$EU,COLUMN(基本資料填寫!CG3),0),"")</f>
        <v>1973B</v>
      </c>
      <c r="H6" s="153"/>
      <c r="I6" s="153"/>
      <c r="J6" s="178"/>
    </row>
    <row r="7" spans="1:10" s="117" customFormat="1" x14ac:dyDescent="0.3">
      <c r="B7" s="115">
        <f>IF(D7="","",COUNTA($D$4:D7))</f>
        <v>4</v>
      </c>
      <c r="C7" s="166" t="str">
        <f>IFERROR(VLOOKUP(基本資料填寫!$E$1&amp;"-"&amp;ROW(書籍檔建置!N4),基本資料填寫!$E:$EU,COLUMN(基本資料填寫!R4),0),"")</f>
        <v>YETL22086</v>
      </c>
      <c r="D7" s="166" t="str">
        <f>IFERROR(VLOOKUP(基本資料填寫!$E$1&amp;"-"&amp;ROW(書籍檔建置!H4),基本資料填寫!$E:$EU,COLUMN(基本資料填寫!K4),0),"")</f>
        <v xml:space="preserve"> 455.005.7H</v>
      </c>
      <c r="E7" s="166" t="str">
        <f>IFERROR(VLOOKUP(基本資料填寫!$E$1&amp;"-"&amp;ROW(書籍檔建置!CB4),基本資料填寫!$E:$EU,COLUMN(基本資料填寫!CF4),0),"")</f>
        <v>A</v>
      </c>
      <c r="F7" s="166" t="str">
        <f>IFERROR(VLOOKUP(基本資料填寫!$E$1&amp;"-"&amp;ROW(書籍檔建置!CC4),基本資料填寫!$E:$EU,COLUMN(基本資料填寫!CG4),0),"")</f>
        <v>1973B</v>
      </c>
      <c r="H7" s="153"/>
      <c r="I7" s="153"/>
      <c r="J7" s="178"/>
    </row>
    <row r="8" spans="1:10" s="117" customFormat="1" x14ac:dyDescent="0.3">
      <c r="B8" s="115">
        <f>IF(D8="","",COUNTA($D$4:D8))</f>
        <v>5</v>
      </c>
      <c r="C8" s="166" t="str">
        <f>IFERROR(VLOOKUP(基本資料填寫!$E$1&amp;"-"&amp;ROW(書籍檔建置!N5),基本資料填寫!$E:$EU,COLUMN(基本資料填寫!R5),0),"")</f>
        <v>YETL22085</v>
      </c>
      <c r="D8" s="166" t="str">
        <f>IFERROR(VLOOKUP(基本資料填寫!$E$1&amp;"-"&amp;ROW(書籍檔建置!H5),基本資料填寫!$E:$EU,COLUMN(基本資料填寫!K5),0),"")</f>
        <v>455.029.4.12H</v>
      </c>
      <c r="E8" s="166" t="str">
        <f>IFERROR(VLOOKUP(基本資料填寫!$E$1&amp;"-"&amp;ROW(書籍檔建置!CB5),基本資料填寫!$E:$EU,COLUMN(基本資料填寫!CF5),0),"")</f>
        <v>A</v>
      </c>
      <c r="F8" s="166" t="str">
        <f>IFERROR(VLOOKUP(基本資料填寫!$E$1&amp;"-"&amp;ROW(書籍檔建置!CC5),基本資料填寫!$E:$EU,COLUMN(基本資料填寫!CG5),0),"")</f>
        <v>1973B</v>
      </c>
      <c r="H8" s="153"/>
      <c r="I8" s="153"/>
      <c r="J8" s="178"/>
    </row>
    <row r="9" spans="1:10" s="117" customFormat="1" x14ac:dyDescent="0.3">
      <c r="B9" s="115">
        <f>IF(D9="","",COUNTA($D$4:D9))</f>
        <v>6</v>
      </c>
      <c r="C9" s="166" t="str">
        <f>IFERROR(VLOOKUP(基本資料填寫!$E$1&amp;"-"&amp;ROW(書籍檔建置!N6),基本資料填寫!$E:$EU,COLUMN(基本資料填寫!R6),0),"")</f>
        <v>YETL申請中</v>
      </c>
      <c r="D9" s="166" t="str">
        <f>IFERROR(VLOOKUP(基本資料填寫!$E$1&amp;"-"&amp;ROW(書籍檔建置!H6),基本資料填寫!$E:$EU,COLUMN(基本資料填寫!K6),0),"")</f>
        <v>350.500</v>
      </c>
      <c r="E9" s="166" t="str">
        <f>IFERROR(VLOOKUP(基本資料填寫!$E$1&amp;"-"&amp;ROW(書籍檔建置!CB6),基本資料填寫!$E:$EU,COLUMN(基本資料填寫!CF6),0),"")</f>
        <v>A</v>
      </c>
      <c r="F9" s="166" t="str">
        <f>IFERROR(VLOOKUP(基本資料填寫!$E$1&amp;"-"&amp;ROW(書籍檔建置!CC6),基本資料填寫!$E:$EU,COLUMN(基本資料填寫!CG6),0),"")</f>
        <v>1973B</v>
      </c>
      <c r="H9" s="153"/>
      <c r="I9" s="153"/>
      <c r="J9" s="178"/>
    </row>
    <row r="10" spans="1:10" s="117" customFormat="1" x14ac:dyDescent="0.3">
      <c r="B10" s="115">
        <f>IF(D10="","",COUNTA($D$4:D10))</f>
        <v>7</v>
      </c>
      <c r="C10" s="166" t="str">
        <f>IFERROR(VLOOKUP(基本資料填寫!$E$1&amp;"-"&amp;ROW(書籍檔建置!N7),基本資料填寫!$E:$EU,COLUMN(基本資料填寫!R7),0),"")</f>
        <v>YETL22089</v>
      </c>
      <c r="D10" s="166" t="str">
        <f>IFERROR(VLOOKUP(基本資料填寫!$E$1&amp;"-"&amp;ROW(書籍檔建置!H7),基本資料填寫!$E:$EU,COLUMN(基本資料填寫!K7),0),"")</f>
        <v>149.015 SCM</v>
      </c>
      <c r="E10" s="166" t="str">
        <f>IFERROR(VLOOKUP(基本資料填寫!$E$1&amp;"-"&amp;ROW(書籍檔建置!CB7),基本資料填寫!$E:$EU,COLUMN(基本資料填寫!CF7),0),"")</f>
        <v>A</v>
      </c>
      <c r="F10" s="166" t="str">
        <f>IFERROR(VLOOKUP(基本資料填寫!$E$1&amp;"-"&amp;ROW(書籍檔建置!CC7),基本資料填寫!$E:$EU,COLUMN(基本資料填寫!CG7),0),"")</f>
        <v>1973B</v>
      </c>
      <c r="H10" s="153"/>
      <c r="I10" s="153"/>
      <c r="J10" s="178"/>
    </row>
    <row r="11" spans="1:10" s="117" customFormat="1" x14ac:dyDescent="0.3">
      <c r="B11" s="115">
        <f>IF(D11="","",COUNTA($D$4:D11))</f>
        <v>8</v>
      </c>
      <c r="C11" s="166" t="str">
        <f>IFERROR(VLOOKUP(基本資料填寫!$E$1&amp;"-"&amp;ROW(書籍檔建置!N8),基本資料填寫!$E:$EU,COLUMN(基本資料填寫!R8),0),"")</f>
        <v>YETL22119</v>
      </c>
      <c r="D11" s="166" t="str">
        <f>IFERROR(VLOOKUP(基本資料填寫!$E$1&amp;"-"&amp;ROW(書籍檔建置!H8),基本資料填寫!$E:$EU,COLUMN(基本資料填寫!K8),0),"")</f>
        <v>350.501 SCM</v>
      </c>
      <c r="E11" s="166" t="str">
        <f>IFERROR(VLOOKUP(基本資料填寫!$E$1&amp;"-"&amp;ROW(書籍檔建置!CB8),基本資料填寫!$E:$EU,COLUMN(基本資料填寫!CF8),0),"")</f>
        <v>A</v>
      </c>
      <c r="F11" s="166" t="str">
        <f>IFERROR(VLOOKUP(基本資料填寫!$E$1&amp;"-"&amp;ROW(書籍檔建置!CC8),基本資料填寫!$E:$EU,COLUMN(基本資料填寫!CG8),0),"")</f>
        <v>1973B</v>
      </c>
      <c r="H11" s="153"/>
      <c r="I11" s="153"/>
      <c r="J11" s="178"/>
    </row>
    <row r="12" spans="1:10" s="117" customFormat="1" x14ac:dyDescent="0.3">
      <c r="B12" s="115">
        <f>IF(D12="","",COUNTA($D$4:D12))</f>
        <v>9</v>
      </c>
      <c r="C12" s="166" t="str">
        <f>IFERROR(VLOOKUP(基本資料填寫!$E$1&amp;"-"&amp;ROW(書籍檔建置!N9),基本資料填寫!$E:$EU,COLUMN(基本資料填寫!R9),0),"")</f>
        <v>YETL申請中</v>
      </c>
      <c r="D12" s="166" t="str">
        <f>IFERROR(VLOOKUP(基本資料填寫!$E$1&amp;"-"&amp;ROW(書籍檔建置!H9),基本資料填寫!$E:$EU,COLUMN(基本資料填寫!K9),0),"")</f>
        <v>455.805</v>
      </c>
      <c r="E12" s="166" t="str">
        <f>IFERROR(VLOOKUP(基本資料填寫!$E$1&amp;"-"&amp;ROW(書籍檔建置!CB9),基本資料填寫!$E:$EU,COLUMN(基本資料填寫!CF9),0),"")</f>
        <v>A</v>
      </c>
      <c r="F12" s="166" t="str">
        <f>IFERROR(VLOOKUP(基本資料填寫!$E$1&amp;"-"&amp;ROW(書籍檔建置!CC9),基本資料填寫!$E:$EU,COLUMN(基本資料填寫!CG9),0),"")</f>
        <v>1973B</v>
      </c>
      <c r="H12" s="153"/>
      <c r="I12" s="153"/>
      <c r="J12" s="178"/>
    </row>
    <row r="13" spans="1:10" s="117" customFormat="1" x14ac:dyDescent="0.3">
      <c r="B13" s="115">
        <f>IF(D13="","",COUNTA($D$4:D13))</f>
        <v>10</v>
      </c>
      <c r="C13" s="166" t="str">
        <f>IFERROR(VLOOKUP(基本資料填寫!$E$1&amp;"-"&amp;ROW(書籍檔建置!N10),基本資料填寫!$E:$EU,COLUMN(基本資料填寫!R10),0),"")</f>
        <v>YETL申請中</v>
      </c>
      <c r="D13" s="166" t="str">
        <f>IFERROR(VLOOKUP(基本資料填寫!$E$1&amp;"-"&amp;ROW(書籍檔建置!H10),基本資料填寫!$E:$EU,COLUMN(基本資料填寫!K10),0),"")</f>
        <v>149.907</v>
      </c>
      <c r="E13" s="166" t="str">
        <f>IFERROR(VLOOKUP(基本資料填寫!$E$1&amp;"-"&amp;ROW(書籍檔建置!CB10),基本資料填寫!$E:$EU,COLUMN(基本資料填寫!CF10),0),"")</f>
        <v>A</v>
      </c>
      <c r="F13" s="166" t="str">
        <f>IFERROR(VLOOKUP(基本資料填寫!$E$1&amp;"-"&amp;ROW(書籍檔建置!CC10),基本資料填寫!$E:$EU,COLUMN(基本資料填寫!CG10),0),"")</f>
        <v>1973B</v>
      </c>
      <c r="H13" s="153"/>
      <c r="I13" s="153"/>
      <c r="J13" s="178"/>
    </row>
    <row r="14" spans="1:10" s="117" customFormat="1" x14ac:dyDescent="0.3">
      <c r="B14" s="115">
        <f>IF(D14="","",COUNTA($D$4:D14))</f>
        <v>11</v>
      </c>
      <c r="C14" s="166" t="str">
        <f>IFERROR(VLOOKUP(基本資料填寫!$E$1&amp;"-"&amp;ROW(書籍檔建置!N11),基本資料填寫!$E:$EU,COLUMN(基本資料填寫!R11),0),"")</f>
        <v>YETL22084</v>
      </c>
      <c r="D14" s="166" t="str">
        <f>IFERROR(VLOOKUP(基本資料填寫!$E$1&amp;"-"&amp;ROW(書籍檔建置!H11),基本資料填寫!$E:$EU,COLUMN(基本資料填寫!K11),0),"")</f>
        <v>455.010 SCM</v>
      </c>
      <c r="E14" s="166" t="str">
        <f>IFERROR(VLOOKUP(基本資料填寫!$E$1&amp;"-"&amp;ROW(書籍檔建置!CB11),基本資料填寫!$E:$EU,COLUMN(基本資料填寫!CF11),0),"")</f>
        <v>A</v>
      </c>
      <c r="F14" s="166" t="str">
        <f>IFERROR(VLOOKUP(基本資料填寫!$E$1&amp;"-"&amp;ROW(書籍檔建置!CC11),基本資料填寫!$E:$EU,COLUMN(基本資料填寫!CG11),0),"")</f>
        <v>1973B</v>
      </c>
      <c r="H14" s="153"/>
      <c r="I14" s="153"/>
      <c r="J14" s="178"/>
    </row>
    <row r="15" spans="1:10" s="117" customFormat="1" x14ac:dyDescent="0.3">
      <c r="B15" s="115">
        <f>IF(D15="","",COUNTA($D$4:D15))</f>
        <v>12</v>
      </c>
      <c r="C15" s="166" t="str">
        <f>IFERROR(VLOOKUP(基本資料填寫!$E$1&amp;"-"&amp;ROW(書籍檔建置!N12),基本資料填寫!$E:$EU,COLUMN(基本資料填寫!R12),0),"")</f>
        <v>YETL22083</v>
      </c>
      <c r="D15" s="166" t="str">
        <f>IFERROR(VLOOKUP(基本資料填寫!$E$1&amp;"-"&amp;ROW(書籍檔建置!H12),基本資料填寫!$E:$EU,COLUMN(基本資料填寫!K12),0),"")</f>
        <v>358.004 SCM</v>
      </c>
      <c r="E15" s="166" t="str">
        <f>IFERROR(VLOOKUP(基本資料填寫!$E$1&amp;"-"&amp;ROW(書籍檔建置!CB12),基本資料填寫!$E:$EU,COLUMN(基本資料填寫!CF12),0),"")</f>
        <v>A</v>
      </c>
      <c r="F15" s="166" t="str">
        <f>IFERROR(VLOOKUP(基本資料填寫!$E$1&amp;"-"&amp;ROW(書籍檔建置!CC12),基本資料填寫!$E:$EU,COLUMN(基本資料填寫!CG12),0),"")</f>
        <v>1973B</v>
      </c>
      <c r="H15" s="153"/>
      <c r="I15" s="153"/>
      <c r="J15" s="178"/>
    </row>
    <row r="16" spans="1:10" s="117" customFormat="1" x14ac:dyDescent="0.3">
      <c r="B16" s="115">
        <f>IF(D16="","",COUNTA($D$4:D16))</f>
        <v>13</v>
      </c>
      <c r="C16" s="166" t="str">
        <f>IFERROR(VLOOKUP(基本資料填寫!$E$1&amp;"-"&amp;ROW(書籍檔建置!N13),基本資料填寫!$E:$EU,COLUMN(基本資料填寫!R13),0),"")</f>
        <v>YETL22082</v>
      </c>
      <c r="D16" s="166" t="str">
        <f>IFERROR(VLOOKUP(基本資料填寫!$E$1&amp;"-"&amp;ROW(書籍檔建置!H13),基本資料填寫!$E:$EU,COLUMN(基本資料填寫!K13),0),"")</f>
        <v>358.005 SCM</v>
      </c>
      <c r="E16" s="166" t="str">
        <f>IFERROR(VLOOKUP(基本資料填寫!$E$1&amp;"-"&amp;ROW(書籍檔建置!CB13),基本資料填寫!$E:$EU,COLUMN(基本資料填寫!CF13),0),"")</f>
        <v>A</v>
      </c>
      <c r="F16" s="166" t="str">
        <f>IFERROR(VLOOKUP(基本資料填寫!$E$1&amp;"-"&amp;ROW(書籍檔建置!CC13),基本資料填寫!$E:$EU,COLUMN(基本資料填寫!CG13),0),"")</f>
        <v>1973B</v>
      </c>
      <c r="H16" s="153"/>
      <c r="I16" s="153"/>
      <c r="J16" s="178"/>
    </row>
    <row r="17" spans="2:10" s="117" customFormat="1" x14ac:dyDescent="0.3">
      <c r="B17" s="115">
        <f>IF(D17="","",COUNTA($D$4:D17))</f>
        <v>14</v>
      </c>
      <c r="C17" s="166" t="str">
        <f>IFERROR(VLOOKUP(基本資料填寫!$E$1&amp;"-"&amp;ROW(書籍檔建置!N14),基本資料填寫!$E:$EU,COLUMN(基本資料填寫!R14),0),"")</f>
        <v>YETL22091</v>
      </c>
      <c r="D17" s="166" t="str">
        <f>IFERROR(VLOOKUP(基本資料填寫!$E$1&amp;"-"&amp;ROW(書籍檔建置!H14),基本資料填寫!$E:$EU,COLUMN(基本資料填寫!K14),0),"")</f>
        <v>455.003</v>
      </c>
      <c r="E17" s="166" t="str">
        <f>IFERROR(VLOOKUP(基本資料填寫!$E$1&amp;"-"&amp;ROW(書籍檔建置!CB14),基本資料填寫!$E:$EU,COLUMN(基本資料填寫!CF14),0),"")</f>
        <v>A</v>
      </c>
      <c r="F17" s="166" t="str">
        <f>IFERROR(VLOOKUP(基本資料填寫!$E$1&amp;"-"&amp;ROW(書籍檔建置!CC14),基本資料填寫!$E:$EU,COLUMN(基本資料填寫!CG14),0),"")</f>
        <v>1973B</v>
      </c>
      <c r="H17" s="153"/>
      <c r="I17" s="153"/>
      <c r="J17" s="178"/>
    </row>
    <row r="18" spans="2:10" s="117" customFormat="1" x14ac:dyDescent="0.3">
      <c r="B18" s="115" t="str">
        <f>IF(D18="","",COUNTA($D$4:D18))</f>
        <v/>
      </c>
      <c r="C18" s="166" t="str">
        <f>IFERROR(VLOOKUP(基本資料填寫!$E$1&amp;"-"&amp;ROW(書籍檔建置!N15),基本資料填寫!$E:$EU,COLUMN(基本資料填寫!R15),0),"")</f>
        <v/>
      </c>
      <c r="D18" s="166" t="str">
        <f>IFERROR(VLOOKUP(基本資料填寫!$E$1&amp;"-"&amp;ROW(書籍檔建置!H15),基本資料填寫!$E:$EU,COLUMN(基本資料填寫!K15),0),"")</f>
        <v/>
      </c>
      <c r="E18" s="166" t="str">
        <f>IFERROR(VLOOKUP(基本資料填寫!$E$1&amp;"-"&amp;ROW(書籍檔建置!CB15),基本資料填寫!$E:$EU,COLUMN(基本資料填寫!CF15),0),"")</f>
        <v/>
      </c>
      <c r="F18" s="166" t="str">
        <f>IFERROR(VLOOKUP(基本資料填寫!$E$1&amp;"-"&amp;ROW(書籍檔建置!CC15),基本資料填寫!$E:$EU,COLUMN(基本資料填寫!CG15),0),"")</f>
        <v/>
      </c>
      <c r="H18" s="153"/>
      <c r="I18" s="153"/>
      <c r="J18" s="178"/>
    </row>
    <row r="19" spans="2:10" x14ac:dyDescent="0.3">
      <c r="B19" s="115" t="str">
        <f>IF(D19="","",COUNTA($D$4:D19))</f>
        <v/>
      </c>
      <c r="C19" s="166" t="str">
        <f>IFERROR(VLOOKUP(基本資料填寫!$E$1&amp;"-"&amp;ROW(書籍檔建置!N16),基本資料填寫!$E:$EU,COLUMN(基本資料填寫!R16),0),"")</f>
        <v/>
      </c>
      <c r="D19" s="166" t="str">
        <f>IFERROR(VLOOKUP(基本資料填寫!$E$1&amp;"-"&amp;ROW(書籍檔建置!H16),基本資料填寫!$E:$EU,COLUMN(基本資料填寫!K16),0),"")</f>
        <v/>
      </c>
      <c r="E19" s="166" t="str">
        <f>IFERROR(VLOOKUP(基本資料填寫!$E$1&amp;"-"&amp;ROW(書籍檔建置!CB16),基本資料填寫!$E:$EU,COLUMN(基本資料填寫!CF16),0),"")</f>
        <v/>
      </c>
      <c r="F19" s="166" t="str">
        <f>IFERROR(VLOOKUP(基本資料填寫!$E$1&amp;"-"&amp;ROW(書籍檔建置!CC16),基本資料填寫!$E:$EU,COLUMN(基本資料填寫!CG16),0),"")</f>
        <v/>
      </c>
      <c r="H19" s="153"/>
      <c r="I19" s="153"/>
    </row>
    <row r="20" spans="2:10" x14ac:dyDescent="0.3">
      <c r="B20" s="115" t="str">
        <f>IF(D20="","",COUNTA($D$4:D20))</f>
        <v/>
      </c>
      <c r="C20" s="166" t="str">
        <f>IFERROR(VLOOKUP(基本資料填寫!$E$1&amp;"-"&amp;ROW(書籍檔建置!N17),基本資料填寫!$E:$EU,COLUMN(基本資料填寫!R17),0),"")</f>
        <v/>
      </c>
      <c r="D20" s="166" t="str">
        <f>IFERROR(VLOOKUP(基本資料填寫!$E$1&amp;"-"&amp;ROW(書籍檔建置!H17),基本資料填寫!$E:$EU,COLUMN(基本資料填寫!K17),0),"")</f>
        <v/>
      </c>
      <c r="E20" s="166" t="str">
        <f>IFERROR(VLOOKUP(基本資料填寫!$E$1&amp;"-"&amp;ROW(書籍檔建置!CB17),基本資料填寫!$E:$EU,COLUMN(基本資料填寫!CF17),0),"")</f>
        <v/>
      </c>
      <c r="F20" s="166" t="str">
        <f>IFERROR(VLOOKUP(基本資料填寫!$E$1&amp;"-"&amp;ROW(書籍檔建置!CC17),基本資料填寫!$E:$EU,COLUMN(基本資料填寫!CG17),0),"")</f>
        <v/>
      </c>
      <c r="H20" s="153"/>
      <c r="I20" s="153"/>
    </row>
    <row r="21" spans="2:10" x14ac:dyDescent="0.3">
      <c r="B21" s="115" t="str">
        <f>IF(D21="","",COUNTA($D$4:D21))</f>
        <v/>
      </c>
      <c r="C21" s="166" t="str">
        <f>IFERROR(VLOOKUP(基本資料填寫!$E$1&amp;"-"&amp;ROW(書籍檔建置!N18),基本資料填寫!$E:$EU,COLUMN(基本資料填寫!R18),0),"")</f>
        <v/>
      </c>
      <c r="D21" s="166" t="str">
        <f>IFERROR(VLOOKUP(基本資料填寫!$E$1&amp;"-"&amp;ROW(書籍檔建置!H18),基本資料填寫!$E:$EU,COLUMN(基本資料填寫!K18),0),"")</f>
        <v/>
      </c>
      <c r="E21" s="166" t="str">
        <f>IFERROR(VLOOKUP(基本資料填寫!$E$1&amp;"-"&amp;ROW(書籍檔建置!CB18),基本資料填寫!$E:$EU,COLUMN(基本資料填寫!CF18),0),"")</f>
        <v/>
      </c>
      <c r="F21" s="166" t="str">
        <f>IFERROR(VLOOKUP(基本資料填寫!$E$1&amp;"-"&amp;ROW(書籍檔建置!CC18),基本資料填寫!$E:$EU,COLUMN(基本資料填寫!CG18),0),"")</f>
        <v/>
      </c>
      <c r="H21" s="153"/>
      <c r="I21" s="153"/>
    </row>
    <row r="22" spans="2:10" x14ac:dyDescent="0.3">
      <c r="B22" s="115" t="str">
        <f>IF(D22="","",COUNTA($D$4:D22))</f>
        <v/>
      </c>
      <c r="C22" s="166" t="str">
        <f>IFERROR(VLOOKUP(基本資料填寫!$E$1&amp;"-"&amp;ROW(書籍檔建置!N19),基本資料填寫!$E:$EU,COLUMN(基本資料填寫!R19),0),"")</f>
        <v/>
      </c>
      <c r="D22" s="166" t="str">
        <f>IFERROR(VLOOKUP(基本資料填寫!$E$1&amp;"-"&amp;ROW(書籍檔建置!H19),基本資料填寫!$E:$EU,COLUMN(基本資料填寫!K19),0),"")</f>
        <v/>
      </c>
      <c r="E22" s="166" t="str">
        <f>IFERROR(VLOOKUP(基本資料填寫!$E$1&amp;"-"&amp;ROW(書籍檔建置!CB19),基本資料填寫!$E:$EU,COLUMN(基本資料填寫!CF19),0),"")</f>
        <v/>
      </c>
      <c r="F22" s="166" t="str">
        <f>IFERROR(VLOOKUP(基本資料填寫!$E$1&amp;"-"&amp;ROW(書籍檔建置!CC19),基本資料填寫!$E:$EU,COLUMN(基本資料填寫!CG19),0),"")</f>
        <v/>
      </c>
      <c r="H22" s="153"/>
      <c r="I22" s="153"/>
    </row>
    <row r="23" spans="2:10" x14ac:dyDescent="0.3">
      <c r="B23" s="115" t="str">
        <f>IF(D23="","",COUNTA($D$4:D23))</f>
        <v/>
      </c>
      <c r="C23" s="166" t="str">
        <f>IFERROR(VLOOKUP(基本資料填寫!$E$1&amp;"-"&amp;ROW(書籍檔建置!N20),基本資料填寫!$E:$EU,COLUMN(基本資料填寫!R20),0),"")</f>
        <v/>
      </c>
      <c r="D23" s="166" t="str">
        <f>IFERROR(VLOOKUP(基本資料填寫!$E$1&amp;"-"&amp;ROW(書籍檔建置!H20),基本資料填寫!$E:$EU,COLUMN(基本資料填寫!K20),0),"")</f>
        <v/>
      </c>
      <c r="E23" s="166" t="str">
        <f>IFERROR(VLOOKUP(基本資料填寫!$E$1&amp;"-"&amp;ROW(書籍檔建置!CB20),基本資料填寫!$E:$EU,COLUMN(基本資料填寫!CF20),0),"")</f>
        <v/>
      </c>
      <c r="F23" s="166" t="str">
        <f>IFERROR(VLOOKUP(基本資料填寫!$E$1&amp;"-"&amp;ROW(書籍檔建置!CC20),基本資料填寫!$E:$EU,COLUMN(基本資料填寫!CG20),0),"")</f>
        <v/>
      </c>
      <c r="H23" s="153"/>
      <c r="I23" s="153"/>
    </row>
    <row r="24" spans="2:10" x14ac:dyDescent="0.3">
      <c r="B24" s="115" t="str">
        <f>IF(D24="","",COUNTA($D$4:D24))</f>
        <v/>
      </c>
      <c r="C24" s="166" t="str">
        <f>IFERROR(VLOOKUP(基本資料填寫!$E$1&amp;"-"&amp;ROW(書籍檔建置!N21),基本資料填寫!$E:$EU,COLUMN(基本資料填寫!R21),0),"")</f>
        <v/>
      </c>
      <c r="D24" s="166" t="str">
        <f>IFERROR(VLOOKUP(基本資料填寫!$E$1&amp;"-"&amp;ROW(書籍檔建置!H21),基本資料填寫!$E:$EU,COLUMN(基本資料填寫!K21),0),"")</f>
        <v/>
      </c>
      <c r="E24" s="166" t="str">
        <f>IFERROR(VLOOKUP(基本資料填寫!$E$1&amp;"-"&amp;ROW(書籍檔建置!CB21),基本資料填寫!$E:$EU,COLUMN(基本資料填寫!CF21),0),"")</f>
        <v/>
      </c>
      <c r="F24" s="166" t="str">
        <f>IFERROR(VLOOKUP(基本資料填寫!$E$1&amp;"-"&amp;ROW(書籍檔建置!CC21),基本資料填寫!$E:$EU,COLUMN(基本資料填寫!CG21),0),"")</f>
        <v/>
      </c>
      <c r="H24" s="153"/>
      <c r="I24" s="153"/>
    </row>
    <row r="25" spans="2:10" x14ac:dyDescent="0.3">
      <c r="B25" s="115" t="str">
        <f>IF(D25="","",COUNTA($D$4:D25))</f>
        <v/>
      </c>
      <c r="C25" s="166" t="str">
        <f>IFERROR(VLOOKUP(基本資料填寫!$E$1&amp;"-"&amp;ROW(書籍檔建置!N22),基本資料填寫!$E:$EU,COLUMN(基本資料填寫!R22),0),"")</f>
        <v/>
      </c>
      <c r="D25" s="166" t="str">
        <f>IFERROR(VLOOKUP(基本資料填寫!$E$1&amp;"-"&amp;ROW(書籍檔建置!H22),基本資料填寫!$E:$EU,COLUMN(基本資料填寫!K22),0),"")</f>
        <v/>
      </c>
      <c r="E25" s="166" t="str">
        <f>IFERROR(VLOOKUP(基本資料填寫!$E$1&amp;"-"&amp;ROW(書籍檔建置!CB22),基本資料填寫!$E:$EU,COLUMN(基本資料填寫!CF22),0),"")</f>
        <v/>
      </c>
      <c r="F25" s="166" t="str">
        <f>IFERROR(VLOOKUP(基本資料填寫!$E$1&amp;"-"&amp;ROW(書籍檔建置!CC22),基本資料填寫!$E:$EU,COLUMN(基本資料填寫!CG22),0),"")</f>
        <v/>
      </c>
      <c r="H25" s="153"/>
      <c r="I25" s="153"/>
    </row>
    <row r="26" spans="2:10" x14ac:dyDescent="0.3">
      <c r="B26" s="115" t="str">
        <f>IF(D26="","",COUNTA($D$4:D26))</f>
        <v/>
      </c>
      <c r="C26" s="166" t="str">
        <f>IFERROR(VLOOKUP(基本資料填寫!$E$1&amp;"-"&amp;ROW(書籍檔建置!N23),基本資料填寫!$E:$EU,COLUMN(基本資料填寫!R23),0),"")</f>
        <v/>
      </c>
      <c r="D26" s="166" t="str">
        <f>IFERROR(VLOOKUP(基本資料填寫!$E$1&amp;"-"&amp;ROW(書籍檔建置!H23),基本資料填寫!$E:$EU,COLUMN(基本資料填寫!K23),0),"")</f>
        <v/>
      </c>
      <c r="E26" s="166" t="str">
        <f>IFERROR(VLOOKUP(基本資料填寫!$E$1&amp;"-"&amp;ROW(書籍檔建置!CB23),基本資料填寫!$E:$EU,COLUMN(基本資料填寫!CF23),0),"")</f>
        <v/>
      </c>
      <c r="F26" s="166" t="str">
        <f>IFERROR(VLOOKUP(基本資料填寫!$E$1&amp;"-"&amp;ROW(書籍檔建置!CC23),基本資料填寫!$E:$EU,COLUMN(基本資料填寫!CG23),0),"")</f>
        <v/>
      </c>
      <c r="H26" s="153"/>
      <c r="I26" s="153"/>
    </row>
    <row r="27" spans="2:10" x14ac:dyDescent="0.3">
      <c r="B27" s="115" t="str">
        <f>IF(D27="","",COUNTA($D$4:D27))</f>
        <v/>
      </c>
      <c r="C27" s="166" t="str">
        <f>IFERROR(VLOOKUP(基本資料填寫!$E$1&amp;"-"&amp;ROW(書籍檔建置!N24),基本資料填寫!$E:$EU,COLUMN(基本資料填寫!R24),0),"")</f>
        <v/>
      </c>
      <c r="D27" s="166" t="str">
        <f>IFERROR(VLOOKUP(基本資料填寫!$E$1&amp;"-"&amp;ROW(書籍檔建置!H24),基本資料填寫!$E:$EU,COLUMN(基本資料填寫!K24),0),"")</f>
        <v/>
      </c>
      <c r="E27" s="166" t="str">
        <f>IFERROR(VLOOKUP(基本資料填寫!$E$1&amp;"-"&amp;ROW(書籍檔建置!CB24),基本資料填寫!$E:$EU,COLUMN(基本資料填寫!CF24),0),"")</f>
        <v/>
      </c>
      <c r="F27" s="166" t="str">
        <f>IFERROR(VLOOKUP(基本資料填寫!$E$1&amp;"-"&amp;ROW(書籍檔建置!CC24),基本資料填寫!$E:$EU,COLUMN(基本資料填寫!CG24),0),"")</f>
        <v/>
      </c>
      <c r="H27" s="153"/>
      <c r="I27" s="153"/>
    </row>
    <row r="28" spans="2:10" x14ac:dyDescent="0.3">
      <c r="B28" s="115" t="str">
        <f>IF(D28="","",COUNTA($D$4:D28))</f>
        <v/>
      </c>
      <c r="C28" s="166" t="str">
        <f>IFERROR(VLOOKUP(基本資料填寫!$E$1&amp;"-"&amp;ROW(書籍檔建置!N25),基本資料填寫!$E:$EU,COLUMN(基本資料填寫!R25),0),"")</f>
        <v/>
      </c>
      <c r="D28" s="166" t="str">
        <f>IFERROR(VLOOKUP(基本資料填寫!$E$1&amp;"-"&amp;ROW(書籍檔建置!H25),基本資料填寫!$E:$EU,COLUMN(基本資料填寫!K25),0),"")</f>
        <v/>
      </c>
      <c r="E28" s="166" t="str">
        <f>IFERROR(VLOOKUP(基本資料填寫!$E$1&amp;"-"&amp;ROW(書籍檔建置!CB25),基本資料填寫!$E:$EU,COLUMN(基本資料填寫!CF25),0),"")</f>
        <v/>
      </c>
      <c r="F28" s="166" t="str">
        <f>IFERROR(VLOOKUP(基本資料填寫!$E$1&amp;"-"&amp;ROW(書籍檔建置!CC25),基本資料填寫!$E:$EU,COLUMN(基本資料填寫!CG25),0),"")</f>
        <v/>
      </c>
      <c r="H28" s="153"/>
      <c r="I28" s="153"/>
    </row>
    <row r="29" spans="2:10" x14ac:dyDescent="0.3">
      <c r="B29" s="115" t="str">
        <f>IF(D29="","",COUNTA($D$4:D29))</f>
        <v/>
      </c>
      <c r="C29" s="166" t="str">
        <f>IFERROR(VLOOKUP(基本資料填寫!$E$1&amp;"-"&amp;ROW(書籍檔建置!N26),基本資料填寫!$E:$EU,COLUMN(基本資料填寫!R26),0),"")</f>
        <v/>
      </c>
      <c r="D29" s="166" t="str">
        <f>IFERROR(VLOOKUP(基本資料填寫!$E$1&amp;"-"&amp;ROW(書籍檔建置!H26),基本資料填寫!$E:$EU,COLUMN(基本資料填寫!K26),0),"")</f>
        <v/>
      </c>
      <c r="E29" s="166" t="str">
        <f>IFERROR(VLOOKUP(基本資料填寫!$E$1&amp;"-"&amp;ROW(書籍檔建置!CB26),基本資料填寫!$E:$EU,COLUMN(基本資料填寫!CF26),0),"")</f>
        <v/>
      </c>
      <c r="F29" s="166" t="str">
        <f>IFERROR(VLOOKUP(基本資料填寫!$E$1&amp;"-"&amp;ROW(書籍檔建置!CC26),基本資料填寫!$E:$EU,COLUMN(基本資料填寫!CG26),0),"")</f>
        <v/>
      </c>
      <c r="H29" s="153"/>
      <c r="I29" s="153"/>
    </row>
    <row r="30" spans="2:10" x14ac:dyDescent="0.3">
      <c r="B30" s="115" t="str">
        <f>IF(D30="","",COUNTA($D$4:D30))</f>
        <v/>
      </c>
      <c r="C30" s="166" t="str">
        <f>IFERROR(VLOOKUP(基本資料填寫!$E$1&amp;"-"&amp;ROW(書籍檔建置!N27),基本資料填寫!$E:$EU,COLUMN(基本資料填寫!R27),0),"")</f>
        <v/>
      </c>
      <c r="D30" s="166" t="str">
        <f>IFERROR(VLOOKUP(基本資料填寫!$E$1&amp;"-"&amp;ROW(書籍檔建置!H27),基本資料填寫!$E:$EU,COLUMN(基本資料填寫!K27),0),"")</f>
        <v/>
      </c>
      <c r="E30" s="166" t="str">
        <f>IFERROR(VLOOKUP(基本資料填寫!$E$1&amp;"-"&amp;ROW(書籍檔建置!CB27),基本資料填寫!$E:$EU,COLUMN(基本資料填寫!CF27),0),"")</f>
        <v/>
      </c>
      <c r="F30" s="166" t="str">
        <f>IFERROR(VLOOKUP(基本資料填寫!$E$1&amp;"-"&amp;ROW(書籍檔建置!CC27),基本資料填寫!$E:$EU,COLUMN(基本資料填寫!CG27),0),"")</f>
        <v/>
      </c>
      <c r="H30" s="153"/>
      <c r="I30" s="153"/>
    </row>
    <row r="31" spans="2:10" x14ac:dyDescent="0.3">
      <c r="B31" s="115" t="str">
        <f>IF(D31="","",COUNTA($D$4:D31))</f>
        <v/>
      </c>
      <c r="C31" s="166" t="str">
        <f>IFERROR(VLOOKUP(基本資料填寫!$E$1&amp;"-"&amp;ROW(書籍檔建置!N28),基本資料填寫!$E:$EU,COLUMN(基本資料填寫!R28),0),"")</f>
        <v/>
      </c>
      <c r="D31" s="166" t="str">
        <f>IFERROR(VLOOKUP(基本資料填寫!$E$1&amp;"-"&amp;ROW(書籍檔建置!H28),基本資料填寫!$E:$EU,COLUMN(基本資料填寫!K28),0),"")</f>
        <v/>
      </c>
      <c r="E31" s="166" t="str">
        <f>IFERROR(VLOOKUP(基本資料填寫!$E$1&amp;"-"&amp;ROW(書籍檔建置!CB28),基本資料填寫!$E:$EU,COLUMN(基本資料填寫!CF28),0),"")</f>
        <v/>
      </c>
      <c r="F31" s="166" t="str">
        <f>IFERROR(VLOOKUP(基本資料填寫!$E$1&amp;"-"&amp;ROW(書籍檔建置!CC28),基本資料填寫!$E:$EU,COLUMN(基本資料填寫!CG28),0),"")</f>
        <v/>
      </c>
      <c r="H31" s="153"/>
      <c r="I31" s="153"/>
    </row>
    <row r="32" spans="2:10" x14ac:dyDescent="0.3">
      <c r="B32" s="115" t="str">
        <f>IF(D32="","",COUNTA($D$4:D32))</f>
        <v/>
      </c>
      <c r="C32" s="166" t="str">
        <f>IFERROR(VLOOKUP(基本資料填寫!$E$1&amp;"-"&amp;ROW(書籍檔建置!N29),基本資料填寫!$E:$EU,COLUMN(基本資料填寫!R29),0),"")</f>
        <v/>
      </c>
      <c r="D32" s="166" t="str">
        <f>IFERROR(VLOOKUP(基本資料填寫!$E$1&amp;"-"&amp;ROW(書籍檔建置!H29),基本資料填寫!$E:$EU,COLUMN(基本資料填寫!K29),0),"")</f>
        <v/>
      </c>
      <c r="E32" s="166" t="str">
        <f>IFERROR(VLOOKUP(基本資料填寫!$E$1&amp;"-"&amp;ROW(書籍檔建置!CB29),基本資料填寫!$E:$EU,COLUMN(基本資料填寫!CF29),0),"")</f>
        <v/>
      </c>
      <c r="F32" s="166" t="str">
        <f>IFERROR(VLOOKUP(基本資料填寫!$E$1&amp;"-"&amp;ROW(書籍檔建置!CC29),基本資料填寫!$E:$EU,COLUMN(基本資料填寫!CG29),0),"")</f>
        <v/>
      </c>
      <c r="H32" s="153"/>
      <c r="I32" s="153"/>
    </row>
    <row r="33" spans="2:9" x14ac:dyDescent="0.3">
      <c r="B33" s="115" t="str">
        <f>IF(D33="","",COUNTA($D$4:D33))</f>
        <v/>
      </c>
      <c r="C33" s="166" t="str">
        <f>IFERROR(VLOOKUP(基本資料填寫!$E$1&amp;"-"&amp;ROW(書籍檔建置!N30),基本資料填寫!$E:$EU,COLUMN(基本資料填寫!R30),0),"")</f>
        <v/>
      </c>
      <c r="D33" s="166" t="str">
        <f>IFERROR(VLOOKUP(基本資料填寫!$E$1&amp;"-"&amp;ROW(書籍檔建置!H30),基本資料填寫!$E:$EU,COLUMN(基本資料填寫!K30),0),"")</f>
        <v/>
      </c>
      <c r="E33" s="166" t="str">
        <f>IFERROR(VLOOKUP(基本資料填寫!$E$1&amp;"-"&amp;ROW(書籍檔建置!CB30),基本資料填寫!$E:$EU,COLUMN(基本資料填寫!CF30),0),"")</f>
        <v/>
      </c>
      <c r="F33" s="166" t="str">
        <f>IFERROR(VLOOKUP(基本資料填寫!$E$1&amp;"-"&amp;ROW(書籍檔建置!CC30),基本資料填寫!$E:$EU,COLUMN(基本資料填寫!CG30),0),"")</f>
        <v/>
      </c>
      <c r="H33" s="153"/>
      <c r="I33" s="153"/>
    </row>
    <row r="34" spans="2:9" x14ac:dyDescent="0.3">
      <c r="B34" s="115" t="str">
        <f>IF(D34="","",COUNTA($D$4:D34))</f>
        <v/>
      </c>
      <c r="C34" s="166" t="str">
        <f>IFERROR(VLOOKUP(基本資料填寫!$E$1&amp;"-"&amp;ROW(書籍檔建置!N31),基本資料填寫!$E:$EU,COLUMN(基本資料填寫!R31),0),"")</f>
        <v/>
      </c>
      <c r="D34" s="166" t="str">
        <f>IFERROR(VLOOKUP(基本資料填寫!$E$1&amp;"-"&amp;ROW(書籍檔建置!H31),基本資料填寫!$E:$EU,COLUMN(基本資料填寫!K31),0),"")</f>
        <v/>
      </c>
      <c r="E34" s="166" t="str">
        <f>IFERROR(VLOOKUP(基本資料填寫!$E$1&amp;"-"&amp;ROW(書籍檔建置!CB31),基本資料填寫!$E:$EU,COLUMN(基本資料填寫!CF31),0),"")</f>
        <v/>
      </c>
      <c r="F34" s="166" t="str">
        <f>IFERROR(VLOOKUP(基本資料填寫!$E$1&amp;"-"&amp;ROW(書籍檔建置!CC31),基本資料填寫!$E:$EU,COLUMN(基本資料填寫!CG31),0),"")</f>
        <v/>
      </c>
      <c r="H34" s="153"/>
      <c r="I34" s="153"/>
    </row>
    <row r="35" spans="2:9" x14ac:dyDescent="0.3">
      <c r="B35" s="115" t="str">
        <f>IF(D35="","",COUNTA($D$4:D35))</f>
        <v/>
      </c>
      <c r="C35" s="166" t="str">
        <f>IFERROR(VLOOKUP(基本資料填寫!$E$1&amp;"-"&amp;ROW(書籍檔建置!N32),基本資料填寫!$E:$EU,COLUMN(基本資料填寫!R32),0),"")</f>
        <v/>
      </c>
      <c r="D35" s="166" t="str">
        <f>IFERROR(VLOOKUP(基本資料填寫!$E$1&amp;"-"&amp;ROW(書籍檔建置!H32),基本資料填寫!$E:$EU,COLUMN(基本資料填寫!K32),0),"")</f>
        <v/>
      </c>
      <c r="E35" s="166" t="str">
        <f>IFERROR(VLOOKUP(基本資料填寫!$E$1&amp;"-"&amp;ROW(書籍檔建置!CB32),基本資料填寫!$E:$EU,COLUMN(基本資料填寫!CF32),0),"")</f>
        <v/>
      </c>
      <c r="F35" s="166" t="str">
        <f>IFERROR(VLOOKUP(基本資料填寫!$E$1&amp;"-"&amp;ROW(書籍檔建置!CC32),基本資料填寫!$E:$EU,COLUMN(基本資料填寫!CG32),0),"")</f>
        <v/>
      </c>
      <c r="H35" s="153"/>
      <c r="I35" s="153"/>
    </row>
    <row r="36" spans="2:9" x14ac:dyDescent="0.3">
      <c r="B36" s="115" t="str">
        <f>IF(D36="","",COUNTA($D$4:D36))</f>
        <v/>
      </c>
      <c r="C36" s="166" t="str">
        <f>IFERROR(VLOOKUP(基本資料填寫!$E$1&amp;"-"&amp;ROW(書籍檔建置!N33),基本資料填寫!$E:$EU,COLUMN(基本資料填寫!R33),0),"")</f>
        <v/>
      </c>
      <c r="D36" s="166" t="str">
        <f>IFERROR(VLOOKUP(基本資料填寫!$E$1&amp;"-"&amp;ROW(書籍檔建置!H33),基本資料填寫!$E:$EU,COLUMN(基本資料填寫!K33),0),"")</f>
        <v/>
      </c>
      <c r="E36" s="166" t="str">
        <f>IFERROR(VLOOKUP(基本資料填寫!$E$1&amp;"-"&amp;ROW(書籍檔建置!CB33),基本資料填寫!$E:$EU,COLUMN(基本資料填寫!CF33),0),"")</f>
        <v/>
      </c>
      <c r="F36" s="166" t="str">
        <f>IFERROR(VLOOKUP(基本資料填寫!$E$1&amp;"-"&amp;ROW(書籍檔建置!CC33),基本資料填寫!$E:$EU,COLUMN(基本資料填寫!CG33),0),"")</f>
        <v/>
      </c>
      <c r="H36" s="153"/>
      <c r="I36" s="153"/>
    </row>
    <row r="37" spans="2:9" x14ac:dyDescent="0.3">
      <c r="B37" s="115" t="str">
        <f>IF(D37="","",COUNTA($D$4:D37))</f>
        <v/>
      </c>
      <c r="C37" s="166" t="str">
        <f>IFERROR(VLOOKUP(基本資料填寫!$E$1&amp;"-"&amp;ROW(書籍檔建置!N34),基本資料填寫!$E:$EU,COLUMN(基本資料填寫!R34),0),"")</f>
        <v/>
      </c>
      <c r="D37" s="166" t="str">
        <f>IFERROR(VLOOKUP(基本資料填寫!$E$1&amp;"-"&amp;ROW(書籍檔建置!H34),基本資料填寫!$E:$EU,COLUMN(基本資料填寫!K34),0),"")</f>
        <v/>
      </c>
      <c r="E37" s="166" t="str">
        <f>IFERROR(VLOOKUP(基本資料填寫!$E$1&amp;"-"&amp;ROW(書籍檔建置!CB34),基本資料填寫!$E:$EU,COLUMN(基本資料填寫!CF34),0),"")</f>
        <v/>
      </c>
      <c r="F37" s="166" t="str">
        <f>IFERROR(VLOOKUP(基本資料填寫!$E$1&amp;"-"&amp;ROW(書籍檔建置!CC34),基本資料填寫!$E:$EU,COLUMN(基本資料填寫!CG34),0),"")</f>
        <v/>
      </c>
      <c r="H37" s="153"/>
      <c r="I37" s="153"/>
    </row>
    <row r="38" spans="2:9" x14ac:dyDescent="0.3">
      <c r="B38" s="115" t="str">
        <f>IF(D38="","",COUNTA($D$4:D38))</f>
        <v/>
      </c>
      <c r="C38" s="166" t="str">
        <f>IFERROR(VLOOKUP(基本資料填寫!$E$1&amp;"-"&amp;ROW(書籍檔建置!N35),基本資料填寫!$E:$EU,COLUMN(基本資料填寫!R35),0),"")</f>
        <v/>
      </c>
      <c r="D38" s="166" t="str">
        <f>IFERROR(VLOOKUP(基本資料填寫!$E$1&amp;"-"&amp;ROW(書籍檔建置!H35),基本資料填寫!$E:$EU,COLUMN(基本資料填寫!K35),0),"")</f>
        <v/>
      </c>
      <c r="E38" s="166" t="str">
        <f>IFERROR(VLOOKUP(基本資料填寫!$E$1&amp;"-"&amp;ROW(書籍檔建置!CB35),基本資料填寫!$E:$EU,COLUMN(基本資料填寫!CF35),0),"")</f>
        <v/>
      </c>
      <c r="F38" s="166" t="str">
        <f>IFERROR(VLOOKUP(基本資料填寫!$E$1&amp;"-"&amp;ROW(書籍檔建置!CC35),基本資料填寫!$E:$EU,COLUMN(基本資料填寫!CG35),0),"")</f>
        <v/>
      </c>
      <c r="H38" s="153"/>
      <c r="I38" s="153"/>
    </row>
    <row r="39" spans="2:9" x14ac:dyDescent="0.3">
      <c r="B39" s="115" t="str">
        <f>IF(D39="","",COUNTA($D$4:D39))</f>
        <v/>
      </c>
      <c r="C39" s="166" t="str">
        <f>IFERROR(VLOOKUP(基本資料填寫!$E$1&amp;"-"&amp;ROW(書籍檔建置!N36),基本資料填寫!$E:$EU,COLUMN(基本資料填寫!R36),0),"")</f>
        <v/>
      </c>
      <c r="D39" s="166" t="str">
        <f>IFERROR(VLOOKUP(基本資料填寫!$E$1&amp;"-"&amp;ROW(書籍檔建置!H36),基本資料填寫!$E:$EU,COLUMN(基本資料填寫!K36),0),"")</f>
        <v/>
      </c>
      <c r="E39" s="166" t="str">
        <f>IFERROR(VLOOKUP(基本資料填寫!$E$1&amp;"-"&amp;ROW(書籍檔建置!CB36),基本資料填寫!$E:$EU,COLUMN(基本資料填寫!CF36),0),"")</f>
        <v/>
      </c>
      <c r="F39" s="166" t="str">
        <f>IFERROR(VLOOKUP(基本資料填寫!$E$1&amp;"-"&amp;ROW(書籍檔建置!CC36),基本資料填寫!$E:$EU,COLUMN(基本資料填寫!CG36),0),"")</f>
        <v/>
      </c>
      <c r="H39" s="153"/>
      <c r="I39" s="153"/>
    </row>
    <row r="40" spans="2:9" x14ac:dyDescent="0.3">
      <c r="B40" s="115" t="str">
        <f>IF(D40="","",COUNTA($D$4:D40))</f>
        <v/>
      </c>
      <c r="C40" s="166" t="str">
        <f>IFERROR(VLOOKUP(基本資料填寫!$E$1&amp;"-"&amp;ROW(書籍檔建置!N37),基本資料填寫!$E:$EU,COLUMN(基本資料填寫!R37),0),"")</f>
        <v/>
      </c>
      <c r="D40" s="166" t="str">
        <f>IFERROR(VLOOKUP(基本資料填寫!$E$1&amp;"-"&amp;ROW(書籍檔建置!H37),基本資料填寫!$E:$EU,COLUMN(基本資料填寫!K37),0),"")</f>
        <v/>
      </c>
      <c r="E40" s="166" t="str">
        <f>IFERROR(VLOOKUP(基本資料填寫!$E$1&amp;"-"&amp;ROW(書籍檔建置!CB37),基本資料填寫!$E:$EU,COLUMN(基本資料填寫!CF37),0),"")</f>
        <v/>
      </c>
      <c r="F40" s="166" t="str">
        <f>IFERROR(VLOOKUP(基本資料填寫!$E$1&amp;"-"&amp;ROW(書籍檔建置!CC37),基本資料填寫!$E:$EU,COLUMN(基本資料填寫!CG37),0),"")</f>
        <v/>
      </c>
      <c r="H40" s="153"/>
      <c r="I40" s="153"/>
    </row>
    <row r="41" spans="2:9" x14ac:dyDescent="0.3">
      <c r="B41" s="115" t="str">
        <f>IF(D41="","",COUNTA($D$4:D41))</f>
        <v/>
      </c>
      <c r="C41" s="166" t="str">
        <f>IFERROR(VLOOKUP(基本資料填寫!$E$1&amp;"-"&amp;ROW(書籍檔建置!N38),基本資料填寫!$E:$EU,COLUMN(基本資料填寫!R38),0),"")</f>
        <v/>
      </c>
      <c r="D41" s="166" t="str">
        <f>IFERROR(VLOOKUP(基本資料填寫!$E$1&amp;"-"&amp;ROW(書籍檔建置!H38),基本資料填寫!$E:$EU,COLUMN(基本資料填寫!K38),0),"")</f>
        <v/>
      </c>
      <c r="E41" s="166" t="str">
        <f>IFERROR(VLOOKUP(基本資料填寫!$E$1&amp;"-"&amp;ROW(書籍檔建置!CB38),基本資料填寫!$E:$EU,COLUMN(基本資料填寫!CF38),0),"")</f>
        <v/>
      </c>
      <c r="F41" s="166" t="str">
        <f>IFERROR(VLOOKUP(基本資料填寫!$E$1&amp;"-"&amp;ROW(書籍檔建置!CC38),基本資料填寫!$E:$EU,COLUMN(基本資料填寫!CG38),0),"")</f>
        <v/>
      </c>
      <c r="H41" s="153"/>
      <c r="I41" s="153"/>
    </row>
    <row r="42" spans="2:9" x14ac:dyDescent="0.3">
      <c r="B42" s="115" t="str">
        <f>IF(D42="","",COUNTA($D$4:D42))</f>
        <v/>
      </c>
      <c r="C42" s="166" t="str">
        <f>IFERROR(VLOOKUP(基本資料填寫!$E$1&amp;"-"&amp;ROW(書籍檔建置!N39),基本資料填寫!$E:$EU,COLUMN(基本資料填寫!R39),0),"")</f>
        <v/>
      </c>
      <c r="D42" s="166" t="str">
        <f>IFERROR(VLOOKUP(基本資料填寫!$E$1&amp;"-"&amp;ROW(書籍檔建置!H39),基本資料填寫!$E:$EU,COLUMN(基本資料填寫!K39),0),"")</f>
        <v/>
      </c>
      <c r="E42" s="166" t="str">
        <f>IFERROR(VLOOKUP(基本資料填寫!$E$1&amp;"-"&amp;ROW(書籍檔建置!CB39),基本資料填寫!$E:$EU,COLUMN(基本資料填寫!CF39),0),"")</f>
        <v/>
      </c>
      <c r="F42" s="166" t="str">
        <f>IFERROR(VLOOKUP(基本資料填寫!$E$1&amp;"-"&amp;ROW(書籍檔建置!CC39),基本資料填寫!$E:$EU,COLUMN(基本資料填寫!CG39),0),"")</f>
        <v/>
      </c>
      <c r="H42" s="153"/>
      <c r="I42" s="153"/>
    </row>
    <row r="43" spans="2:9" x14ac:dyDescent="0.3">
      <c r="B43" s="115" t="str">
        <f>IF(D43="","",COUNTA($D$4:D43))</f>
        <v/>
      </c>
      <c r="C43" s="166" t="str">
        <f>IFERROR(VLOOKUP(基本資料填寫!$E$1&amp;"-"&amp;ROW(書籍檔建置!N40),基本資料填寫!$E:$EU,COLUMN(基本資料填寫!R40),0),"")</f>
        <v/>
      </c>
      <c r="D43" s="166" t="str">
        <f>IFERROR(VLOOKUP(基本資料填寫!$E$1&amp;"-"&amp;ROW(書籍檔建置!H40),基本資料填寫!$E:$EU,COLUMN(基本資料填寫!K40),0),"")</f>
        <v/>
      </c>
      <c r="E43" s="166" t="str">
        <f>IFERROR(VLOOKUP(基本資料填寫!$E$1&amp;"-"&amp;ROW(書籍檔建置!CB40),基本資料填寫!$E:$EU,COLUMN(基本資料填寫!CF40),0),"")</f>
        <v/>
      </c>
      <c r="F43" s="166" t="str">
        <f>IFERROR(VLOOKUP(基本資料填寫!$E$1&amp;"-"&amp;ROW(書籍檔建置!CC40),基本資料填寫!$E:$EU,COLUMN(基本資料填寫!CG40),0),"")</f>
        <v/>
      </c>
      <c r="H43" s="153"/>
      <c r="I43" s="153"/>
    </row>
    <row r="44" spans="2:9" x14ac:dyDescent="0.3">
      <c r="B44" s="115" t="str">
        <f>IF(D44="","",COUNTA($D$4:D44))</f>
        <v/>
      </c>
      <c r="C44" s="166" t="str">
        <f>IFERROR(VLOOKUP(基本資料填寫!$E$1&amp;"-"&amp;ROW(書籍檔建置!N41),基本資料填寫!$E:$EU,COLUMN(基本資料填寫!R41),0),"")</f>
        <v/>
      </c>
      <c r="D44" s="166" t="str">
        <f>IFERROR(VLOOKUP(基本資料填寫!$E$1&amp;"-"&amp;ROW(書籍檔建置!H41),基本資料填寫!$E:$EU,COLUMN(基本資料填寫!K41),0),"")</f>
        <v/>
      </c>
      <c r="E44" s="166" t="str">
        <f>IFERROR(VLOOKUP(基本資料填寫!$E$1&amp;"-"&amp;ROW(書籍檔建置!CB41),基本資料填寫!$E:$EU,COLUMN(基本資料填寫!CF41),0),"")</f>
        <v/>
      </c>
      <c r="F44" s="166" t="str">
        <f>IFERROR(VLOOKUP(基本資料填寫!$E$1&amp;"-"&amp;ROW(書籍檔建置!CC41),基本資料填寫!$E:$EU,COLUMN(基本資料填寫!CG41),0),"")</f>
        <v/>
      </c>
      <c r="H44" s="153"/>
      <c r="I44" s="153"/>
    </row>
    <row r="45" spans="2:9" x14ac:dyDescent="0.3">
      <c r="B45" s="115" t="str">
        <f>IF(D45="","",COUNTA($D$4:D45))</f>
        <v/>
      </c>
      <c r="C45" s="166" t="str">
        <f>IFERROR(VLOOKUP(基本資料填寫!$E$1&amp;"-"&amp;ROW(書籍檔建置!N42),基本資料填寫!$E:$EU,COLUMN(基本資料填寫!R42),0),"")</f>
        <v/>
      </c>
      <c r="D45" s="166" t="str">
        <f>IFERROR(VLOOKUP(基本資料填寫!$E$1&amp;"-"&amp;ROW(書籍檔建置!H42),基本資料填寫!$E:$EU,COLUMN(基本資料填寫!K42),0),"")</f>
        <v/>
      </c>
      <c r="E45" s="166" t="str">
        <f>IFERROR(VLOOKUP(基本資料填寫!$E$1&amp;"-"&amp;ROW(書籍檔建置!CB42),基本資料填寫!$E:$EU,COLUMN(基本資料填寫!CF42),0),"")</f>
        <v/>
      </c>
      <c r="F45" s="166" t="str">
        <f>IFERROR(VLOOKUP(基本資料填寫!$E$1&amp;"-"&amp;ROW(書籍檔建置!CC42),基本資料填寫!$E:$EU,COLUMN(基本資料填寫!CG42),0),"")</f>
        <v/>
      </c>
      <c r="H45" s="153"/>
      <c r="I45" s="153"/>
    </row>
    <row r="46" spans="2:9" x14ac:dyDescent="0.3">
      <c r="B46" s="115" t="str">
        <f>IF(D46="","",COUNTA($D$4:D46))</f>
        <v/>
      </c>
      <c r="C46" s="166" t="str">
        <f>IFERROR(VLOOKUP(基本資料填寫!$E$1&amp;"-"&amp;ROW(書籍檔建置!N43),基本資料填寫!$E:$EU,COLUMN(基本資料填寫!R43),0),"")</f>
        <v/>
      </c>
      <c r="D46" s="166" t="str">
        <f>IFERROR(VLOOKUP(基本資料填寫!$E$1&amp;"-"&amp;ROW(書籍檔建置!H43),基本資料填寫!$E:$EU,COLUMN(基本資料填寫!K43),0),"")</f>
        <v/>
      </c>
      <c r="E46" s="166" t="str">
        <f>IFERROR(VLOOKUP(基本資料填寫!$E$1&amp;"-"&amp;ROW(書籍檔建置!CB43),基本資料填寫!$E:$EU,COLUMN(基本資料填寫!CF43),0),"")</f>
        <v/>
      </c>
      <c r="F46" s="166" t="str">
        <f>IFERROR(VLOOKUP(基本資料填寫!$E$1&amp;"-"&amp;ROW(書籍檔建置!CC43),基本資料填寫!$E:$EU,COLUMN(基本資料填寫!CG43),0),"")</f>
        <v/>
      </c>
      <c r="H46" s="153"/>
      <c r="I46" s="153"/>
    </row>
    <row r="47" spans="2:9" x14ac:dyDescent="0.3">
      <c r="B47" s="115" t="str">
        <f>IF(D47="","",COUNTA($D$4:D47))</f>
        <v/>
      </c>
      <c r="C47" s="166" t="str">
        <f>IFERROR(VLOOKUP(基本資料填寫!$E$1&amp;"-"&amp;ROW(書籍檔建置!N44),基本資料填寫!$E:$EU,COLUMN(基本資料填寫!R44),0),"")</f>
        <v/>
      </c>
      <c r="D47" s="166" t="str">
        <f>IFERROR(VLOOKUP(基本資料填寫!$E$1&amp;"-"&amp;ROW(書籍檔建置!H44),基本資料填寫!$E:$EU,COLUMN(基本資料填寫!K44),0),"")</f>
        <v/>
      </c>
      <c r="E47" s="166" t="str">
        <f>IFERROR(VLOOKUP(基本資料填寫!$E$1&amp;"-"&amp;ROW(書籍檔建置!CB44),基本資料填寫!$E:$EU,COLUMN(基本資料填寫!CF44),0),"")</f>
        <v/>
      </c>
      <c r="F47" s="166" t="str">
        <f>IFERROR(VLOOKUP(基本資料填寫!$E$1&amp;"-"&amp;ROW(書籍檔建置!CC44),基本資料填寫!$E:$EU,COLUMN(基本資料填寫!CG44),0),"")</f>
        <v/>
      </c>
      <c r="H47" s="153"/>
      <c r="I47" s="153"/>
    </row>
    <row r="48" spans="2:9" x14ac:dyDescent="0.3">
      <c r="B48" s="115" t="str">
        <f>IF(D48="","",COUNTA($D$4:D48))</f>
        <v/>
      </c>
      <c r="C48" s="166" t="str">
        <f>IFERROR(VLOOKUP(基本資料填寫!$E$1&amp;"-"&amp;ROW(書籍檔建置!N45),基本資料填寫!$E:$EU,COLUMN(基本資料填寫!R45),0),"")</f>
        <v/>
      </c>
      <c r="D48" s="166" t="str">
        <f>IFERROR(VLOOKUP(基本資料填寫!$E$1&amp;"-"&amp;ROW(書籍檔建置!H45),基本資料填寫!$E:$EU,COLUMN(基本資料填寫!K45),0),"")</f>
        <v/>
      </c>
      <c r="E48" s="166" t="str">
        <f>IFERROR(VLOOKUP(基本資料填寫!$E$1&amp;"-"&amp;ROW(書籍檔建置!CB45),基本資料填寫!$E:$EU,COLUMN(基本資料填寫!CF45),0),"")</f>
        <v/>
      </c>
      <c r="F48" s="166" t="str">
        <f>IFERROR(VLOOKUP(基本資料填寫!$E$1&amp;"-"&amp;ROW(書籍檔建置!CC45),基本資料填寫!$E:$EU,COLUMN(基本資料填寫!CG45),0),"")</f>
        <v/>
      </c>
      <c r="H48" s="153"/>
      <c r="I48" s="153"/>
    </row>
    <row r="49" spans="2:9" x14ac:dyDescent="0.3">
      <c r="B49" s="115" t="str">
        <f>IF(D49="","",COUNTA($D$4:D49))</f>
        <v/>
      </c>
      <c r="C49" s="166" t="str">
        <f>IFERROR(VLOOKUP(基本資料填寫!$E$1&amp;"-"&amp;ROW(書籍檔建置!N46),基本資料填寫!$E:$EU,COLUMN(基本資料填寫!R46),0),"")</f>
        <v/>
      </c>
      <c r="D49" s="166" t="str">
        <f>IFERROR(VLOOKUP(基本資料填寫!$E$1&amp;"-"&amp;ROW(書籍檔建置!H46),基本資料填寫!$E:$EU,COLUMN(基本資料填寫!K46),0),"")</f>
        <v/>
      </c>
      <c r="E49" s="166" t="str">
        <f>IFERROR(VLOOKUP(基本資料填寫!$E$1&amp;"-"&amp;ROW(書籍檔建置!CB46),基本資料填寫!$E:$EU,COLUMN(基本資料填寫!CF46),0),"")</f>
        <v/>
      </c>
      <c r="F49" s="166" t="str">
        <f>IFERROR(VLOOKUP(基本資料填寫!$E$1&amp;"-"&amp;ROW(書籍檔建置!CC46),基本資料填寫!$E:$EU,COLUMN(基本資料填寫!CG46),0),"")</f>
        <v/>
      </c>
      <c r="H49" s="153"/>
      <c r="I49" s="153"/>
    </row>
    <row r="50" spans="2:9" x14ac:dyDescent="0.3">
      <c r="B50" s="115" t="str">
        <f>IF(D50="","",COUNTA($D$4:D50))</f>
        <v/>
      </c>
      <c r="C50" s="166" t="str">
        <f>IFERROR(VLOOKUP(基本資料填寫!$E$1&amp;"-"&amp;ROW(書籍檔建置!N47),基本資料填寫!$E:$EU,COLUMN(基本資料填寫!R47),0),"")</f>
        <v/>
      </c>
      <c r="D50" s="166" t="str">
        <f>IFERROR(VLOOKUP(基本資料填寫!$E$1&amp;"-"&amp;ROW(書籍檔建置!H47),基本資料填寫!$E:$EU,COLUMN(基本資料填寫!K47),0),"")</f>
        <v/>
      </c>
      <c r="E50" s="166" t="str">
        <f>IFERROR(VLOOKUP(基本資料填寫!$E$1&amp;"-"&amp;ROW(書籍檔建置!CB47),基本資料填寫!$E:$EU,COLUMN(基本資料填寫!CF47),0),"")</f>
        <v/>
      </c>
      <c r="F50" s="166" t="str">
        <f>IFERROR(VLOOKUP(基本資料填寫!$E$1&amp;"-"&amp;ROW(書籍檔建置!CC47),基本資料填寫!$E:$EU,COLUMN(基本資料填寫!CG47),0),"")</f>
        <v/>
      </c>
      <c r="H50" s="153"/>
      <c r="I50" s="153"/>
    </row>
    <row r="51" spans="2:9" x14ac:dyDescent="0.3">
      <c r="B51" s="115" t="str">
        <f>IF(D51="","",COUNTA($D$4:D51))</f>
        <v/>
      </c>
      <c r="C51" s="166" t="str">
        <f>IFERROR(VLOOKUP(基本資料填寫!$E$1&amp;"-"&amp;ROW(書籍檔建置!N48),基本資料填寫!$E:$EU,COLUMN(基本資料填寫!R48),0),"")</f>
        <v/>
      </c>
      <c r="D51" s="166" t="str">
        <f>IFERROR(VLOOKUP(基本資料填寫!$E$1&amp;"-"&amp;ROW(書籍檔建置!H48),基本資料填寫!$E:$EU,COLUMN(基本資料填寫!K48),0),"")</f>
        <v/>
      </c>
      <c r="E51" s="166" t="str">
        <f>IFERROR(VLOOKUP(基本資料填寫!$E$1&amp;"-"&amp;ROW(書籍檔建置!CB48),基本資料填寫!$E:$EU,COLUMN(基本資料填寫!CF48),0),"")</f>
        <v/>
      </c>
      <c r="F51" s="166" t="str">
        <f>IFERROR(VLOOKUP(基本資料填寫!$E$1&amp;"-"&amp;ROW(書籍檔建置!CC48),基本資料填寫!$E:$EU,COLUMN(基本資料填寫!CG48),0),"")</f>
        <v/>
      </c>
      <c r="H51" s="153"/>
      <c r="I51" s="153"/>
    </row>
    <row r="52" spans="2:9" x14ac:dyDescent="0.3">
      <c r="B52" s="115" t="str">
        <f>IF(D52="","",COUNTA($D$4:D52))</f>
        <v/>
      </c>
      <c r="C52" s="166" t="str">
        <f>IFERROR(VLOOKUP(基本資料填寫!$E$1&amp;"-"&amp;ROW(書籍檔建置!N49),基本資料填寫!$E:$EU,COLUMN(基本資料填寫!R49),0),"")</f>
        <v/>
      </c>
      <c r="D52" s="166" t="str">
        <f>IFERROR(VLOOKUP(基本資料填寫!$E$1&amp;"-"&amp;ROW(書籍檔建置!H49),基本資料填寫!$E:$EU,COLUMN(基本資料填寫!K49),0),"")</f>
        <v/>
      </c>
      <c r="E52" s="166" t="str">
        <f>IFERROR(VLOOKUP(基本資料填寫!$E$1&amp;"-"&amp;ROW(書籍檔建置!CB49),基本資料填寫!$E:$EU,COLUMN(基本資料填寫!CF49),0),"")</f>
        <v/>
      </c>
      <c r="F52" s="166" t="str">
        <f>IFERROR(VLOOKUP(基本資料填寫!$E$1&amp;"-"&amp;ROW(書籍檔建置!CC49),基本資料填寫!$E:$EU,COLUMN(基本資料填寫!CG49),0),"")</f>
        <v/>
      </c>
      <c r="H52" s="153"/>
      <c r="I52" s="153"/>
    </row>
    <row r="53" spans="2:9" x14ac:dyDescent="0.3">
      <c r="B53" s="115" t="str">
        <f>IF(D53="","",COUNTA($D$4:D53))</f>
        <v/>
      </c>
      <c r="C53" s="166" t="str">
        <f>IFERROR(VLOOKUP(基本資料填寫!$E$1&amp;"-"&amp;ROW(書籍檔建置!N50),基本資料填寫!$E:$EU,COLUMN(基本資料填寫!R50),0),"")</f>
        <v/>
      </c>
      <c r="D53" s="166" t="str">
        <f>IFERROR(VLOOKUP(基本資料填寫!$E$1&amp;"-"&amp;ROW(書籍檔建置!H50),基本資料填寫!$E:$EU,COLUMN(基本資料填寫!K50),0),"")</f>
        <v/>
      </c>
      <c r="E53" s="166" t="str">
        <f>IFERROR(VLOOKUP(基本資料填寫!$E$1&amp;"-"&amp;ROW(書籍檔建置!CB50),基本資料填寫!$E:$EU,COLUMN(基本資料填寫!CF50),0),"")</f>
        <v/>
      </c>
      <c r="F53" s="166" t="str">
        <f>IFERROR(VLOOKUP(基本資料填寫!$E$1&amp;"-"&amp;ROW(書籍檔建置!CC50),基本資料填寫!$E:$EU,COLUMN(基本資料填寫!CG50),0),"")</f>
        <v/>
      </c>
      <c r="H53" s="153"/>
      <c r="I53" s="153"/>
    </row>
    <row r="54" spans="2:9" x14ac:dyDescent="0.3">
      <c r="B54" s="115" t="str">
        <f>IF(D54="","",COUNTA($D$4:D54))</f>
        <v/>
      </c>
      <c r="C54" s="166" t="str">
        <f>IFERROR(VLOOKUP(基本資料填寫!$E$1&amp;"-"&amp;ROW(書籍檔建置!N51),基本資料填寫!$E:$EU,COLUMN(基本資料填寫!R51),0),"")</f>
        <v/>
      </c>
      <c r="D54" s="166" t="str">
        <f>IFERROR(VLOOKUP(基本資料填寫!$E$1&amp;"-"&amp;ROW(書籍檔建置!H51),基本資料填寫!$E:$EU,COLUMN(基本資料填寫!K51),0),"")</f>
        <v/>
      </c>
      <c r="E54" s="166" t="str">
        <f>IFERROR(VLOOKUP(基本資料填寫!$E$1&amp;"-"&amp;ROW(書籍檔建置!CB51),基本資料填寫!$E:$EU,COLUMN(基本資料填寫!CF51),0),"")</f>
        <v/>
      </c>
      <c r="F54" s="166" t="str">
        <f>IFERROR(VLOOKUP(基本資料填寫!$E$1&amp;"-"&amp;ROW(書籍檔建置!CC51),基本資料填寫!$E:$EU,COLUMN(基本資料填寫!CG51),0),"")</f>
        <v/>
      </c>
      <c r="H54" s="153"/>
      <c r="I54" s="153"/>
    </row>
    <row r="55" spans="2:9" x14ac:dyDescent="0.3">
      <c r="B55" s="115" t="str">
        <f>IF(D55="","",COUNTA($D$4:D55))</f>
        <v/>
      </c>
      <c r="C55" s="166" t="str">
        <f>IFERROR(VLOOKUP(基本資料填寫!$E$1&amp;"-"&amp;ROW(書籍檔建置!N52),基本資料填寫!$E:$EU,COLUMN(基本資料填寫!R52),0),"")</f>
        <v/>
      </c>
      <c r="D55" s="166" t="str">
        <f>IFERROR(VLOOKUP(基本資料填寫!$E$1&amp;"-"&amp;ROW(書籍檔建置!H52),基本資料填寫!$E:$EU,COLUMN(基本資料填寫!K52),0),"")</f>
        <v/>
      </c>
      <c r="E55" s="166" t="str">
        <f>IFERROR(VLOOKUP(基本資料填寫!$E$1&amp;"-"&amp;ROW(書籍檔建置!CB52),基本資料填寫!$E:$EU,COLUMN(基本資料填寫!CF52),0),"")</f>
        <v/>
      </c>
      <c r="F55" s="166" t="str">
        <f>IFERROR(VLOOKUP(基本資料填寫!$E$1&amp;"-"&amp;ROW(書籍檔建置!CC52),基本資料填寫!$E:$EU,COLUMN(基本資料填寫!CG52),0),"")</f>
        <v/>
      </c>
      <c r="H55" s="153"/>
      <c r="I55" s="153"/>
    </row>
    <row r="56" spans="2:9" x14ac:dyDescent="0.3">
      <c r="B56" s="115" t="str">
        <f>IF(D56="","",COUNTA($D$4:D56))</f>
        <v/>
      </c>
      <c r="C56" s="166" t="str">
        <f>IFERROR(VLOOKUP(基本資料填寫!$E$1&amp;"-"&amp;ROW(書籍檔建置!N53),基本資料填寫!$E:$EU,COLUMN(基本資料填寫!R53),0),"")</f>
        <v/>
      </c>
      <c r="D56" s="166" t="str">
        <f>IFERROR(VLOOKUP(基本資料填寫!$E$1&amp;"-"&amp;ROW(書籍檔建置!H53),基本資料填寫!$E:$EU,COLUMN(基本資料填寫!K53),0),"")</f>
        <v/>
      </c>
      <c r="E56" s="166" t="str">
        <f>IFERROR(VLOOKUP(基本資料填寫!$E$1&amp;"-"&amp;ROW(書籍檔建置!CB53),基本資料填寫!$E:$EU,COLUMN(基本資料填寫!CF53),0),"")</f>
        <v/>
      </c>
      <c r="F56" s="166" t="str">
        <f>IFERROR(VLOOKUP(基本資料填寫!$E$1&amp;"-"&amp;ROW(書籍檔建置!CC53),基本資料填寫!$E:$EU,COLUMN(基本資料填寫!CG53),0),"")</f>
        <v/>
      </c>
      <c r="H56" s="153"/>
      <c r="I56" s="153"/>
    </row>
    <row r="57" spans="2:9" x14ac:dyDescent="0.3">
      <c r="B57" s="115" t="str">
        <f>IF(D57="","",COUNTA($D$4:D57))</f>
        <v/>
      </c>
      <c r="C57" s="166" t="str">
        <f>IFERROR(VLOOKUP(基本資料填寫!$E$1&amp;"-"&amp;ROW(書籍檔建置!N54),基本資料填寫!$E:$EU,COLUMN(基本資料填寫!R54),0),"")</f>
        <v/>
      </c>
      <c r="D57" s="166" t="str">
        <f>IFERROR(VLOOKUP(基本資料填寫!$E$1&amp;"-"&amp;ROW(書籍檔建置!H54),基本資料填寫!$E:$EU,COLUMN(基本資料填寫!K54),0),"")</f>
        <v/>
      </c>
      <c r="E57" s="166" t="str">
        <f>IFERROR(VLOOKUP(基本資料填寫!$E$1&amp;"-"&amp;ROW(書籍檔建置!CB54),基本資料填寫!$E:$EU,COLUMN(基本資料填寫!CF54),0),"")</f>
        <v/>
      </c>
      <c r="F57" s="166" t="str">
        <f>IFERROR(VLOOKUP(基本資料填寫!$E$1&amp;"-"&amp;ROW(書籍檔建置!CC54),基本資料填寫!$E:$EU,COLUMN(基本資料填寫!CG54),0),"")</f>
        <v/>
      </c>
      <c r="H57" s="153"/>
      <c r="I57" s="153"/>
    </row>
    <row r="58" spans="2:9" x14ac:dyDescent="0.3">
      <c r="B58" s="115" t="str">
        <f>IF(D58="","",COUNTA($D$4:D58))</f>
        <v/>
      </c>
      <c r="C58" s="166" t="str">
        <f>IFERROR(VLOOKUP(基本資料填寫!$E$1&amp;"-"&amp;ROW(書籍檔建置!N55),基本資料填寫!$E:$EU,COLUMN(基本資料填寫!R55),0),"")</f>
        <v/>
      </c>
      <c r="D58" s="166" t="str">
        <f>IFERROR(VLOOKUP(基本資料填寫!$E$1&amp;"-"&amp;ROW(書籍檔建置!H55),基本資料填寫!$E:$EU,COLUMN(基本資料填寫!K55),0),"")</f>
        <v/>
      </c>
      <c r="E58" s="166" t="str">
        <f>IFERROR(VLOOKUP(基本資料填寫!$E$1&amp;"-"&amp;ROW(書籍檔建置!CB55),基本資料填寫!$E:$EU,COLUMN(基本資料填寫!CF55),0),"")</f>
        <v/>
      </c>
      <c r="F58" s="166" t="str">
        <f>IFERROR(VLOOKUP(基本資料填寫!$E$1&amp;"-"&amp;ROW(書籍檔建置!CC55),基本資料填寫!$E:$EU,COLUMN(基本資料填寫!CG55),0),"")</f>
        <v/>
      </c>
      <c r="H58" s="153"/>
      <c r="I58" s="153"/>
    </row>
    <row r="59" spans="2:9" x14ac:dyDescent="0.3">
      <c r="B59" s="115" t="str">
        <f>IF(D59="","",COUNTA($D$4:D59))</f>
        <v/>
      </c>
      <c r="C59" s="166" t="str">
        <f>IFERROR(VLOOKUP(基本資料填寫!$E$1&amp;"-"&amp;ROW(書籍檔建置!N56),基本資料填寫!$E:$EU,COLUMN(基本資料填寫!R56),0),"")</f>
        <v/>
      </c>
      <c r="D59" s="166" t="str">
        <f>IFERROR(VLOOKUP(基本資料填寫!$E$1&amp;"-"&amp;ROW(書籍檔建置!H56),基本資料填寫!$E:$EU,COLUMN(基本資料填寫!K56),0),"")</f>
        <v/>
      </c>
      <c r="E59" s="166" t="str">
        <f>IFERROR(VLOOKUP(基本資料填寫!$E$1&amp;"-"&amp;ROW(書籍檔建置!CB56),基本資料填寫!$E:$EU,COLUMN(基本資料填寫!CF56),0),"")</f>
        <v/>
      </c>
      <c r="F59" s="166" t="str">
        <f>IFERROR(VLOOKUP(基本資料填寫!$E$1&amp;"-"&amp;ROW(書籍檔建置!CC56),基本資料填寫!$E:$EU,COLUMN(基本資料填寫!CG56),0),"")</f>
        <v/>
      </c>
      <c r="H59" s="153"/>
      <c r="I59" s="153"/>
    </row>
    <row r="60" spans="2:9" x14ac:dyDescent="0.3">
      <c r="B60" s="115" t="str">
        <f>IF(D60="","",COUNTA($D$4:D60))</f>
        <v/>
      </c>
      <c r="C60" s="166" t="str">
        <f>IFERROR(VLOOKUP(基本資料填寫!$E$1&amp;"-"&amp;ROW(書籍檔建置!N57),基本資料填寫!$E:$EU,COLUMN(基本資料填寫!R57),0),"")</f>
        <v/>
      </c>
      <c r="D60" s="166" t="str">
        <f>IFERROR(VLOOKUP(基本資料填寫!$E$1&amp;"-"&amp;ROW(書籍檔建置!H57),基本資料填寫!$E:$EU,COLUMN(基本資料填寫!K57),0),"")</f>
        <v/>
      </c>
      <c r="E60" s="166" t="str">
        <f>IFERROR(VLOOKUP(基本資料填寫!$E$1&amp;"-"&amp;ROW(書籍檔建置!CB57),基本資料填寫!$E:$EU,COLUMN(基本資料填寫!CF57),0),"")</f>
        <v/>
      </c>
      <c r="F60" s="166" t="str">
        <f>IFERROR(VLOOKUP(基本資料填寫!$E$1&amp;"-"&amp;ROW(書籍檔建置!CC57),基本資料填寫!$E:$EU,COLUMN(基本資料填寫!CG57),0),"")</f>
        <v/>
      </c>
      <c r="H60" s="153"/>
      <c r="I60" s="153"/>
    </row>
    <row r="61" spans="2:9" x14ac:dyDescent="0.3">
      <c r="B61" s="115" t="str">
        <f>IF(D61="","",COUNTA($D$4:D61))</f>
        <v/>
      </c>
      <c r="C61" s="166" t="str">
        <f>IFERROR(VLOOKUP(基本資料填寫!$E$1&amp;"-"&amp;ROW(書籍檔建置!N58),基本資料填寫!$E:$EU,COLUMN(基本資料填寫!R58),0),"")</f>
        <v/>
      </c>
      <c r="D61" s="166" t="str">
        <f>IFERROR(VLOOKUP(基本資料填寫!$E$1&amp;"-"&amp;ROW(書籍檔建置!H58),基本資料填寫!$E:$EU,COLUMN(基本資料填寫!K58),0),"")</f>
        <v/>
      </c>
      <c r="E61" s="166" t="str">
        <f>IFERROR(VLOOKUP(基本資料填寫!$E$1&amp;"-"&amp;ROW(書籍檔建置!CB58),基本資料填寫!$E:$EU,COLUMN(基本資料填寫!CF58),0),"")</f>
        <v/>
      </c>
      <c r="F61" s="166" t="str">
        <f>IFERROR(VLOOKUP(基本資料填寫!$E$1&amp;"-"&amp;ROW(書籍檔建置!CC58),基本資料填寫!$E:$EU,COLUMN(基本資料填寫!CG58),0),"")</f>
        <v/>
      </c>
      <c r="H61" s="153"/>
      <c r="I61" s="153"/>
    </row>
    <row r="62" spans="2:9" x14ac:dyDescent="0.3">
      <c r="B62" s="115" t="str">
        <f>IF(D62="","",COUNTA($D$4:D62))</f>
        <v/>
      </c>
      <c r="C62" s="166" t="str">
        <f>IFERROR(VLOOKUP(基本資料填寫!$E$1&amp;"-"&amp;ROW(書籍檔建置!N59),基本資料填寫!$E:$EU,COLUMN(基本資料填寫!R59),0),"")</f>
        <v/>
      </c>
      <c r="D62" s="166" t="str">
        <f>IFERROR(VLOOKUP(基本資料填寫!$E$1&amp;"-"&amp;ROW(書籍檔建置!H59),基本資料填寫!$E:$EU,COLUMN(基本資料填寫!K59),0),"")</f>
        <v/>
      </c>
      <c r="E62" s="166" t="str">
        <f>IFERROR(VLOOKUP(基本資料填寫!$E$1&amp;"-"&amp;ROW(書籍檔建置!CB59),基本資料填寫!$E:$EU,COLUMN(基本資料填寫!CF59),0),"")</f>
        <v/>
      </c>
      <c r="F62" s="166" t="str">
        <f>IFERROR(VLOOKUP(基本資料填寫!$E$1&amp;"-"&amp;ROW(書籍檔建置!CC59),基本資料填寫!$E:$EU,COLUMN(基本資料填寫!CG59),0),"")</f>
        <v/>
      </c>
      <c r="H62" s="153"/>
      <c r="I62" s="153"/>
    </row>
    <row r="63" spans="2:9" x14ac:dyDescent="0.3">
      <c r="B63" s="115" t="str">
        <f>IF(D63="","",COUNTA($D$4:D63))</f>
        <v/>
      </c>
      <c r="C63" s="166" t="str">
        <f>IFERROR(VLOOKUP(基本資料填寫!$E$1&amp;"-"&amp;ROW(書籍檔建置!N60),基本資料填寫!$E:$EU,COLUMN(基本資料填寫!R60),0),"")</f>
        <v/>
      </c>
      <c r="D63" s="166" t="str">
        <f>IFERROR(VLOOKUP(基本資料填寫!$E$1&amp;"-"&amp;ROW(書籍檔建置!H60),基本資料填寫!$E:$EU,COLUMN(基本資料填寫!K60),0),"")</f>
        <v/>
      </c>
      <c r="E63" s="166" t="str">
        <f>IFERROR(VLOOKUP(基本資料填寫!$E$1&amp;"-"&amp;ROW(書籍檔建置!CB60),基本資料填寫!$E:$EU,COLUMN(基本資料填寫!CF60),0),"")</f>
        <v/>
      </c>
      <c r="F63" s="166" t="str">
        <f>IFERROR(VLOOKUP(基本資料填寫!$E$1&amp;"-"&amp;ROW(書籍檔建置!CC60),基本資料填寫!$E:$EU,COLUMN(基本資料填寫!CG60),0),"")</f>
        <v/>
      </c>
      <c r="H63" s="153"/>
      <c r="I63" s="153"/>
    </row>
    <row r="64" spans="2:9" x14ac:dyDescent="0.3">
      <c r="B64" s="115" t="str">
        <f>IF(D64="","",COUNTA($D$4:D64))</f>
        <v/>
      </c>
      <c r="C64" s="166" t="str">
        <f>IFERROR(VLOOKUP(基本資料填寫!$E$1&amp;"-"&amp;ROW(書籍檔建置!N61),基本資料填寫!$E:$EU,COLUMN(基本資料填寫!R61),0),"")</f>
        <v/>
      </c>
      <c r="D64" s="166" t="str">
        <f>IFERROR(VLOOKUP(基本資料填寫!$E$1&amp;"-"&amp;ROW(書籍檔建置!H61),基本資料填寫!$E:$EU,COLUMN(基本資料填寫!K61),0),"")</f>
        <v/>
      </c>
      <c r="E64" s="166" t="str">
        <f>IFERROR(VLOOKUP(基本資料填寫!$E$1&amp;"-"&amp;ROW(書籍檔建置!CB61),基本資料填寫!$E:$EU,COLUMN(基本資料填寫!CF61),0),"")</f>
        <v/>
      </c>
      <c r="F64" s="166" t="str">
        <f>IFERROR(VLOOKUP(基本資料填寫!$E$1&amp;"-"&amp;ROW(書籍檔建置!CC61),基本資料填寫!$E:$EU,COLUMN(基本資料填寫!CG61),0),"")</f>
        <v/>
      </c>
      <c r="H64" s="153"/>
      <c r="I64" s="153"/>
    </row>
    <row r="65" spans="2:9" x14ac:dyDescent="0.3">
      <c r="B65" s="115" t="str">
        <f>IF(D65="","",COUNTA($D$4:D65))</f>
        <v/>
      </c>
      <c r="C65" s="166" t="str">
        <f>IFERROR(VLOOKUP(基本資料填寫!$E$1&amp;"-"&amp;ROW(書籍檔建置!N62),基本資料填寫!$E:$EU,COLUMN(基本資料填寫!R62),0),"")</f>
        <v/>
      </c>
      <c r="D65" s="166" t="str">
        <f>IFERROR(VLOOKUP(基本資料填寫!$E$1&amp;"-"&amp;ROW(書籍檔建置!H62),基本資料填寫!$E:$EU,COLUMN(基本資料填寫!K62),0),"")</f>
        <v/>
      </c>
      <c r="E65" s="166" t="str">
        <f>IFERROR(VLOOKUP(基本資料填寫!$E$1&amp;"-"&amp;ROW(書籍檔建置!CB62),基本資料填寫!$E:$EU,COLUMN(基本資料填寫!CF62),0),"")</f>
        <v/>
      </c>
      <c r="F65" s="166" t="str">
        <f>IFERROR(VLOOKUP(基本資料填寫!$E$1&amp;"-"&amp;ROW(書籍檔建置!CC62),基本資料填寫!$E:$EU,COLUMN(基本資料填寫!CG62),0),"")</f>
        <v/>
      </c>
      <c r="H65" s="153"/>
      <c r="I65" s="153"/>
    </row>
    <row r="66" spans="2:9" x14ac:dyDescent="0.3">
      <c r="B66" s="115" t="str">
        <f>IF(D66="","",COUNTA($D$4:D66))</f>
        <v/>
      </c>
      <c r="C66" s="166" t="str">
        <f>IFERROR(VLOOKUP(基本資料填寫!$E$1&amp;"-"&amp;ROW(書籍檔建置!N63),基本資料填寫!$E:$EU,COLUMN(基本資料填寫!R63),0),"")</f>
        <v/>
      </c>
      <c r="D66" s="166" t="str">
        <f>IFERROR(VLOOKUP(基本資料填寫!$E$1&amp;"-"&amp;ROW(書籍檔建置!H63),基本資料填寫!$E:$EU,COLUMN(基本資料填寫!K63),0),"")</f>
        <v/>
      </c>
      <c r="E66" s="166" t="str">
        <f>IFERROR(VLOOKUP(基本資料填寫!$E$1&amp;"-"&amp;ROW(書籍檔建置!CB63),基本資料填寫!$E:$EU,COLUMN(基本資料填寫!CF63),0),"")</f>
        <v/>
      </c>
      <c r="F66" s="166" t="str">
        <f>IFERROR(VLOOKUP(基本資料填寫!$E$1&amp;"-"&amp;ROW(書籍檔建置!CC63),基本資料填寫!$E:$EU,COLUMN(基本資料填寫!CG63),0),"")</f>
        <v/>
      </c>
      <c r="H66" s="153"/>
      <c r="I66" s="153"/>
    </row>
    <row r="67" spans="2:9" x14ac:dyDescent="0.3">
      <c r="B67" s="115" t="str">
        <f>IF(D67="","",COUNTA($D$4:D67))</f>
        <v/>
      </c>
      <c r="C67" s="166" t="str">
        <f>IFERROR(VLOOKUP(基本資料填寫!$E$1&amp;"-"&amp;ROW(書籍檔建置!N64),基本資料填寫!$E:$EU,COLUMN(基本資料填寫!R64),0),"")</f>
        <v/>
      </c>
      <c r="D67" s="166" t="str">
        <f>IFERROR(VLOOKUP(基本資料填寫!$E$1&amp;"-"&amp;ROW(書籍檔建置!H64),基本資料填寫!$E:$EU,COLUMN(基本資料填寫!K64),0),"")</f>
        <v/>
      </c>
      <c r="E67" s="166" t="str">
        <f>IFERROR(VLOOKUP(基本資料填寫!$E$1&amp;"-"&amp;ROW(書籍檔建置!CB64),基本資料填寫!$E:$EU,COLUMN(基本資料填寫!CF64),0),"")</f>
        <v/>
      </c>
      <c r="F67" s="166" t="str">
        <f>IFERROR(VLOOKUP(基本資料填寫!$E$1&amp;"-"&amp;ROW(書籍檔建置!CC64),基本資料填寫!$E:$EU,COLUMN(基本資料填寫!CG64),0),"")</f>
        <v/>
      </c>
      <c r="H67" s="153"/>
      <c r="I67" s="153"/>
    </row>
    <row r="68" spans="2:9" x14ac:dyDescent="0.3">
      <c r="B68" s="115" t="str">
        <f>IF(D68="","",COUNTA($D$4:D68))</f>
        <v/>
      </c>
      <c r="C68" s="166" t="str">
        <f>IFERROR(VLOOKUP(基本資料填寫!$E$1&amp;"-"&amp;ROW(書籍檔建置!N65),基本資料填寫!$E:$EU,COLUMN(基本資料填寫!R65),0),"")</f>
        <v/>
      </c>
      <c r="D68" s="166" t="str">
        <f>IFERROR(VLOOKUP(基本資料填寫!$E$1&amp;"-"&amp;ROW(書籍檔建置!H65),基本資料填寫!$E:$EU,COLUMN(基本資料填寫!K65),0),"")</f>
        <v/>
      </c>
      <c r="E68" s="166" t="str">
        <f>IFERROR(VLOOKUP(基本資料填寫!$E$1&amp;"-"&amp;ROW(書籍檔建置!CB65),基本資料填寫!$E:$EU,COLUMN(基本資料填寫!CF65),0),"")</f>
        <v/>
      </c>
      <c r="F68" s="166" t="str">
        <f>IFERROR(VLOOKUP(基本資料填寫!$E$1&amp;"-"&amp;ROW(書籍檔建置!CC65),基本資料填寫!$E:$EU,COLUMN(基本資料填寫!CG65),0),"")</f>
        <v/>
      </c>
      <c r="H68" s="153"/>
      <c r="I68" s="153"/>
    </row>
    <row r="69" spans="2:9" x14ac:dyDescent="0.3">
      <c r="B69" s="115" t="str">
        <f>IF(D69="","",COUNTA($D$4:D69))</f>
        <v/>
      </c>
      <c r="C69" s="166" t="str">
        <f>IFERROR(VLOOKUP(基本資料填寫!$E$1&amp;"-"&amp;ROW(書籍檔建置!N66),基本資料填寫!$E:$EU,COLUMN(基本資料填寫!R66),0),"")</f>
        <v/>
      </c>
      <c r="D69" s="166" t="str">
        <f>IFERROR(VLOOKUP(基本資料填寫!$E$1&amp;"-"&amp;ROW(書籍檔建置!H66),基本資料填寫!$E:$EU,COLUMN(基本資料填寫!K66),0),"")</f>
        <v/>
      </c>
      <c r="E69" s="166" t="str">
        <f>IFERROR(VLOOKUP(基本資料填寫!$E$1&amp;"-"&amp;ROW(書籍檔建置!CB66),基本資料填寫!$E:$EU,COLUMN(基本資料填寫!CF66),0),"")</f>
        <v/>
      </c>
      <c r="F69" s="166" t="str">
        <f>IFERROR(VLOOKUP(基本資料填寫!$E$1&amp;"-"&amp;ROW(書籍檔建置!CC66),基本資料填寫!$E:$EU,COLUMN(基本資料填寫!CG66),0),"")</f>
        <v/>
      </c>
      <c r="H69" s="153"/>
      <c r="I69" s="153"/>
    </row>
    <row r="70" spans="2:9" x14ac:dyDescent="0.3">
      <c r="B70" s="115" t="str">
        <f>IF(D70="","",COUNTA($D$4:D70))</f>
        <v/>
      </c>
      <c r="C70" s="166" t="str">
        <f>IFERROR(VLOOKUP(基本資料填寫!$E$1&amp;"-"&amp;ROW(書籍檔建置!N67),基本資料填寫!$E:$EU,COLUMN(基本資料填寫!R67),0),"")</f>
        <v/>
      </c>
      <c r="D70" s="166" t="str">
        <f>IFERROR(VLOOKUP(基本資料填寫!$E$1&amp;"-"&amp;ROW(書籍檔建置!H67),基本資料填寫!$E:$EU,COLUMN(基本資料填寫!K67),0),"")</f>
        <v/>
      </c>
      <c r="E70" s="166" t="str">
        <f>IFERROR(VLOOKUP(基本資料填寫!$E$1&amp;"-"&amp;ROW(書籍檔建置!CB67),基本資料填寫!$E:$EU,COLUMN(基本資料填寫!CF67),0),"")</f>
        <v/>
      </c>
      <c r="F70" s="166" t="str">
        <f>IFERROR(VLOOKUP(基本資料填寫!$E$1&amp;"-"&amp;ROW(書籍檔建置!CC67),基本資料填寫!$E:$EU,COLUMN(基本資料填寫!CG67),0),"")</f>
        <v/>
      </c>
      <c r="H70" s="153"/>
      <c r="I70" s="153"/>
    </row>
    <row r="71" spans="2:9" x14ac:dyDescent="0.3">
      <c r="B71" s="115" t="str">
        <f>IF(D71="","",COUNTA($D$4:D71))</f>
        <v/>
      </c>
      <c r="C71" s="166" t="str">
        <f>IFERROR(VLOOKUP(基本資料填寫!$E$1&amp;"-"&amp;ROW(書籍檔建置!N68),基本資料填寫!$E:$EU,COLUMN(基本資料填寫!R68),0),"")</f>
        <v/>
      </c>
      <c r="D71" s="166" t="str">
        <f>IFERROR(VLOOKUP(基本資料填寫!$E$1&amp;"-"&amp;ROW(書籍檔建置!H68),基本資料填寫!$E:$EU,COLUMN(基本資料填寫!K68),0),"")</f>
        <v/>
      </c>
      <c r="E71" s="166" t="str">
        <f>IFERROR(VLOOKUP(基本資料填寫!$E$1&amp;"-"&amp;ROW(書籍檔建置!CB68),基本資料填寫!$E:$EU,COLUMN(基本資料填寫!CF68),0),"")</f>
        <v/>
      </c>
      <c r="F71" s="166" t="str">
        <f>IFERROR(VLOOKUP(基本資料填寫!$E$1&amp;"-"&amp;ROW(書籍檔建置!CC68),基本資料填寫!$E:$EU,COLUMN(基本資料填寫!CG68),0),"")</f>
        <v/>
      </c>
      <c r="H71" s="153"/>
      <c r="I71" s="153"/>
    </row>
    <row r="72" spans="2:9" x14ac:dyDescent="0.3">
      <c r="B72" s="115" t="str">
        <f>IF(D72="","",COUNTA($D$4:D72))</f>
        <v/>
      </c>
      <c r="C72" s="166" t="str">
        <f>IFERROR(VLOOKUP(基本資料填寫!$E$1&amp;"-"&amp;ROW(書籍檔建置!N69),基本資料填寫!$E:$EU,COLUMN(基本資料填寫!R69),0),"")</f>
        <v/>
      </c>
      <c r="D72" s="166" t="str">
        <f>IFERROR(VLOOKUP(基本資料填寫!$E$1&amp;"-"&amp;ROW(書籍檔建置!H69),基本資料填寫!$E:$EU,COLUMN(基本資料填寫!K69),0),"")</f>
        <v/>
      </c>
      <c r="E72" s="166" t="str">
        <f>IFERROR(VLOOKUP(基本資料填寫!$E$1&amp;"-"&amp;ROW(書籍檔建置!CB69),基本資料填寫!$E:$EU,COLUMN(基本資料填寫!CF69),0),"")</f>
        <v/>
      </c>
      <c r="F72" s="166" t="str">
        <f>IFERROR(VLOOKUP(基本資料填寫!$E$1&amp;"-"&amp;ROW(書籍檔建置!CC69),基本資料填寫!$E:$EU,COLUMN(基本資料填寫!CG69),0),"")</f>
        <v/>
      </c>
      <c r="H72" s="153"/>
      <c r="I72" s="153"/>
    </row>
    <row r="73" spans="2:9" x14ac:dyDescent="0.3">
      <c r="B73" s="115" t="str">
        <f>IF(D73="","",COUNTA($D$4:D73))</f>
        <v/>
      </c>
      <c r="C73" s="166" t="str">
        <f>IFERROR(VLOOKUP(基本資料填寫!$E$1&amp;"-"&amp;ROW(書籍檔建置!N70),基本資料填寫!$E:$EU,COLUMN(基本資料填寫!R70),0),"")</f>
        <v/>
      </c>
      <c r="D73" s="166" t="str">
        <f>IFERROR(VLOOKUP(基本資料填寫!$E$1&amp;"-"&amp;ROW(書籍檔建置!H70),基本資料填寫!$E:$EU,COLUMN(基本資料填寫!K70),0),"")</f>
        <v/>
      </c>
      <c r="E73" s="166" t="str">
        <f>IFERROR(VLOOKUP(基本資料填寫!$E$1&amp;"-"&amp;ROW(書籍檔建置!CB70),基本資料填寫!$E:$EU,COLUMN(基本資料填寫!CF70),0),"")</f>
        <v/>
      </c>
      <c r="F73" s="166" t="str">
        <f>IFERROR(VLOOKUP(基本資料填寫!$E$1&amp;"-"&amp;ROW(書籍檔建置!CC70),基本資料填寫!$E:$EU,COLUMN(基本資料填寫!CG70),0),"")</f>
        <v/>
      </c>
      <c r="H73" s="153"/>
      <c r="I73" s="153"/>
    </row>
    <row r="74" spans="2:9" x14ac:dyDescent="0.3">
      <c r="B74" s="115" t="str">
        <f>IF(D74="","",COUNTA($D$4:D74))</f>
        <v/>
      </c>
      <c r="C74" s="166" t="str">
        <f>IFERROR(VLOOKUP(基本資料填寫!$E$1&amp;"-"&amp;ROW(書籍檔建置!N71),基本資料填寫!$E:$EU,COLUMN(基本資料填寫!R71),0),"")</f>
        <v/>
      </c>
      <c r="D74" s="166" t="str">
        <f>IFERROR(VLOOKUP(基本資料填寫!$E$1&amp;"-"&amp;ROW(書籍檔建置!H71),基本資料填寫!$E:$EU,COLUMN(基本資料填寫!K71),0),"")</f>
        <v/>
      </c>
      <c r="E74" s="166" t="str">
        <f>IFERROR(VLOOKUP(基本資料填寫!$E$1&amp;"-"&amp;ROW(書籍檔建置!CB71),基本資料填寫!$E:$EU,COLUMN(基本資料填寫!CF71),0),"")</f>
        <v/>
      </c>
      <c r="F74" s="166" t="str">
        <f>IFERROR(VLOOKUP(基本資料填寫!$E$1&amp;"-"&amp;ROW(書籍檔建置!CC71),基本資料填寫!$E:$EU,COLUMN(基本資料填寫!CG71),0),"")</f>
        <v/>
      </c>
      <c r="H74" s="153"/>
      <c r="I74" s="153"/>
    </row>
    <row r="75" spans="2:9" x14ac:dyDescent="0.3">
      <c r="B75" s="115" t="str">
        <f>IF(D75="","",COUNTA($D$4:D75))</f>
        <v/>
      </c>
      <c r="C75" s="166" t="str">
        <f>IFERROR(VLOOKUP(基本資料填寫!$E$1&amp;"-"&amp;ROW(書籍檔建置!N72),基本資料填寫!$E:$EU,COLUMN(基本資料填寫!R72),0),"")</f>
        <v/>
      </c>
      <c r="D75" s="166" t="str">
        <f>IFERROR(VLOOKUP(基本資料填寫!$E$1&amp;"-"&amp;ROW(書籍檔建置!H72),基本資料填寫!$E:$EU,COLUMN(基本資料填寫!K72),0),"")</f>
        <v/>
      </c>
      <c r="E75" s="166" t="str">
        <f>IFERROR(VLOOKUP(基本資料填寫!$E$1&amp;"-"&amp;ROW(書籍檔建置!CB72),基本資料填寫!$E:$EU,COLUMN(基本資料填寫!CF72),0),"")</f>
        <v/>
      </c>
      <c r="F75" s="166" t="str">
        <f>IFERROR(VLOOKUP(基本資料填寫!$E$1&amp;"-"&amp;ROW(書籍檔建置!CC72),基本資料填寫!$E:$EU,COLUMN(基本資料填寫!CG72),0),"")</f>
        <v/>
      </c>
      <c r="H75" s="153"/>
      <c r="I75" s="153"/>
    </row>
    <row r="76" spans="2:9" x14ac:dyDescent="0.3">
      <c r="B76" s="115" t="str">
        <f>IF(D76="","",COUNTA($D$4:D76))</f>
        <v/>
      </c>
      <c r="C76" s="166" t="str">
        <f>IFERROR(VLOOKUP(基本資料填寫!$E$1&amp;"-"&amp;ROW(書籍檔建置!N73),基本資料填寫!$E:$EU,COLUMN(基本資料填寫!R73),0),"")</f>
        <v/>
      </c>
      <c r="D76" s="166" t="str">
        <f>IFERROR(VLOOKUP(基本資料填寫!$E$1&amp;"-"&amp;ROW(書籍檔建置!H73),基本資料填寫!$E:$EU,COLUMN(基本資料填寫!K73),0),"")</f>
        <v/>
      </c>
      <c r="E76" s="166" t="str">
        <f>IFERROR(VLOOKUP(基本資料填寫!$E$1&amp;"-"&amp;ROW(書籍檔建置!CB73),基本資料填寫!$E:$EU,COLUMN(基本資料填寫!CF73),0),"")</f>
        <v/>
      </c>
      <c r="F76" s="166" t="str">
        <f>IFERROR(VLOOKUP(基本資料填寫!$E$1&amp;"-"&amp;ROW(書籍檔建置!CC73),基本資料填寫!$E:$EU,COLUMN(基本資料填寫!CG73),0),"")</f>
        <v/>
      </c>
      <c r="H76" s="153"/>
      <c r="I76" s="153"/>
    </row>
    <row r="77" spans="2:9" x14ac:dyDescent="0.3">
      <c r="B77" s="115" t="str">
        <f>IF(D77="","",COUNTA($D$4:D77))</f>
        <v/>
      </c>
      <c r="C77" s="166" t="str">
        <f>IFERROR(VLOOKUP(基本資料填寫!$E$1&amp;"-"&amp;ROW(書籍檔建置!N74),基本資料填寫!$E:$EU,COLUMN(基本資料填寫!R74),0),"")</f>
        <v/>
      </c>
      <c r="D77" s="166" t="str">
        <f>IFERROR(VLOOKUP(基本資料填寫!$E$1&amp;"-"&amp;ROW(書籍檔建置!H74),基本資料填寫!$E:$EU,COLUMN(基本資料填寫!K74),0),"")</f>
        <v/>
      </c>
      <c r="E77" s="166" t="str">
        <f>IFERROR(VLOOKUP(基本資料填寫!$E$1&amp;"-"&amp;ROW(書籍檔建置!CB74),基本資料填寫!$E:$EU,COLUMN(基本資料填寫!CF74),0),"")</f>
        <v/>
      </c>
      <c r="F77" s="166" t="str">
        <f>IFERROR(VLOOKUP(基本資料填寫!$E$1&amp;"-"&amp;ROW(書籍檔建置!CC74),基本資料填寫!$E:$EU,COLUMN(基本資料填寫!CG74),0),"")</f>
        <v/>
      </c>
      <c r="H77" s="153"/>
      <c r="I77" s="153"/>
    </row>
    <row r="78" spans="2:9" x14ac:dyDescent="0.3">
      <c r="B78" s="115" t="str">
        <f>IF(D78="","",COUNTA($D$4:D78))</f>
        <v/>
      </c>
      <c r="C78" s="166" t="str">
        <f>IFERROR(VLOOKUP(基本資料填寫!$E$1&amp;"-"&amp;ROW(書籍檔建置!N75),基本資料填寫!$E:$EU,COLUMN(基本資料填寫!R75),0),"")</f>
        <v/>
      </c>
      <c r="D78" s="166" t="str">
        <f>IFERROR(VLOOKUP(基本資料填寫!$E$1&amp;"-"&amp;ROW(書籍檔建置!H75),基本資料填寫!$E:$EU,COLUMN(基本資料填寫!K75),0),"")</f>
        <v/>
      </c>
      <c r="E78" s="166" t="str">
        <f>IFERROR(VLOOKUP(基本資料填寫!$E$1&amp;"-"&amp;ROW(書籍檔建置!CB75),基本資料填寫!$E:$EU,COLUMN(基本資料填寫!CF75),0),"")</f>
        <v/>
      </c>
      <c r="F78" s="166" t="str">
        <f>IFERROR(VLOOKUP(基本資料填寫!$E$1&amp;"-"&amp;ROW(書籍檔建置!CC75),基本資料填寫!$E:$EU,COLUMN(基本資料填寫!CG75),0),"")</f>
        <v/>
      </c>
      <c r="H78" s="153"/>
      <c r="I78" s="153"/>
    </row>
    <row r="79" spans="2:9" x14ac:dyDescent="0.3">
      <c r="B79" s="115" t="str">
        <f>IF(D79="","",COUNTA($D$4:D79))</f>
        <v/>
      </c>
      <c r="C79" s="166" t="str">
        <f>IFERROR(VLOOKUP(基本資料填寫!$E$1&amp;"-"&amp;ROW(書籍檔建置!N76),基本資料填寫!$E:$EU,COLUMN(基本資料填寫!R76),0),"")</f>
        <v/>
      </c>
      <c r="D79" s="166" t="str">
        <f>IFERROR(VLOOKUP(基本資料填寫!$E$1&amp;"-"&amp;ROW(書籍檔建置!H76),基本資料填寫!$E:$EU,COLUMN(基本資料填寫!K76),0),"")</f>
        <v/>
      </c>
      <c r="E79" s="166" t="str">
        <f>IFERROR(VLOOKUP(基本資料填寫!$E$1&amp;"-"&amp;ROW(書籍檔建置!CB76),基本資料填寫!$E:$EU,COLUMN(基本資料填寫!CF76),0),"")</f>
        <v/>
      </c>
      <c r="F79" s="166" t="str">
        <f>IFERROR(VLOOKUP(基本資料填寫!$E$1&amp;"-"&amp;ROW(書籍檔建置!CC76),基本資料填寫!$E:$EU,COLUMN(基本資料填寫!CG76),0),"")</f>
        <v/>
      </c>
      <c r="H79" s="153"/>
      <c r="I79" s="153"/>
    </row>
    <row r="80" spans="2:9" x14ac:dyDescent="0.3">
      <c r="B80" s="115" t="str">
        <f>IF(D80="","",COUNTA($D$4:D80))</f>
        <v/>
      </c>
      <c r="C80" s="166" t="str">
        <f>IFERROR(VLOOKUP(基本資料填寫!$E$1&amp;"-"&amp;ROW(書籍檔建置!N77),基本資料填寫!$E:$EU,COLUMN(基本資料填寫!R77),0),"")</f>
        <v/>
      </c>
      <c r="D80" s="166" t="str">
        <f>IFERROR(VLOOKUP(基本資料填寫!$E$1&amp;"-"&amp;ROW(書籍檔建置!H77),基本資料填寫!$E:$EU,COLUMN(基本資料填寫!K77),0),"")</f>
        <v/>
      </c>
      <c r="E80" s="166" t="str">
        <f>IFERROR(VLOOKUP(基本資料填寫!$E$1&amp;"-"&amp;ROW(書籍檔建置!CB77),基本資料填寫!$E:$EU,COLUMN(基本資料填寫!CF77),0),"")</f>
        <v/>
      </c>
      <c r="F80" s="166" t="str">
        <f>IFERROR(VLOOKUP(基本資料填寫!$E$1&amp;"-"&amp;ROW(書籍檔建置!CC77),基本資料填寫!$E:$EU,COLUMN(基本資料填寫!CG77),0),"")</f>
        <v/>
      </c>
      <c r="H80" s="153"/>
      <c r="I80" s="153"/>
    </row>
    <row r="81" spans="2:9" x14ac:dyDescent="0.3">
      <c r="B81" s="115" t="str">
        <f>IF(D81="","",COUNTA($D$4:D81))</f>
        <v/>
      </c>
      <c r="C81" s="166" t="str">
        <f>IFERROR(VLOOKUP(基本資料填寫!$E$1&amp;"-"&amp;ROW(書籍檔建置!N78),基本資料填寫!$E:$EU,COLUMN(基本資料填寫!R78),0),"")</f>
        <v/>
      </c>
      <c r="D81" s="166" t="str">
        <f>IFERROR(VLOOKUP(基本資料填寫!$E$1&amp;"-"&amp;ROW(書籍檔建置!H78),基本資料填寫!$E:$EU,COLUMN(基本資料填寫!K78),0),"")</f>
        <v/>
      </c>
      <c r="E81" s="166" t="str">
        <f>IFERROR(VLOOKUP(基本資料填寫!$E$1&amp;"-"&amp;ROW(書籍檔建置!CB78),基本資料填寫!$E:$EU,COLUMN(基本資料填寫!CF78),0),"")</f>
        <v/>
      </c>
      <c r="F81" s="166" t="str">
        <f>IFERROR(VLOOKUP(基本資料填寫!$E$1&amp;"-"&amp;ROW(書籍檔建置!CC78),基本資料填寫!$E:$EU,COLUMN(基本資料填寫!CG78),0),"")</f>
        <v/>
      </c>
      <c r="H81" s="153"/>
      <c r="I81" s="153"/>
    </row>
    <row r="82" spans="2:9" x14ac:dyDescent="0.3">
      <c r="B82" s="115" t="str">
        <f>IF(D82="","",COUNTA($D$4:D82))</f>
        <v/>
      </c>
      <c r="C82" s="166" t="str">
        <f>IFERROR(VLOOKUP(基本資料填寫!$E$1&amp;"-"&amp;ROW(書籍檔建置!N79),基本資料填寫!$E:$EU,COLUMN(基本資料填寫!R79),0),"")</f>
        <v/>
      </c>
      <c r="D82" s="166" t="str">
        <f>IFERROR(VLOOKUP(基本資料填寫!$E$1&amp;"-"&amp;ROW(書籍檔建置!H79),基本資料填寫!$E:$EU,COLUMN(基本資料填寫!K79),0),"")</f>
        <v/>
      </c>
      <c r="E82" s="166" t="str">
        <f>IFERROR(VLOOKUP(基本資料填寫!$E$1&amp;"-"&amp;ROW(書籍檔建置!CB79),基本資料填寫!$E:$EU,COLUMN(基本資料填寫!CF79),0),"")</f>
        <v/>
      </c>
      <c r="F82" s="166" t="str">
        <f>IFERROR(VLOOKUP(基本資料填寫!$E$1&amp;"-"&amp;ROW(書籍檔建置!CC79),基本資料填寫!$E:$EU,COLUMN(基本資料填寫!CG79),0),"")</f>
        <v/>
      </c>
      <c r="H82" s="153"/>
      <c r="I82" s="153"/>
    </row>
    <row r="83" spans="2:9" x14ac:dyDescent="0.3">
      <c r="B83" s="115" t="str">
        <f>IF(D83="","",COUNTA($D$4:D83))</f>
        <v/>
      </c>
      <c r="C83" s="166" t="str">
        <f>IFERROR(VLOOKUP(基本資料填寫!$E$1&amp;"-"&amp;ROW(書籍檔建置!N80),基本資料填寫!$E:$EU,COLUMN(基本資料填寫!R80),0),"")</f>
        <v/>
      </c>
      <c r="D83" s="166" t="str">
        <f>IFERROR(VLOOKUP(基本資料填寫!$E$1&amp;"-"&amp;ROW(書籍檔建置!H80),基本資料填寫!$E:$EU,COLUMN(基本資料填寫!K80),0),"")</f>
        <v/>
      </c>
      <c r="E83" s="166" t="str">
        <f>IFERROR(VLOOKUP(基本資料填寫!$E$1&amp;"-"&amp;ROW(書籍檔建置!CB80),基本資料填寫!$E:$EU,COLUMN(基本資料填寫!CF80),0),"")</f>
        <v/>
      </c>
      <c r="F83" s="166" t="str">
        <f>IFERROR(VLOOKUP(基本資料填寫!$E$1&amp;"-"&amp;ROW(書籍檔建置!CC80),基本資料填寫!$E:$EU,COLUMN(基本資料填寫!CG80),0),"")</f>
        <v/>
      </c>
      <c r="H83" s="153"/>
      <c r="I83" s="153"/>
    </row>
    <row r="84" spans="2:9" x14ac:dyDescent="0.3">
      <c r="B84" s="115" t="str">
        <f>IF(D84="","",COUNTA($D$4:D84))</f>
        <v/>
      </c>
      <c r="C84" s="166" t="str">
        <f>IFERROR(VLOOKUP(基本資料填寫!$E$1&amp;"-"&amp;ROW(書籍檔建置!N81),基本資料填寫!$E:$EU,COLUMN(基本資料填寫!R81),0),"")</f>
        <v/>
      </c>
      <c r="D84" s="166" t="str">
        <f>IFERROR(VLOOKUP(基本資料填寫!$E$1&amp;"-"&amp;ROW(書籍檔建置!H81),基本資料填寫!$E:$EU,COLUMN(基本資料填寫!K81),0),"")</f>
        <v/>
      </c>
      <c r="E84" s="166" t="str">
        <f>IFERROR(VLOOKUP(基本資料填寫!$E$1&amp;"-"&amp;ROW(書籍檔建置!CB81),基本資料填寫!$E:$EU,COLUMN(基本資料填寫!CF81),0),"")</f>
        <v/>
      </c>
      <c r="F84" s="166" t="str">
        <f>IFERROR(VLOOKUP(基本資料填寫!$E$1&amp;"-"&amp;ROW(書籍檔建置!CC81),基本資料填寫!$E:$EU,COLUMN(基本資料填寫!CG81),0),"")</f>
        <v/>
      </c>
      <c r="H84" s="153"/>
      <c r="I84" s="153"/>
    </row>
    <row r="85" spans="2:9" x14ac:dyDescent="0.3">
      <c r="B85" s="115" t="str">
        <f>IF(D85="","",COUNTA($D$4:D85))</f>
        <v/>
      </c>
      <c r="C85" s="166" t="str">
        <f>IFERROR(VLOOKUP(基本資料填寫!$E$1&amp;"-"&amp;ROW(書籍檔建置!N82),基本資料填寫!$E:$EU,COLUMN(基本資料填寫!R82),0),"")</f>
        <v/>
      </c>
      <c r="D85" s="166" t="str">
        <f>IFERROR(VLOOKUP(基本資料填寫!$E$1&amp;"-"&amp;ROW(書籍檔建置!H82),基本資料填寫!$E:$EU,COLUMN(基本資料填寫!K82),0),"")</f>
        <v/>
      </c>
      <c r="E85" s="166" t="str">
        <f>IFERROR(VLOOKUP(基本資料填寫!$E$1&amp;"-"&amp;ROW(書籍檔建置!CB82),基本資料填寫!$E:$EU,COLUMN(基本資料填寫!CF82),0),"")</f>
        <v/>
      </c>
      <c r="F85" s="166" t="str">
        <f>IFERROR(VLOOKUP(基本資料填寫!$E$1&amp;"-"&amp;ROW(書籍檔建置!CC82),基本資料填寫!$E:$EU,COLUMN(基本資料填寫!CG82),0),"")</f>
        <v/>
      </c>
      <c r="H85" s="153"/>
      <c r="I85" s="153"/>
    </row>
    <row r="86" spans="2:9" x14ac:dyDescent="0.3">
      <c r="B86" s="115" t="str">
        <f>IF(D86="","",COUNTA($D$4:D86))</f>
        <v/>
      </c>
      <c r="C86" s="166" t="str">
        <f>IFERROR(VLOOKUP(基本資料填寫!$E$1&amp;"-"&amp;ROW(書籍檔建置!N83),基本資料填寫!$E:$EU,COLUMN(基本資料填寫!R83),0),"")</f>
        <v/>
      </c>
      <c r="D86" s="166" t="str">
        <f>IFERROR(VLOOKUP(基本資料填寫!$E$1&amp;"-"&amp;ROW(書籍檔建置!H83),基本資料填寫!$E:$EU,COLUMN(基本資料填寫!K83),0),"")</f>
        <v/>
      </c>
      <c r="E86" s="166" t="str">
        <f>IFERROR(VLOOKUP(基本資料填寫!$E$1&amp;"-"&amp;ROW(書籍檔建置!CB83),基本資料填寫!$E:$EU,COLUMN(基本資料填寫!CF83),0),"")</f>
        <v/>
      </c>
      <c r="F86" s="166" t="str">
        <f>IFERROR(VLOOKUP(基本資料填寫!$E$1&amp;"-"&amp;ROW(書籍檔建置!CC83),基本資料填寫!$E:$EU,COLUMN(基本資料填寫!CG83),0),"")</f>
        <v/>
      </c>
      <c r="H86" s="153"/>
      <c r="I86" s="153"/>
    </row>
    <row r="87" spans="2:9" x14ac:dyDescent="0.3">
      <c r="B87" s="115" t="str">
        <f>IF(D87="","",COUNTA($D$4:D87))</f>
        <v/>
      </c>
      <c r="C87" s="166" t="str">
        <f>IFERROR(VLOOKUP(基本資料填寫!$E$1&amp;"-"&amp;ROW(書籍檔建置!N84),基本資料填寫!$E:$EU,COLUMN(基本資料填寫!R84),0),"")</f>
        <v/>
      </c>
      <c r="D87" s="166" t="str">
        <f>IFERROR(VLOOKUP(基本資料填寫!$E$1&amp;"-"&amp;ROW(書籍檔建置!H84),基本資料填寫!$E:$EU,COLUMN(基本資料填寫!K84),0),"")</f>
        <v/>
      </c>
      <c r="E87" s="166" t="str">
        <f>IFERROR(VLOOKUP(基本資料填寫!$E$1&amp;"-"&amp;ROW(書籍檔建置!CB84),基本資料填寫!$E:$EU,COLUMN(基本資料填寫!CF84),0),"")</f>
        <v/>
      </c>
      <c r="F87" s="166" t="str">
        <f>IFERROR(VLOOKUP(基本資料填寫!$E$1&amp;"-"&amp;ROW(書籍檔建置!CC84),基本資料填寫!$E:$EU,COLUMN(基本資料填寫!CG84),0),"")</f>
        <v/>
      </c>
      <c r="H87" s="153"/>
      <c r="I87" s="153"/>
    </row>
    <row r="88" spans="2:9" x14ac:dyDescent="0.3">
      <c r="B88" s="115" t="str">
        <f>IF(D88="","",COUNTA($D$4:D88))</f>
        <v/>
      </c>
      <c r="C88" s="166" t="str">
        <f>IFERROR(VLOOKUP(基本資料填寫!$E$1&amp;"-"&amp;ROW(書籍檔建置!N85),基本資料填寫!$E:$EU,COLUMN(基本資料填寫!R85),0),"")</f>
        <v/>
      </c>
      <c r="D88" s="166" t="str">
        <f>IFERROR(VLOOKUP(基本資料填寫!$E$1&amp;"-"&amp;ROW(書籍檔建置!H85),基本資料填寫!$E:$EU,COLUMN(基本資料填寫!K85),0),"")</f>
        <v/>
      </c>
      <c r="E88" s="166" t="str">
        <f>IFERROR(VLOOKUP(基本資料填寫!$E$1&amp;"-"&amp;ROW(書籍檔建置!CB85),基本資料填寫!$E:$EU,COLUMN(基本資料填寫!CF85),0),"")</f>
        <v/>
      </c>
      <c r="F88" s="166" t="str">
        <f>IFERROR(VLOOKUP(基本資料填寫!$E$1&amp;"-"&amp;ROW(書籍檔建置!CC85),基本資料填寫!$E:$EU,COLUMN(基本資料填寫!CG85),0),"")</f>
        <v/>
      </c>
      <c r="H88" s="153"/>
      <c r="I88" s="153"/>
    </row>
    <row r="89" spans="2:9" x14ac:dyDescent="0.3">
      <c r="B89" s="115" t="str">
        <f>IF(D89="","",COUNTA($D$4:D89))</f>
        <v/>
      </c>
      <c r="C89" s="166" t="str">
        <f>IFERROR(VLOOKUP(基本資料填寫!$E$1&amp;"-"&amp;ROW(書籍檔建置!N86),基本資料填寫!$E:$EU,COLUMN(基本資料填寫!R86),0),"")</f>
        <v/>
      </c>
      <c r="D89" s="166" t="str">
        <f>IFERROR(VLOOKUP(基本資料填寫!$E$1&amp;"-"&amp;ROW(書籍檔建置!H86),基本資料填寫!$E:$EU,COLUMN(基本資料填寫!K86),0),"")</f>
        <v/>
      </c>
      <c r="E89" s="166" t="str">
        <f>IFERROR(VLOOKUP(基本資料填寫!$E$1&amp;"-"&amp;ROW(書籍檔建置!CB86),基本資料填寫!$E:$EU,COLUMN(基本資料填寫!CF86),0),"")</f>
        <v/>
      </c>
      <c r="F89" s="166" t="str">
        <f>IFERROR(VLOOKUP(基本資料填寫!$E$1&amp;"-"&amp;ROW(書籍檔建置!CC86),基本資料填寫!$E:$EU,COLUMN(基本資料填寫!CG86),0),"")</f>
        <v/>
      </c>
      <c r="H89" s="153"/>
      <c r="I89" s="153"/>
    </row>
    <row r="90" spans="2:9" x14ac:dyDescent="0.3">
      <c r="B90" s="115" t="str">
        <f>IF(D90="","",COUNTA($D$4:D90))</f>
        <v/>
      </c>
      <c r="C90" s="166" t="str">
        <f>IFERROR(VLOOKUP(基本資料填寫!$E$1&amp;"-"&amp;ROW(書籍檔建置!N87),基本資料填寫!$E:$EU,COLUMN(基本資料填寫!R87),0),"")</f>
        <v/>
      </c>
      <c r="D90" s="166" t="str">
        <f>IFERROR(VLOOKUP(基本資料填寫!$E$1&amp;"-"&amp;ROW(書籍檔建置!H87),基本資料填寫!$E:$EU,COLUMN(基本資料填寫!K87),0),"")</f>
        <v/>
      </c>
      <c r="E90" s="166" t="str">
        <f>IFERROR(VLOOKUP(基本資料填寫!$E$1&amp;"-"&amp;ROW(書籍檔建置!CB87),基本資料填寫!$E:$EU,COLUMN(基本資料填寫!CF87),0),"")</f>
        <v/>
      </c>
      <c r="F90" s="166" t="str">
        <f>IFERROR(VLOOKUP(基本資料填寫!$E$1&amp;"-"&amp;ROW(書籍檔建置!CC87),基本資料填寫!$E:$EU,COLUMN(基本資料填寫!CG87),0),"")</f>
        <v/>
      </c>
      <c r="H90" s="153"/>
      <c r="I90" s="153"/>
    </row>
    <row r="91" spans="2:9" x14ac:dyDescent="0.3">
      <c r="B91" s="115" t="str">
        <f>IF(D91="","",COUNTA($D$4:D91))</f>
        <v/>
      </c>
      <c r="C91" s="166" t="str">
        <f>IFERROR(VLOOKUP(基本資料填寫!$E$1&amp;"-"&amp;ROW(書籍檔建置!N88),基本資料填寫!$E:$EU,COLUMN(基本資料填寫!R88),0),"")</f>
        <v/>
      </c>
      <c r="D91" s="166" t="str">
        <f>IFERROR(VLOOKUP(基本資料填寫!$E$1&amp;"-"&amp;ROW(書籍檔建置!H88),基本資料填寫!$E:$EU,COLUMN(基本資料填寫!K88),0),"")</f>
        <v/>
      </c>
      <c r="E91" s="166" t="str">
        <f>IFERROR(VLOOKUP(基本資料填寫!$E$1&amp;"-"&amp;ROW(書籍檔建置!CB88),基本資料填寫!$E:$EU,COLUMN(基本資料填寫!CF88),0),"")</f>
        <v/>
      </c>
      <c r="F91" s="166" t="str">
        <f>IFERROR(VLOOKUP(基本資料填寫!$E$1&amp;"-"&amp;ROW(書籍檔建置!CC88),基本資料填寫!$E:$EU,COLUMN(基本資料填寫!CG88),0),"")</f>
        <v/>
      </c>
      <c r="H91" s="153"/>
      <c r="I91" s="153"/>
    </row>
    <row r="92" spans="2:9" x14ac:dyDescent="0.3">
      <c r="B92" s="115" t="str">
        <f>IF(D92="","",COUNTA($D$4:D92))</f>
        <v/>
      </c>
      <c r="C92" s="166" t="str">
        <f>IFERROR(VLOOKUP(基本資料填寫!$E$1&amp;"-"&amp;ROW(書籍檔建置!N89),基本資料填寫!$E:$EU,COLUMN(基本資料填寫!R89),0),"")</f>
        <v/>
      </c>
      <c r="D92" s="166" t="str">
        <f>IFERROR(VLOOKUP(基本資料填寫!$E$1&amp;"-"&amp;ROW(書籍檔建置!H89),基本資料填寫!$E:$EU,COLUMN(基本資料填寫!K89),0),"")</f>
        <v/>
      </c>
      <c r="E92" s="166" t="str">
        <f>IFERROR(VLOOKUP(基本資料填寫!$E$1&amp;"-"&amp;ROW(書籍檔建置!CB89),基本資料填寫!$E:$EU,COLUMN(基本資料填寫!CF89),0),"")</f>
        <v/>
      </c>
      <c r="F92" s="166" t="str">
        <f>IFERROR(VLOOKUP(基本資料填寫!$E$1&amp;"-"&amp;ROW(書籍檔建置!CC89),基本資料填寫!$E:$EU,COLUMN(基本資料填寫!CG89),0),"")</f>
        <v/>
      </c>
      <c r="H92" s="153"/>
      <c r="I92" s="153"/>
    </row>
    <row r="93" spans="2:9" x14ac:dyDescent="0.3">
      <c r="B93" s="115" t="str">
        <f>IF(D93="","",COUNTA($D$4:D93))</f>
        <v/>
      </c>
      <c r="C93" s="166" t="str">
        <f>IFERROR(VLOOKUP(基本資料填寫!$E$1&amp;"-"&amp;ROW(書籍檔建置!N90),基本資料填寫!$E:$EU,COLUMN(基本資料填寫!R90),0),"")</f>
        <v/>
      </c>
      <c r="D93" s="166" t="str">
        <f>IFERROR(VLOOKUP(基本資料填寫!$E$1&amp;"-"&amp;ROW(書籍檔建置!H90),基本資料填寫!$E:$EU,COLUMN(基本資料填寫!K90),0),"")</f>
        <v/>
      </c>
      <c r="E93" s="166" t="str">
        <f>IFERROR(VLOOKUP(基本資料填寫!$E$1&amp;"-"&amp;ROW(書籍檔建置!CB90),基本資料填寫!$E:$EU,COLUMN(基本資料填寫!CF90),0),"")</f>
        <v/>
      </c>
      <c r="F93" s="166" t="str">
        <f>IFERROR(VLOOKUP(基本資料填寫!$E$1&amp;"-"&amp;ROW(書籍檔建置!CC90),基本資料填寫!$E:$EU,COLUMN(基本資料填寫!CG90),0),"")</f>
        <v/>
      </c>
      <c r="H93" s="153"/>
      <c r="I93" s="153"/>
    </row>
    <row r="94" spans="2:9" x14ac:dyDescent="0.3">
      <c r="B94" s="115" t="str">
        <f>IF(D94="","",COUNTA($D$4:D94))</f>
        <v/>
      </c>
      <c r="C94" s="166" t="str">
        <f>IFERROR(VLOOKUP(基本資料填寫!$E$1&amp;"-"&amp;ROW(書籍檔建置!N91),基本資料填寫!$E:$EU,COLUMN(基本資料填寫!R91),0),"")</f>
        <v/>
      </c>
      <c r="D94" s="166" t="str">
        <f>IFERROR(VLOOKUP(基本資料填寫!$E$1&amp;"-"&amp;ROW(書籍檔建置!H91),基本資料填寫!$E:$EU,COLUMN(基本資料填寫!K91),0),"")</f>
        <v/>
      </c>
      <c r="E94" s="166" t="str">
        <f>IFERROR(VLOOKUP(基本資料填寫!$E$1&amp;"-"&amp;ROW(書籍檔建置!CB91),基本資料填寫!$E:$EU,COLUMN(基本資料填寫!CF91),0),"")</f>
        <v/>
      </c>
      <c r="F94" s="166" t="str">
        <f>IFERROR(VLOOKUP(基本資料填寫!$E$1&amp;"-"&amp;ROW(書籍檔建置!CC91),基本資料填寫!$E:$EU,COLUMN(基本資料填寫!CG91),0),"")</f>
        <v/>
      </c>
      <c r="H94" s="153"/>
      <c r="I94" s="153"/>
    </row>
    <row r="95" spans="2:9" x14ac:dyDescent="0.3">
      <c r="B95" s="115" t="str">
        <f>IF(D95="","",COUNTA($D$4:D95))</f>
        <v/>
      </c>
      <c r="C95" s="166" t="str">
        <f>IFERROR(VLOOKUP(基本資料填寫!$E$1&amp;"-"&amp;ROW(書籍檔建置!N92),基本資料填寫!$E:$EU,COLUMN(基本資料填寫!R92),0),"")</f>
        <v/>
      </c>
      <c r="D95" s="166" t="str">
        <f>IFERROR(VLOOKUP(基本資料填寫!$E$1&amp;"-"&amp;ROW(書籍檔建置!H92),基本資料填寫!$E:$EU,COLUMN(基本資料填寫!K92),0),"")</f>
        <v/>
      </c>
      <c r="E95" s="166" t="str">
        <f>IFERROR(VLOOKUP(基本資料填寫!$E$1&amp;"-"&amp;ROW(書籍檔建置!CB92),基本資料填寫!$E:$EU,COLUMN(基本資料填寫!CF92),0),"")</f>
        <v/>
      </c>
      <c r="F95" s="166" t="str">
        <f>IFERROR(VLOOKUP(基本資料填寫!$E$1&amp;"-"&amp;ROW(書籍檔建置!CC92),基本資料填寫!$E:$EU,COLUMN(基本資料填寫!CG92),0),"")</f>
        <v/>
      </c>
      <c r="H95" s="153"/>
      <c r="I95" s="153"/>
    </row>
    <row r="96" spans="2:9" x14ac:dyDescent="0.3">
      <c r="B96" s="115" t="str">
        <f>IF(D96="","",COUNTA($D$4:D96))</f>
        <v/>
      </c>
      <c r="C96" s="166" t="str">
        <f>IFERROR(VLOOKUP(基本資料填寫!$E$1&amp;"-"&amp;ROW(書籍檔建置!N93),基本資料填寫!$E:$EU,COLUMN(基本資料填寫!R93),0),"")</f>
        <v/>
      </c>
      <c r="D96" s="166" t="str">
        <f>IFERROR(VLOOKUP(基本資料填寫!$E$1&amp;"-"&amp;ROW(書籍檔建置!H93),基本資料填寫!$E:$EU,COLUMN(基本資料填寫!K93),0),"")</f>
        <v/>
      </c>
      <c r="E96" s="166" t="str">
        <f>IFERROR(VLOOKUP(基本資料填寫!$E$1&amp;"-"&amp;ROW(書籍檔建置!CB93),基本資料填寫!$E:$EU,COLUMN(基本資料填寫!CF93),0),"")</f>
        <v/>
      </c>
      <c r="F96" s="166" t="str">
        <f>IFERROR(VLOOKUP(基本資料填寫!$E$1&amp;"-"&amp;ROW(書籍檔建置!CC93),基本資料填寫!$E:$EU,COLUMN(基本資料填寫!CG93),0),"")</f>
        <v/>
      </c>
      <c r="H96" s="153"/>
      <c r="I96" s="153"/>
    </row>
    <row r="97" spans="1:14" x14ac:dyDescent="0.3">
      <c r="B97" s="115" t="str">
        <f>IF(D97="","",COUNTA($D$4:D97))</f>
        <v/>
      </c>
      <c r="C97" s="166" t="str">
        <f>IFERROR(VLOOKUP(基本資料填寫!$E$1&amp;"-"&amp;ROW(書籍檔建置!N94),基本資料填寫!$E:$EU,COLUMN(基本資料填寫!R94),0),"")</f>
        <v/>
      </c>
      <c r="D97" s="166" t="str">
        <f>IFERROR(VLOOKUP(基本資料填寫!$E$1&amp;"-"&amp;ROW(書籍檔建置!H94),基本資料填寫!$E:$EU,COLUMN(基本資料填寫!K94),0),"")</f>
        <v/>
      </c>
      <c r="E97" s="166" t="str">
        <f>IFERROR(VLOOKUP(基本資料填寫!$E$1&amp;"-"&amp;ROW(書籍檔建置!CB94),基本資料填寫!$E:$EU,COLUMN(基本資料填寫!CF94),0),"")</f>
        <v/>
      </c>
      <c r="F97" s="166" t="str">
        <f>IFERROR(VLOOKUP(基本資料填寫!$E$1&amp;"-"&amp;ROW(書籍檔建置!CC94),基本資料填寫!$E:$EU,COLUMN(基本資料填寫!CG94),0),"")</f>
        <v/>
      </c>
      <c r="H97" s="153"/>
      <c r="I97" s="153"/>
    </row>
    <row r="98" spans="1:14" x14ac:dyDescent="0.3">
      <c r="B98" s="115" t="str">
        <f>IF(D98="","",COUNTA($D$4:D98))</f>
        <v/>
      </c>
      <c r="C98" s="166" t="str">
        <f>IFERROR(VLOOKUP(基本資料填寫!$E$1&amp;"-"&amp;ROW(書籍檔建置!N95),基本資料填寫!$E:$EU,COLUMN(基本資料填寫!R95),0),"")</f>
        <v/>
      </c>
      <c r="D98" s="166" t="str">
        <f>IFERROR(VLOOKUP(基本資料填寫!$E$1&amp;"-"&amp;ROW(書籍檔建置!H95),基本資料填寫!$E:$EU,COLUMN(基本資料填寫!K95),0),"")</f>
        <v/>
      </c>
      <c r="E98" s="166" t="str">
        <f>IFERROR(VLOOKUP(基本資料填寫!$E$1&amp;"-"&amp;ROW(書籍檔建置!CB95),基本資料填寫!$E:$EU,COLUMN(基本資料填寫!CF95),0),"")</f>
        <v/>
      </c>
      <c r="F98" s="166" t="str">
        <f>IFERROR(VLOOKUP(基本資料填寫!$E$1&amp;"-"&amp;ROW(書籍檔建置!CC95),基本資料填寫!$E:$EU,COLUMN(基本資料填寫!CG95),0),"")</f>
        <v/>
      </c>
      <c r="H98" s="153"/>
      <c r="I98" s="153"/>
    </row>
    <row r="99" spans="1:14" x14ac:dyDescent="0.3">
      <c r="B99" s="115" t="str">
        <f>IF(D99="","",COUNTA($D$4:D99))</f>
        <v/>
      </c>
      <c r="C99" s="166" t="str">
        <f>IFERROR(VLOOKUP(基本資料填寫!$E$1&amp;"-"&amp;ROW(書籍檔建置!N96),基本資料填寫!$E:$EU,COLUMN(基本資料填寫!R96),0),"")</f>
        <v/>
      </c>
      <c r="D99" s="166" t="str">
        <f>IFERROR(VLOOKUP(基本資料填寫!$E$1&amp;"-"&amp;ROW(書籍檔建置!H96),基本資料填寫!$E:$EU,COLUMN(基本資料填寫!K96),0),"")</f>
        <v/>
      </c>
      <c r="E99" s="166" t="str">
        <f>IFERROR(VLOOKUP(基本資料填寫!$E$1&amp;"-"&amp;ROW(書籍檔建置!CB96),基本資料填寫!$E:$EU,COLUMN(基本資料填寫!CF96),0),"")</f>
        <v/>
      </c>
      <c r="F99" s="166" t="str">
        <f>IFERROR(VLOOKUP(基本資料填寫!$E$1&amp;"-"&amp;ROW(書籍檔建置!CC96),基本資料填寫!$E:$EU,COLUMN(基本資料填寫!CG96),0),"")</f>
        <v/>
      </c>
      <c r="H99" s="153"/>
      <c r="I99" s="153"/>
    </row>
    <row r="100" spans="1:14" x14ac:dyDescent="0.3">
      <c r="B100" s="115" t="str">
        <f>IF(D100="","",COUNTA($D$4:D100))</f>
        <v/>
      </c>
      <c r="C100" s="166" t="str">
        <f>IFERROR(VLOOKUP(基本資料填寫!$E$1&amp;"-"&amp;ROW(書籍檔建置!N97),基本資料填寫!$E:$EU,COLUMN(基本資料填寫!R97),0),"")</f>
        <v/>
      </c>
      <c r="D100" s="166" t="str">
        <f>IFERROR(VLOOKUP(基本資料填寫!$E$1&amp;"-"&amp;ROW(書籍檔建置!H97),基本資料填寫!$E:$EU,COLUMN(基本資料填寫!K97),0),"")</f>
        <v/>
      </c>
      <c r="E100" s="166" t="str">
        <f>IFERROR(VLOOKUP(基本資料填寫!$E$1&amp;"-"&amp;ROW(書籍檔建置!CB97),基本資料填寫!$E:$EU,COLUMN(基本資料填寫!CF97),0),"")</f>
        <v/>
      </c>
      <c r="F100" s="166" t="str">
        <f>IFERROR(VLOOKUP(基本資料填寫!$E$1&amp;"-"&amp;ROW(書籍檔建置!CC97),基本資料填寫!$E:$EU,COLUMN(基本資料填寫!CG97),0),"")</f>
        <v/>
      </c>
      <c r="H100" s="153"/>
      <c r="I100" s="153"/>
    </row>
    <row r="101" spans="1:14" x14ac:dyDescent="0.3">
      <c r="B101" s="115" t="str">
        <f>IF(D101="","",COUNTA($D$4:D101))</f>
        <v/>
      </c>
      <c r="C101" s="166" t="str">
        <f>IFERROR(VLOOKUP(基本資料填寫!$E$1&amp;"-"&amp;ROW(書籍檔建置!N98),基本資料填寫!$E:$EU,COLUMN(基本資料填寫!R98),0),"")</f>
        <v/>
      </c>
      <c r="D101" s="166" t="str">
        <f>IFERROR(VLOOKUP(基本資料填寫!$E$1&amp;"-"&amp;ROW(書籍檔建置!H98),基本資料填寫!$E:$EU,COLUMN(基本資料填寫!K98),0),"")</f>
        <v/>
      </c>
      <c r="E101" s="166" t="str">
        <f>IFERROR(VLOOKUP(基本資料填寫!$E$1&amp;"-"&amp;ROW(書籍檔建置!CB98),基本資料填寫!$E:$EU,COLUMN(基本資料填寫!CF98),0),"")</f>
        <v/>
      </c>
      <c r="F101" s="166" t="str">
        <f>IFERROR(VLOOKUP(基本資料填寫!$E$1&amp;"-"&amp;ROW(書籍檔建置!CC98),基本資料填寫!$E:$EU,COLUMN(基本資料填寫!CG98),0),"")</f>
        <v/>
      </c>
      <c r="H101" s="153"/>
      <c r="I101" s="153"/>
    </row>
    <row r="102" spans="1:14" x14ac:dyDescent="0.3">
      <c r="B102" s="115" t="str">
        <f>IF(D102="","",COUNTA($D$4:D102))</f>
        <v/>
      </c>
      <c r="C102" s="166" t="str">
        <f>IFERROR(VLOOKUP(基本資料填寫!$E$1&amp;"-"&amp;ROW(書籍檔建置!N99),基本資料填寫!$E:$EU,COLUMN(基本資料填寫!R99),0),"")</f>
        <v/>
      </c>
      <c r="D102" s="166" t="str">
        <f>IFERROR(VLOOKUP(基本資料填寫!$E$1&amp;"-"&amp;ROW(書籍檔建置!H99),基本資料填寫!$E:$EU,COLUMN(基本資料填寫!K99),0),"")</f>
        <v/>
      </c>
      <c r="E102" s="166" t="str">
        <f>IFERROR(VLOOKUP(基本資料填寫!$E$1&amp;"-"&amp;ROW(書籍檔建置!CB99),基本資料填寫!$E:$EU,COLUMN(基本資料填寫!CF99),0),"")</f>
        <v/>
      </c>
      <c r="F102" s="166" t="str">
        <f>IFERROR(VLOOKUP(基本資料填寫!$E$1&amp;"-"&amp;ROW(書籍檔建置!CC99),基本資料填寫!$E:$EU,COLUMN(基本資料填寫!CG99),0),"")</f>
        <v/>
      </c>
      <c r="H102" s="153"/>
      <c r="I102" s="153"/>
    </row>
    <row r="103" spans="1:14" s="24" customFormat="1" x14ac:dyDescent="0.3">
      <c r="B103" s="46"/>
      <c r="C103" s="46"/>
      <c r="D103" s="179"/>
      <c r="E103" s="46"/>
      <c r="F103" s="46"/>
      <c r="H103" s="152"/>
      <c r="I103" s="152"/>
    </row>
    <row r="105" spans="1:14" x14ac:dyDescent="0.3">
      <c r="A105" s="169"/>
      <c r="B105" s="166"/>
      <c r="C105" s="166"/>
      <c r="D105" s="166"/>
      <c r="F105" s="166"/>
      <c r="G105" s="169"/>
      <c r="H105" s="169"/>
      <c r="I105" s="169"/>
      <c r="J105" s="169"/>
      <c r="K105" s="169"/>
      <c r="L105" s="169"/>
      <c r="M105" s="169"/>
      <c r="N105" s="16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8DC8-898A-4FBC-BED1-9D1EDBAE5BD7}">
  <dimension ref="A3:H35"/>
  <sheetViews>
    <sheetView topLeftCell="A13" zoomScale="70" zoomScaleNormal="70" workbookViewId="0">
      <selection activeCell="B13" sqref="B13"/>
    </sheetView>
  </sheetViews>
  <sheetFormatPr defaultRowHeight="16.2" x14ac:dyDescent="0.3"/>
  <cols>
    <col min="2" max="8" width="36.44140625" customWidth="1"/>
  </cols>
  <sheetData>
    <row r="3" spans="1:8" x14ac:dyDescent="0.3">
      <c r="B3" s="217" t="str">
        <f>IFERROR(VLOOKUP(基本資料填寫!$E$1&amp;"-"&amp;ROW(書籍檔建置!A1),基本資料填寫!$E:$EU,COLUMN(基本資料填寫!A1),0),"")</f>
        <v>全-1</v>
      </c>
      <c r="C3" s="217" t="str">
        <f>IFERROR(VLOOKUP(基本資料填寫!$E$1&amp;"-"&amp;ROW(書籍檔建置!B1),基本資料填寫!$E:$EU,COLUMN(基本資料填寫!B1),0),"")</f>
        <v>總</v>
      </c>
      <c r="D3" s="217">
        <f>IFERROR(VLOOKUP(基本資料填寫!$E$1&amp;"-"&amp;ROW(書籍檔建置!C1),基本資料填寫!$E:$EU,COLUMN(基本資料填寫!C1),0),"")</f>
        <v>0</v>
      </c>
      <c r="E3" s="217" t="str">
        <f>IFERROR(VLOOKUP(基本資料填寫!$E$1&amp;"-"&amp;ROW(書籍檔建置!D1),基本資料填寫!$E:$EU,COLUMN(基本資料填寫!D1),0),"")</f>
        <v>全</v>
      </c>
      <c r="F3" s="217">
        <f>IFERROR(VLOOKUP(基本資料填寫!$E$1&amp;"-"&amp;ROW(書籍檔建置!E1),基本資料填寫!$E:$EU,COLUMN(基本資料填寫!E1),0),"")</f>
        <v>1</v>
      </c>
      <c r="G3" s="217" t="str">
        <f>IFERROR(VLOOKUP(基本資料填寫!$E$1&amp;"-"&amp;ROW(書籍檔建置!F1),基本資料填寫!$E:$EU,COLUMN(基本資料填寫!I1),0),"")</f>
        <v>聲力電話系統</v>
      </c>
      <c r="H3" s="217">
        <f>IFERROR(VLOOKUP(基本資料填寫!$E$1&amp;"-"&amp;ROW(書籍檔建置!G1),基本資料填寫!$E:$EU,COLUMN(基本資料填寫!J1),0),"")</f>
        <v>43212</v>
      </c>
    </row>
    <row r="4" spans="1:8" x14ac:dyDescent="0.3">
      <c r="B4" s="168"/>
      <c r="C4" s="168"/>
      <c r="D4" s="166"/>
      <c r="E4" s="166"/>
      <c r="F4" s="166"/>
      <c r="G4" s="168"/>
      <c r="H4" s="168"/>
    </row>
    <row r="5" spans="1:8" x14ac:dyDescent="0.3">
      <c r="B5" s="217" t="str">
        <f>IFERROR(VLOOKUP(基本資料填寫!$E$1&amp;"-"&amp;ROW(書籍檔建置!G1),基本資料填寫!$E:$EU,COLUMN(基本資料填寫!K1),0),"")</f>
        <v>TA-4CI</v>
      </c>
      <c r="C5" s="217" t="str">
        <f>IFERROR(VLOOKUP(基本資料填寫!$E$1&amp;"-"&amp;ROW(書籍檔建置!H1),基本資料填寫!$E:$EU,COLUMN(基本資料填寫!L1),0),"")</f>
        <v>Acoustic Telephone System</v>
      </c>
      <c r="D5" s="217" t="str">
        <f>IFERROR(VLOOKUP(基本資料填寫!$E$1&amp;"-"&amp;ROW(書籍檔建置!I1),基本資料填寫!$E:$EU,COLUMN(基本資料填寫!M1),0),"")</f>
        <v>聲力電話系統</v>
      </c>
      <c r="E5" s="217" t="str">
        <f>IFERROR(VLOOKUP(基本資料填寫!$E$1&amp;"-"&amp;ROW(書籍檔建置!J1),基本資料填寫!$E:$EU,COLUMN(基本資料填寫!N1),0),"")</f>
        <v>聲力電話系統</v>
      </c>
      <c r="F5" s="217" t="str">
        <f>IFERROR(VLOOKUP(基本資料填寫!$E$1&amp;"-"&amp;ROW(書籍檔建置!K1),基本資料填寫!$E:$EU,COLUMN(基本資料填寫!O1),0),"")</f>
        <v>5805</v>
      </c>
      <c r="G5" s="217" t="str">
        <f>IFERROR(VLOOKUP(基本資料填寫!$E$1&amp;"-"&amp;ROW(書籍檔建置!L1),基本資料填寫!$E:$EU,COLUMN(基本資料填寫!P1),0),"")</f>
        <v>YETL</v>
      </c>
      <c r="H5" s="217" t="str">
        <f>IFERROR(VLOOKUP(基本資料填寫!$E$1&amp;"-"&amp;ROW(書籍檔建置!M1),基本資料填寫!$E:$EU,COLUMN(基本資料填寫!Q1),0),"")</f>
        <v>22090</v>
      </c>
    </row>
    <row r="6" spans="1:8" x14ac:dyDescent="0.3">
      <c r="B6" s="168"/>
      <c r="C6" s="168"/>
      <c r="D6" s="166"/>
      <c r="E6" s="166"/>
      <c r="F6" s="166"/>
      <c r="G6" s="168"/>
      <c r="H6" s="168"/>
    </row>
    <row r="7" spans="1:8" x14ac:dyDescent="0.3">
      <c r="B7" s="217" t="str">
        <f>IFERROR(VLOOKUP(基本資料填寫!$E$1&amp;"-"&amp;ROW(書籍檔建置!N1),基本資料填寫!$E:$EU,COLUMN(基本資料填寫!R1),0),"")</f>
        <v>YETL22090</v>
      </c>
      <c r="C7" s="217" t="str">
        <f>IFERROR(VLOOKUP(基本資料填寫!$E$1&amp;"-"&amp;ROW(書籍檔建置!O1),基本資料填寫!$E:$EU,COLUMN(基本資料填寫!S1),0),"")</f>
        <v>5805YETL22090</v>
      </c>
      <c r="D7" s="217" t="str">
        <f>IFERROR(VLOOKUP(基本資料填寫!$E$1&amp;"-"&amp;ROW(書籍檔建置!P1),基本資料填寫!$E:$EU,COLUMN(基本資料填寫!T1),0),"")</f>
        <v>1</v>
      </c>
      <c r="E7" s="217">
        <f>IFERROR(VLOOKUP(基本資料填寫!$E$1&amp;"-"&amp;ROW(書籍檔建置!Q1),基本資料填寫!$E:$EU,COLUMN(基本資料填寫!U1),0),"")</f>
        <v>1</v>
      </c>
      <c r="F7" s="217" t="str">
        <f>IFERROR(VLOOKUP(基本資料填寫!$E$1&amp;"-"&amp;ROW(書籍檔建置!R1),基本資料填寫!$E:$EU,COLUMN(基本資料填寫!V1),0),"")</f>
        <v>EA</v>
      </c>
      <c r="G7" s="217">
        <f>IFERROR(VLOOKUP(基本資料填寫!$E$1&amp;"-"&amp;ROW(書籍檔建置!S1),基本資料填寫!$E:$EU,COLUMN(基本資料填寫!W1),0),"")</f>
        <v>530000</v>
      </c>
      <c r="H7" s="217" t="str">
        <f>IFERROR(VLOOKUP(基本資料填寫!$E$1&amp;"-"&amp;ROW(書籍檔建置!T1),基本資料填寫!$E:$EU,COLUMN(基本資料填寫!X1),0),"")</f>
        <v>3 M</v>
      </c>
    </row>
    <row r="8" spans="1:8" x14ac:dyDescent="0.3">
      <c r="B8" s="168"/>
      <c r="C8" s="168"/>
      <c r="D8" s="166"/>
      <c r="E8" s="166"/>
      <c r="F8" s="166"/>
      <c r="G8" s="168"/>
      <c r="H8" s="168"/>
    </row>
    <row r="9" spans="1:8" x14ac:dyDescent="0.3">
      <c r="B9" s="217">
        <f>IFERROR(VLOOKUP(基本資料填寫!$E$1&amp;"-"&amp;ROW(書籍檔建置!U1),基本資料填寫!$E:$EU,COLUMN(基本資料填寫!Y1),0),"")</f>
        <v>83.3</v>
      </c>
      <c r="C9" s="217">
        <f>IFERROR(VLOOKUP(基本資料填寫!$E$1&amp;"-"&amp;ROW(書籍檔建置!V1),基本資料填寫!$E:$EU,COLUMN(基本資料填寫!Z1),0),"")</f>
        <v>12000</v>
      </c>
      <c r="D9" s="217">
        <f>IFERROR(VLOOKUP(基本資料填寫!$E$1&amp;"-"&amp;ROW(書籍檔建置!W1),基本資料填寫!$E:$EU,COLUMN(基本資料填寫!AA1),0),"")</f>
        <v>1.5</v>
      </c>
      <c r="E9" s="217" t="str">
        <f>IFERROR(VLOOKUP(基本資料填寫!$E$1&amp;"-"&amp;ROW(書籍檔建置!X1),基本資料填寫!$E:$EU,COLUMN(基本資料填寫!AB1),0),"")</f>
        <v>Y</v>
      </c>
      <c r="F9" s="217">
        <f>IFERROR(VLOOKUP(基本資料填寫!$E$1&amp;"-"&amp;ROW(書籍檔建置!Y1),基本資料填寫!$E:$EU,COLUMN(基本資料填寫!AC1),0),"")</f>
        <v>0</v>
      </c>
      <c r="G9" s="217">
        <f>IFERROR(VLOOKUP(基本資料填寫!$E$1&amp;"-"&amp;ROW(書籍檔建置!Z1),基本資料填寫!$E:$EU,COLUMN(基本資料填寫!AD1),0),"")</f>
        <v>3</v>
      </c>
      <c r="H9" s="217" t="str">
        <f>IFERROR(VLOOKUP(基本資料填寫!$E$1&amp;"-"&amp;ROW(書籍檔建置!AA1),基本資料填寫!$E:$EU,COLUMN(基本資料填寫!AE1),0),"")</f>
        <v>0823</v>
      </c>
    </row>
    <row r="10" spans="1:8" x14ac:dyDescent="0.3">
      <c r="B10" s="168"/>
      <c r="C10" s="168"/>
      <c r="D10" s="166"/>
      <c r="E10" s="166"/>
      <c r="F10" s="166"/>
      <c r="G10" s="168"/>
      <c r="H10" s="168"/>
    </row>
    <row r="11" spans="1:8" x14ac:dyDescent="0.3">
      <c r="B11" s="217" t="str">
        <f>IFERROR(VLOOKUP(基本資料填寫!$E$1&amp;"-"&amp;ROW(書籍檔建置!AB1),基本資料填寫!$E:$EU,COLUMN(基本資料填寫!AF1),0),"")</f>
        <v>JSSC</v>
      </c>
      <c r="C11" s="217" t="str">
        <f>IFERROR(VLOOKUP(基本資料填寫!$E$1&amp;"-"&amp;ROW(書籍檔建置!AC1),基本資料填寫!$E:$EU,COLUMN(基本資料填寫!AG1),0),"")</f>
        <v>ARS</v>
      </c>
      <c r="D11" s="217" t="str">
        <f>IFERROR(VLOOKUP(基本資料填寫!$E$1&amp;"-"&amp;ROW(書籍檔建置!AD1),基本資料填寫!$E:$EU,COLUMN(基本資料填寫!AH1),0),"")</f>
        <v>O</v>
      </c>
      <c r="E11" s="217">
        <f>IFERROR(VLOOKUP(基本資料填寫!$E$1&amp;"-"&amp;ROW(書籍檔建置!AE1),基本資料填寫!$E:$EU,COLUMN(基本資料填寫!AI1),0),"")</f>
        <v>0</v>
      </c>
      <c r="F11" s="217" t="str">
        <f>IFERROR(VLOOKUP(基本資料填寫!$E$1&amp;"-"&amp;ROW(書籍檔建置!AF1),基本資料填寫!$E:$EU,COLUMN(基本資料填寫!AJ1),0),"")</f>
        <v>TELEPHONE SYSTEM</v>
      </c>
      <c r="G11" s="217" t="str">
        <f>IFERROR(VLOOKUP(基本資料填寫!$E$1&amp;"-"&amp;ROW(書籍檔建置!AG1),基本資料填寫!$E:$EU,COLUMN(基本資料填寫!AK1),0),"")</f>
        <v>35522</v>
      </c>
      <c r="H11" s="217" t="str">
        <f>IFERROR(VLOOKUP(基本資料填寫!$E$1&amp;"-"&amp;ROW(書籍檔建置!AH1),基本資料填寫!$E:$EU,COLUMN(基本資料填寫!AL1),0),"")</f>
        <v>A23800</v>
      </c>
    </row>
    <row r="12" spans="1:8" x14ac:dyDescent="0.3">
      <c r="B12" s="168"/>
      <c r="C12" s="168"/>
      <c r="D12" s="166"/>
      <c r="E12" s="166"/>
      <c r="F12" s="166"/>
      <c r="G12" s="168"/>
      <c r="H12" s="168"/>
    </row>
    <row r="13" spans="1:8" x14ac:dyDescent="0.3">
      <c r="A13" t="s">
        <v>1356</v>
      </c>
      <c r="B13" s="217" t="str">
        <f>IFERROR(VLOOKUP(基本資料填寫!$E$1&amp;"-"&amp;ROW(書籍檔建置!AI1),基本資料填寫!$E:$EU,COLUMN(基本資料填寫!AM1),0),"")</f>
        <v>聲力電話系統技術手冊</v>
      </c>
      <c r="C13" s="217" t="str">
        <f>IFERROR(VLOOKUP(基本資料填寫!$E$1&amp;"-"&amp;ROW(書籍檔建置!AJ1),基本資料填寫!$E:$EU,COLUMN(基本資料填寫!AN1),0),"")</f>
        <v>堃翊工程有限公司</v>
      </c>
      <c r="D13" s="217" t="str">
        <f>IFERROR(VLOOKUP(基本資料填寫!$E$1&amp;"-"&amp;ROW(書籍檔建置!AK1),基本資料填寫!$E:$EU,COLUMN(基本資料填寫!AO1),0),"")</f>
        <v>CLQL</v>
      </c>
      <c r="E13" s="217" t="str">
        <f>IFERROR(VLOOKUP(基本資料填寫!$E$1&amp;"-"&amp;ROW(書籍檔建置!AL1),基本資料填寫!$E:$EU,COLUMN(基本資料填寫!AP1),0),"")</f>
        <v>COLLOQUIAL NAME</v>
      </c>
      <c r="F13" s="217" t="str">
        <f>IFERROR(VLOOKUP(基本資料填寫!$E$1&amp;"-"&amp;ROW(書籍檔建置!AM1),基本資料填寫!$E:$EU,COLUMN(基本資料填寫!AQ1),0),"")</f>
        <v>口語名稱</v>
      </c>
      <c r="G13" s="217" t="str">
        <f>IFERROR(VLOOKUP(基本資料填寫!$E$1&amp;"-"&amp;ROW(書籍檔建置!AN1),基本資料填寫!$E:$EU,COLUMN(基本資料填寫!AR1),0),"")</f>
        <v>Acoustic Telephone System</v>
      </c>
      <c r="H13" s="217" t="str">
        <f>IFERROR(VLOOKUP(基本資料填寫!$E$1&amp;"-"&amp;ROW(書籍檔建置!AO1),基本資料填寫!$E:$EU,COLUMN(基本資料填寫!AS1),0),"")</f>
        <v>聲力電話系統</v>
      </c>
    </row>
    <row r="14" spans="1:8" x14ac:dyDescent="0.3">
      <c r="B14" s="168"/>
      <c r="C14" s="168"/>
      <c r="D14" s="166"/>
      <c r="E14" s="166"/>
      <c r="F14" s="166"/>
      <c r="G14" s="168"/>
      <c r="H14" s="168"/>
    </row>
    <row r="15" spans="1:8" ht="97.2" x14ac:dyDescent="0.3">
      <c r="B15" s="217" t="str">
        <f>IFERROR(VLOOKUP(基本資料填寫!$E$1&amp;"-"&amp;ROW(書籍檔建置!AP1),基本資料填寫!$E:$EU,COLUMN(基本資料填寫!AT1),0),"")</f>
        <v>AYDS</v>
      </c>
      <c r="C15" s="217" t="str">
        <f>IFERROR(VLOOKUP(基本資料填寫!$E$1&amp;"-"&amp;ROW(書籍檔建置!AQ1),基本資料填寫!$E:$EU,COLUMN(基本資料填寫!AU1),0),"")</f>
        <v>END ITEM NAME</v>
      </c>
      <c r="D15" s="217" t="str">
        <f>IFERROR(VLOOKUP(基本資料填寫!$E$1&amp;"-"&amp;ROW(書籍檔建置!AR1),基本資料填寫!$E:$EU,COLUMN(基本資料填寫!AV1),0),"")</f>
        <v>最終裝備名稱</v>
      </c>
      <c r="E15" s="217" t="str">
        <f>IFERROR(VLOOKUP(基本資料填寫!$E$1&amp;"-"&amp;ROW(書籍檔建置!AS1),基本資料填寫!$E:$EU,COLUMN(基本資料填寫!AW1),0),"")</f>
        <v>43212 Acoustic Telephone System</v>
      </c>
      <c r="F15" s="217" t="str">
        <f>IFERROR(VLOOKUP(基本資料填寫!$E$1&amp;"-"&amp;ROW(書籍檔建置!AT1),基本資料填寫!$E:$EU,COLUMN(基本資料填寫!AX1),0),"")</f>
        <v>43212 聲力電話系統</v>
      </c>
      <c r="G15" s="217" t="str">
        <f>IFERROR(VLOOKUP(基本資料填寫!$E$1&amp;"-"&amp;ROW(書籍檔建置!AU1),基本資料填寫!$E:$EU,COLUMN(基本資料填寫!AY1),0),"")</f>
        <v>AJKC</v>
      </c>
      <c r="H15" s="217" t="str">
        <f>IFERROR(VLOOKUP(基本資料填寫!$E$1&amp;"-"&amp;ROW(書籍檔建置!AV1),基本資料填寫!$E:$EU,COLUMN(基本資料填寫!AZ1),0),"")</f>
        <v>SUPPLY ITEMS AND QUANTITIES</v>
      </c>
    </row>
    <row r="16" spans="1:8" x14ac:dyDescent="0.3">
      <c r="B16" s="117"/>
      <c r="C16" s="168"/>
      <c r="D16" s="166"/>
      <c r="E16" s="166"/>
      <c r="F16" s="166"/>
      <c r="G16" s="168"/>
      <c r="H16" s="168"/>
    </row>
    <row r="17" spans="2:8" x14ac:dyDescent="0.3">
      <c r="B17" s="217" t="str">
        <f>IFERROR(VLOOKUP(基本資料填寫!$E$1&amp;"-"&amp;ROW(書籍檔建置!AW1),基本資料填寫!$E:$EU,COLUMN(基本資料填寫!BA1),0),"")</f>
        <v>供應項目和數量</v>
      </c>
      <c r="C17" s="217">
        <f>IFERROR(VLOOKUP(基本資料填寫!$E$1&amp;"-"&amp;ROW(書籍檔建置!AX1),基本資料填寫!$E:$EU,COLUMN(基本資料填寫!BB1),0),"")</f>
        <v>0</v>
      </c>
      <c r="D17" s="217" t="str">
        <f>IFERROR(VLOOKUP(基本資料填寫!$E$1&amp;"-"&amp;ROW(書籍檔建置!AY1),基本資料填寫!$E:$EU,COLUMN(基本資料填寫!BC1),0),"")</f>
        <v>至少10項：12/24站壁掛式聲力電話、12/24站埋入式聲力電話、埋入式電話插座、壁掛式電話插座、警示燈、電話放置箱、繼電器控制盒等。</v>
      </c>
      <c r="E17" s="217">
        <f>IFERROR(VLOOKUP(基本資料填寫!$E$1&amp;"-"&amp;ROW(書籍檔建置!AZ1),基本資料填寫!$E:$EU,COLUMN(基本資料填寫!BD1),0),"")</f>
        <v>0</v>
      </c>
      <c r="F17" s="217">
        <f>IFERROR(VLOOKUP(基本資料填寫!$E$1&amp;"-"&amp;ROW(書籍檔建置!BA1),基本資料填寫!$E:$EU,COLUMN(基本資料填寫!BE1),0),"")</f>
        <v>0</v>
      </c>
      <c r="G17" s="217">
        <f>IFERROR(VLOOKUP(基本資料填寫!$E$1&amp;"-"&amp;ROW(書籍檔建置!BB1),基本資料填寫!$E:$EU,COLUMN(基本資料填寫!BF1),0),"")</f>
        <v>0</v>
      </c>
      <c r="H17" s="217">
        <f>IFERROR(VLOOKUP(基本資料填寫!$E$1&amp;"-"&amp;ROW(書籍檔建置!BC1),基本資料填寫!$E:$EU,COLUMN(基本資料填寫!BG1),0),"")</f>
        <v>0</v>
      </c>
    </row>
    <row r="18" spans="2:8" x14ac:dyDescent="0.3">
      <c r="B18" s="168"/>
      <c r="C18" s="168"/>
      <c r="D18" s="166"/>
      <c r="E18" s="166"/>
      <c r="F18" s="166"/>
      <c r="G18" s="168"/>
      <c r="H18" s="168"/>
    </row>
    <row r="19" spans="2:8" ht="64.8" x14ac:dyDescent="0.3">
      <c r="B19" s="217">
        <f>IFERROR(VLOOKUP(基本資料填寫!$E$1&amp;"-"&amp;ROW(書籍檔建置!BD1),基本資料填寫!$E:$EU,COLUMN(基本資料填寫!BH1),0),"")</f>
        <v>0</v>
      </c>
      <c r="C19" s="217">
        <f>IFERROR(VLOOKUP(基本資料填寫!$E$1&amp;"-"&amp;ROW(書籍檔建置!BE1),基本資料填寫!$E:$EU,COLUMN(基本資料填寫!BI1),0),"")</f>
        <v>0</v>
      </c>
      <c r="D19" s="217">
        <f>IFERROR(VLOOKUP(基本資料填寫!$E$1&amp;"-"&amp;ROW(書籍檔建置!BF1),基本資料填寫!$E:$EU,COLUMN(基本資料填寫!BJ1),0),"")</f>
        <v>0</v>
      </c>
      <c r="E19" s="217">
        <f>IFERROR(VLOOKUP(基本資料填寫!$E$1&amp;"-"&amp;ROW(書籍檔建置!BG1),基本資料填寫!$E:$EU,COLUMN(基本資料填寫!BK1),0),"")</f>
        <v>0</v>
      </c>
      <c r="F19" s="217">
        <f>IFERROR(VLOOKUP(基本資料填寫!$E$1&amp;"-"&amp;ROW(書籍檔建置!BH1),基本資料填寫!$E:$EU,COLUMN(基本資料填寫!BL1),0),"")</f>
        <v>0</v>
      </c>
      <c r="G19" s="217">
        <f>IFERROR(VLOOKUP(基本資料填寫!$E$1&amp;"-"&amp;ROW(書籍檔建置!BI1),基本資料填寫!$E:$EU,COLUMN(基本資料填寫!BM1),0),"")</f>
        <v>0</v>
      </c>
      <c r="H19" s="217" t="str">
        <f>IFERROR(VLOOKUP(基本資料填寫!$E$1&amp;"-"&amp;ROW(書籍檔建置!BJ1),基本資料填寫!$E:$EU,COLUMN(基本資料填寫!BN1),0),"")</f>
        <v>C:\\SynologyDrive\\01 JSSC專案\\12 料號申編\\06 次要裝備\\50 聲力電話\\圖片\\01_聲力電話系統.jpg</v>
      </c>
    </row>
    <row r="20" spans="2:8" x14ac:dyDescent="0.3">
      <c r="B20" s="168"/>
      <c r="C20" s="168"/>
      <c r="D20" s="166"/>
      <c r="E20" s="166"/>
      <c r="F20" s="166"/>
      <c r="G20" s="168"/>
      <c r="H20" s="168"/>
    </row>
    <row r="21" spans="2:8" x14ac:dyDescent="0.3">
      <c r="B21" s="217" t="str">
        <f>IFERROR(VLOOKUP(基本資料填寫!$E$1&amp;"-"&amp;ROW(書籍檔建置!BK1),基本資料填寫!$E:$EU,COLUMN(基本資料填寫!BO1),0),"")</f>
        <v>C</v>
      </c>
      <c r="C21" s="217">
        <f>IFERROR(VLOOKUP(基本資料填寫!$E$1&amp;"-"&amp;ROW(書籍檔建置!BL1),基本資料填寫!$E:$EU,COLUMN(基本資料填寫!BP1),0),"")</f>
        <v>4</v>
      </c>
      <c r="D21" s="217">
        <f>IFERROR(VLOOKUP(基本資料填寫!$E$1&amp;"-"&amp;ROW(書籍檔建置!BM1),基本資料填寫!$E:$EU,COLUMN(基本資料填寫!BQ1),0),"")</f>
        <v>0</v>
      </c>
      <c r="E21" s="217">
        <f>IFERROR(VLOOKUP(基本資料填寫!$E$1&amp;"-"&amp;ROW(書籍檔建置!BN1),基本資料填寫!$E:$EU,COLUMN(基本資料填寫!BR1),0),"")</f>
        <v>0</v>
      </c>
      <c r="F21" s="217" t="str">
        <f>IFERROR(VLOOKUP(基本資料填寫!$E$1&amp;"-"&amp;ROW(書籍檔建置!BO1),基本資料填寫!$E:$EU,COLUMN(基本資料填寫!BS1),0),"")</f>
        <v>C35</v>
      </c>
      <c r="G21" s="217" t="str">
        <f>IFERROR(VLOOKUP(基本資料填寫!$E$1&amp;"-"&amp;ROW(書籍檔建置!BP1),基本資料填寫!$E:$EU,COLUMN(基本資料填寫!BT1),0),"")</f>
        <v>B21317</v>
      </c>
      <c r="H21" s="217" t="str">
        <f>IFERROR(VLOOKUP(基本資料填寫!$E$1&amp;"-"&amp;ROW(書籍檔建置!BQ1),基本資料填寫!$E:$EU,COLUMN(基本資料填寫!BU1),0),"")</f>
        <v>1</v>
      </c>
    </row>
    <row r="22" spans="2:8" x14ac:dyDescent="0.3">
      <c r="B22" s="168"/>
      <c r="C22" s="168"/>
      <c r="D22" s="166"/>
      <c r="E22" s="166"/>
      <c r="F22" s="166"/>
      <c r="G22" s="168"/>
      <c r="H22" s="168"/>
    </row>
    <row r="23" spans="2:8" x14ac:dyDescent="0.3">
      <c r="B23" s="217" t="str">
        <f>IFERROR(VLOOKUP(基本資料填寫!$E$1&amp;"-"&amp;ROW(書籍檔建置!BR1),基本資料填寫!$E:$EU,COLUMN(基本資料填寫!BV1),0),"")</f>
        <v>0</v>
      </c>
      <c r="C23" s="217" t="str">
        <f>IFERROR(VLOOKUP(基本資料填寫!$E$1&amp;"-"&amp;ROW(書籍檔建置!BS1),基本資料填寫!$E:$EU,COLUMN(基本資料填寫!BW1),0),"")</f>
        <v>E</v>
      </c>
      <c r="D23" s="217" t="str">
        <f>IFERROR(VLOOKUP(基本資料填寫!$E$1&amp;"-"&amp;ROW(書籍檔建置!BT1),基本資料填寫!$E:$EU,COLUMN(基本資料填寫!BX1),0),"")</f>
        <v>U</v>
      </c>
      <c r="E23" s="217" t="str">
        <f>IFERROR(VLOOKUP(基本資料填寫!$E$1&amp;"-"&amp;ROW(書籍檔建置!BU1),基本資料填寫!$E:$EU,COLUMN(基本資料填寫!BY1),0),"")</f>
        <v>M</v>
      </c>
      <c r="F23" s="217" t="str">
        <f>IFERROR(VLOOKUP(基本資料填寫!$E$1&amp;"-"&amp;ROW(書籍檔建置!BV1),基本資料填寫!$E:$EU,COLUMN(基本資料填寫!BZ1),0),"")</f>
        <v>E</v>
      </c>
      <c r="G23" s="217" t="str">
        <f>IFERROR(VLOOKUP(基本資料填寫!$E$1&amp;"-"&amp;ROW(書籍檔建置!BW1),基本資料填寫!$E:$EU,COLUMN(基本資料填寫!CA1),0),"")</f>
        <v>C</v>
      </c>
      <c r="H23" s="217" t="str">
        <f>IFERROR(VLOOKUP(基本資料填寫!$E$1&amp;"-"&amp;ROW(書籍檔建置!BX1),基本資料填寫!$E:$EU,COLUMN(基本資料填寫!CB1),0),"")</f>
        <v>A</v>
      </c>
    </row>
    <row r="24" spans="2:8" x14ac:dyDescent="0.3">
      <c r="B24" s="168"/>
      <c r="C24" s="168"/>
      <c r="D24" s="166"/>
      <c r="E24" s="166"/>
      <c r="F24" s="166"/>
      <c r="G24" s="168"/>
      <c r="H24" s="168"/>
    </row>
    <row r="25" spans="2:8" x14ac:dyDescent="0.3">
      <c r="B25" s="217" t="str">
        <f>IFERROR(VLOOKUP(基本資料填寫!$E$1&amp;"-"&amp;ROW(書籍檔建置!BY1),基本資料填寫!$E:$EU,COLUMN(基本資料填寫!CC1),0),"")</f>
        <v>00</v>
      </c>
      <c r="C25" s="217" t="str">
        <f>IFERROR(VLOOKUP(基本資料填寫!$E$1&amp;"-"&amp;ROW(書籍檔建置!BZ1),基本資料填寫!$E:$EU,COLUMN(基本資料填寫!CD1),0),"")</f>
        <v>E</v>
      </c>
      <c r="D25" s="217" t="str">
        <f>IFERROR(VLOOKUP(基本資料填寫!$E$1&amp;"-"&amp;ROW(書籍檔建置!CA1),基本資料填寫!$E:$EU,COLUMN(基本資料填寫!CE1),0),"")</f>
        <v>0</v>
      </c>
      <c r="E25" s="217" t="str">
        <f>IFERROR(VLOOKUP(基本資料填寫!$E$1&amp;"-"&amp;ROW(書籍檔建置!CB1),基本資料填寫!$E:$EU,COLUMN(基本資料填寫!CF1),0),"")</f>
        <v>A</v>
      </c>
      <c r="F25" s="217" t="str">
        <f>IFERROR(VLOOKUP(基本資料填寫!$E$1&amp;"-"&amp;ROW(書籍檔建置!CC1),基本資料填寫!$E:$EU,COLUMN(基本資料填寫!CG1),0),"")</f>
        <v>1973B</v>
      </c>
      <c r="G25" s="217" t="str">
        <f>IFERROR(VLOOKUP(基本資料填寫!$E$1&amp;"-"&amp;ROW(書籍檔建置!CD1),基本資料填寫!$E:$EU,COLUMN(基本資料填寫!CH1),0),"")</f>
        <v>A1973B</v>
      </c>
      <c r="H25" s="217" t="str">
        <f>IFERROR(VLOOKUP(基本資料填寫!$E$1&amp;"-"&amp;ROW(書籍檔建置!CE1),基本資料填寫!$E:$EU,COLUMN(基本資料填寫!CI1),0),"")</f>
        <v>SCM SISTEMAS,S.L.</v>
      </c>
    </row>
    <row r="26" spans="2:8" x14ac:dyDescent="0.3">
      <c r="B26" s="168"/>
      <c r="C26" s="168"/>
      <c r="D26" s="166"/>
      <c r="E26" s="166"/>
      <c r="F26" s="166"/>
      <c r="G26" s="168"/>
      <c r="H26" s="168"/>
    </row>
    <row r="27" spans="2:8" x14ac:dyDescent="0.3">
      <c r="B27" s="217" t="str">
        <f>IFERROR(VLOOKUP(基本資料填寫!$E$1&amp;"-"&amp;ROW(書籍檔建置!CF1),基本資料填寫!$E:$EU,COLUMN(基本資料填寫!CJ1),0),"")</f>
        <v>2</v>
      </c>
      <c r="C27" s="217">
        <f>IFERROR(VLOOKUP(基本資料填寫!$E$1&amp;"-"&amp;ROW(書籍檔建置!CG1),基本資料填寫!$E:$EU,COLUMN(基本資料填寫!CK1),0),"")</f>
        <v>3</v>
      </c>
      <c r="D27" s="217" t="str">
        <f>IFERROR(VLOOKUP(基本資料填寫!$E$1&amp;"-"&amp;ROW(書籍檔建置!CH1),基本資料填寫!$E:$EU,COLUMN(基本資料填寫!CL1),0),"")</f>
        <v>27NYE0823</v>
      </c>
      <c r="E27" s="217" t="str">
        <f>IFERROR(VLOOKUP(基本資料填寫!$E$1&amp;"-"&amp;ROW(書籍檔建置!CI1),基本資料填寫!$E:$EU,COLUMN(基本資料填寫!CM1),0),"")</f>
        <v>FFG</v>
      </c>
      <c r="F27" s="217" t="str">
        <f>IFERROR(VLOOKUP(基本資料填寫!$E$1&amp;"-"&amp;ROW(書籍檔建置!CJ1),基本資料填寫!$E:$EU,COLUMN(基本資料填寫!CN1),0),"")</f>
        <v>TA-4CI</v>
      </c>
      <c r="G27" s="217" t="str">
        <f>IFERROR(VLOOKUP(基本資料填寫!$E$1&amp;"-"&amp;ROW(書籍檔建置!CK1),基本資料填寫!$E:$EU,COLUMN(基本資料填寫!CO1),0),"")</f>
        <v>聲力電話系統</v>
      </c>
      <c r="H27" s="217" t="str">
        <f>IFERROR(VLOOKUP(基本資料填寫!$E$1&amp;"-"&amp;ROW(書籍檔建置!CL1),基本資料填寫!$E:$EU,COLUMN(基本資料填寫!CP1),0),"")</f>
        <v>前/後機艙</v>
      </c>
    </row>
    <row r="28" spans="2:8" x14ac:dyDescent="0.3">
      <c r="B28" s="168"/>
      <c r="C28" s="168"/>
      <c r="D28" s="166"/>
      <c r="E28" s="166"/>
      <c r="F28" s="166"/>
      <c r="G28" s="168"/>
      <c r="H28" s="168"/>
    </row>
    <row r="29" spans="2:8" x14ac:dyDescent="0.3">
      <c r="B29" s="217">
        <f>IFERROR(VLOOKUP(基本資料填寫!$E$1&amp;"-"&amp;ROW(書籍檔建置!CM1),基本資料填寫!$E:$EU,COLUMN(基本資料填寫!CQ1),0),"")</f>
        <v>0</v>
      </c>
      <c r="C29" s="217">
        <f>IFERROR(VLOOKUP(基本資料填寫!$E$1&amp;"-"&amp;ROW(書籍檔建置!CN1),基本資料填寫!$E:$EU,COLUMN(基本資料填寫!CR1),0),"")</f>
        <v>0</v>
      </c>
      <c r="D29" s="217">
        <f>IFERROR(VLOOKUP(基本資料填寫!$E$1&amp;"-"&amp;ROW(書籍檔建置!CO1),基本資料填寫!$E:$EU,COLUMN(基本資料填寫!CS1),0),"")</f>
        <v>0</v>
      </c>
      <c r="E29" s="217">
        <f>IFERROR(VLOOKUP(基本資料填寫!$E$1&amp;"-"&amp;ROW(書籍檔建置!CP1),基本資料填寫!$E:$EU,COLUMN(基本資料填寫!CT1),0),"")</f>
        <v>0</v>
      </c>
      <c r="F29" s="217" t="str">
        <f>IFERROR(VLOOKUP(基本資料填寫!$E$1&amp;"-"&amp;ROW(書籍檔建置!CQ1),基本資料填寫!$E:$EU,COLUMN(基本資料填寫!CU1),0),"")</f>
        <v>聲力電話系統技術手冊</v>
      </c>
      <c r="G29" s="217" t="str">
        <f>IFERROR(VLOOKUP(基本資料填寫!$E$1&amp;"-"&amp;ROW(書籍檔建置!CR1),基本資料填寫!$E:$EU,COLUMN(基本資料填寫!CV1),0),"")</f>
        <v>43212------</v>
      </c>
      <c r="H29" s="217" t="str">
        <f>IFERROR(VLOOKUP(基本資料填寫!$E$1&amp;"-"&amp;ROW(書籍檔建置!CS1),基本資料填寫!$E:$EU,COLUMN(基本資料填寫!CW1),0),"")</f>
        <v>B21317</v>
      </c>
    </row>
    <row r="30" spans="2:8" x14ac:dyDescent="0.3">
      <c r="B30" s="168"/>
      <c r="C30" s="168"/>
      <c r="D30" s="166"/>
      <c r="E30" s="166"/>
      <c r="F30" s="166"/>
      <c r="G30" s="168"/>
      <c r="H30" s="168"/>
    </row>
    <row r="31" spans="2:8" x14ac:dyDescent="0.3">
      <c r="B31" s="217">
        <f>IFERROR(VLOOKUP(基本資料填寫!$E$1&amp;"-"&amp;ROW(書籍檔建置!CT1),基本資料填寫!$E:$EU,COLUMN(基本資料填寫!CX1),0),"")</f>
        <v>43212</v>
      </c>
      <c r="C31" s="217">
        <f>IFERROR(VLOOKUP(基本資料填寫!$E$1&amp;"-"&amp;ROW(書籍檔建置!CU1),基本資料填寫!$E:$EU,COLUMN(基本資料填寫!CY1),0),"")</f>
        <v>0</v>
      </c>
      <c r="D31" s="217">
        <f>IFERROR(VLOOKUP(基本資料填寫!$E$1&amp;"-"&amp;ROW(書籍檔建置!CV1),基本資料填寫!$E:$EU,COLUMN(基本資料填寫!CZ1),0),"")</f>
        <v>0</v>
      </c>
      <c r="E31" s="217">
        <f>IFERROR(VLOOKUP(基本資料填寫!$E$1&amp;"-"&amp;ROW(書籍檔建置!CW1),基本資料填寫!$E:$EU,COLUMN(基本資料填寫!DB1),0),"")</f>
        <v>0</v>
      </c>
      <c r="F31" s="217">
        <f>IFERROR(VLOOKUP(基本資料填寫!$E$1&amp;"-"&amp;ROW(書籍檔建置!CX1),基本資料填寫!$E:$EU,COLUMN(基本資料填寫!DC1),0),"")</f>
        <v>0</v>
      </c>
      <c r="G31" s="217">
        <f>IFERROR(VLOOKUP(基本資料填寫!$E$1&amp;"-"&amp;ROW(書籍檔建置!CY1),基本資料填寫!$E:$EU,COLUMN(基本資料填寫!DD1),0),"")</f>
        <v>0</v>
      </c>
      <c r="H31" s="217">
        <f>IFERROR(VLOOKUP(基本資料填寫!$E$1&amp;"-"&amp;ROW(書籍檔建置!CZ1),基本資料填寫!$E:$EU,COLUMN(基本資料填寫!DE1),0),"")</f>
        <v>0</v>
      </c>
    </row>
    <row r="32" spans="2:8" x14ac:dyDescent="0.3">
      <c r="B32" s="168"/>
      <c r="C32" s="168"/>
      <c r="D32" s="166"/>
      <c r="E32" s="166"/>
      <c r="F32" s="166"/>
      <c r="G32" s="168"/>
      <c r="H32" s="168"/>
    </row>
    <row r="33" spans="2:8" x14ac:dyDescent="0.3">
      <c r="B33" s="217">
        <f>IFERROR(VLOOKUP(基本資料填寫!$E$1&amp;"-"&amp;ROW(書籍檔建置!DA1),基本資料填寫!$E:$EU,COLUMN(基本資料填寫!DF1),0),"")</f>
        <v>0</v>
      </c>
      <c r="C33" s="217">
        <f>IFERROR(VLOOKUP(基本資料填寫!$E$1&amp;"-"&amp;ROW(書籍檔建置!DB1),基本資料填寫!$E:$EU,COLUMN(基本資料填寫!DG1),0),"")</f>
        <v>0</v>
      </c>
      <c r="D33" s="217" t="str">
        <f>IFERROR(VLOOKUP(基本資料填寫!$E$1&amp;"-"&amp;ROW(書籍檔建置!DC1),基本資料填寫!$E:$EU,COLUMN(基本資料填寫!DH1),0),"")</f>
        <v>0</v>
      </c>
      <c r="E33" s="217" t="str">
        <f>IFERROR(VLOOKUP(基本資料填寫!$E$1&amp;"-"&amp;ROW(書籍檔建置!DD1),基本資料填寫!$E:$EU,COLUMN(基本資料填寫!DI1),0),"")</f>
        <v>EK432121</v>
      </c>
      <c r="F33" s="217" t="str">
        <f>IFERROR(VLOOKUP(基本資料填寫!$E$1&amp;"-"&amp;ROW(書籍檔建置!DE1),基本資料填寫!$E:$EU,COLUMN(基本資料填寫!DJ1),0),"")</f>
        <v>EN432121</v>
      </c>
      <c r="G33" s="217">
        <f>IFERROR(VLOOKUP(基本資料填寫!$E$1&amp;"-"&amp;ROW(書籍檔建置!DF1),基本資料填寫!$E:$EU,COLUMN(基本資料填寫!DK1),0),"")</f>
        <v>0</v>
      </c>
      <c r="H33" s="217" t="str">
        <f>IFERROR(VLOOKUP(基本資料填寫!$E$1&amp;"-"&amp;ROW(書籍檔建置!DG1),基本資料填寫!$E:$EU,COLUMN(基本資料填寫!DL1),0),"")</f>
        <v>1</v>
      </c>
    </row>
    <row r="34" spans="2:8" x14ac:dyDescent="0.3">
      <c r="B34" s="168"/>
      <c r="C34" s="168"/>
      <c r="D34" s="166"/>
      <c r="E34" s="166"/>
      <c r="F34" s="166"/>
      <c r="G34" s="168"/>
      <c r="H34" s="168"/>
    </row>
    <row r="35" spans="2:8" ht="32.4" x14ac:dyDescent="0.3">
      <c r="B35" s="217" t="str">
        <f>IFERROR(VLOOKUP(基本資料填寫!$E$1&amp;"-"&amp;ROW(書籍檔建置!DH1),基本資料填寫!$E:$EU,COLUMN(基本資料填寫!DM1),0),"")</f>
        <v>1</v>
      </c>
      <c r="C35" s="217" t="str">
        <f>IFERROR(VLOOKUP(基本資料填寫!$E$1&amp;"-"&amp;ROW(書籍檔建置!DI1),基本資料填寫!$E:$EU,COLUMN(基本資料填寫!DN1),0),"")</f>
        <v>2</v>
      </c>
      <c r="D35" s="217" t="str">
        <f>IFERROR(VLOOKUP(基本資料填寫!$E$1&amp;"-"&amp;ROW(書籍檔建置!DJ1),基本資料填寫!$E:$EU,COLUMN(基本資料填寫!DO1),0),"")</f>
        <v>1</v>
      </c>
      <c r="E35" s="217">
        <f>IFERROR(VLOOKUP(基本資料填寫!$E$1&amp;"-"&amp;ROW(書籍檔建置!DK1),基本資料填寫!$E:$EU,COLUMN(基本資料填寫!DP1),0),"")</f>
        <v>0</v>
      </c>
      <c r="F35" s="217" t="str">
        <f>IFERROR(VLOOKUP(基本資料填寫!$E$1&amp;"-"&amp;ROW(書籍檔建置!DL1),基本資料填寫!$E:$EU,COLUMN(基本資料填寫!DQ1),0),"")</f>
        <v>聲力電話系統Acoustic Telephone System</v>
      </c>
      <c r="G35" s="217">
        <f>IFERROR(VLOOKUP(基本資料填寫!$E$1&amp;"-"&amp;ROW(書籍檔建置!DM1),基本資料填寫!$E:$EU,COLUMN(基本資料填寫!DR1),0),"")</f>
        <v>0</v>
      </c>
      <c r="H35" s="217">
        <f>IFERROR(VLOOKUP(基本資料填寫!$E$1&amp;"-"&amp;ROW(書籍檔建置!DN1),基本資料填寫!$E:$EU,COLUMN(基本資料填寫!DS1),0),"")</f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4545-AD5C-4C38-9F46-50B6562DC221}">
  <dimension ref="A1:T62"/>
  <sheetViews>
    <sheetView view="pageBreakPreview" zoomScale="70" zoomScaleNormal="100" zoomScaleSheetLayoutView="70" workbookViewId="0">
      <selection activeCell="E14" sqref="E14:F14"/>
    </sheetView>
  </sheetViews>
  <sheetFormatPr defaultColWidth="8.88671875" defaultRowHeight="15.6" x14ac:dyDescent="0.3"/>
  <cols>
    <col min="1" max="1" width="18.6640625" style="254" customWidth="1"/>
    <col min="2" max="2" width="11" style="136" customWidth="1"/>
    <col min="3" max="3" width="45.88671875" style="136" customWidth="1"/>
    <col min="4" max="4" width="2.109375" style="136" customWidth="1"/>
    <col min="5" max="5" width="11" style="136" customWidth="1"/>
    <col min="6" max="6" width="9.77734375" style="136" customWidth="1"/>
    <col min="7" max="11" width="3.109375" style="136" customWidth="1"/>
    <col min="12" max="12" width="5.77734375" style="136" customWidth="1"/>
    <col min="13" max="13" width="3.5546875" style="136" customWidth="1"/>
    <col min="14" max="17" width="3.77734375" style="136" customWidth="1"/>
    <col min="18" max="18" width="6.77734375" style="136" customWidth="1"/>
    <col min="19" max="19" width="11.44140625" style="136" customWidth="1"/>
    <col min="20" max="20" width="11.109375" style="136" customWidth="1"/>
    <col min="21" max="16384" width="8.88671875" style="136"/>
  </cols>
  <sheetData>
    <row r="1" spans="1:20" ht="19.8" x14ac:dyDescent="0.3">
      <c r="A1" s="350" t="s">
        <v>177</v>
      </c>
      <c r="B1" s="351"/>
      <c r="C1" s="351"/>
      <c r="D1" s="351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3"/>
    </row>
    <row r="2" spans="1:20" ht="18" customHeight="1" x14ac:dyDescent="0.3">
      <c r="A2" s="354" t="s">
        <v>133</v>
      </c>
      <c r="B2" s="355"/>
      <c r="C2" s="356"/>
      <c r="D2" s="357" t="s">
        <v>134</v>
      </c>
      <c r="E2" s="358"/>
      <c r="F2" s="255" t="s">
        <v>135</v>
      </c>
      <c r="G2" s="327" t="s">
        <v>136</v>
      </c>
      <c r="H2" s="328"/>
      <c r="I2" s="328"/>
      <c r="J2" s="328"/>
      <c r="K2" s="328"/>
      <c r="L2" s="328"/>
      <c r="M2" s="328"/>
      <c r="N2" s="327" t="s">
        <v>137</v>
      </c>
      <c r="O2" s="328"/>
      <c r="P2" s="328"/>
      <c r="Q2" s="328"/>
      <c r="R2" s="329"/>
      <c r="S2" s="255" t="s">
        <v>138</v>
      </c>
      <c r="T2" s="255" t="s">
        <v>139</v>
      </c>
    </row>
    <row r="3" spans="1:20" ht="18" customHeight="1" x14ac:dyDescent="0.3">
      <c r="A3" s="363" t="str">
        <f>基本資料填寫!$DU$2</f>
        <v>聲力電話系統Acoustic Telephone System</v>
      </c>
      <c r="B3" s="364"/>
      <c r="C3" s="365"/>
      <c r="D3" s="359"/>
      <c r="E3" s="360"/>
      <c r="F3" s="366" t="s">
        <v>140</v>
      </c>
      <c r="G3" s="368"/>
      <c r="H3" s="369"/>
      <c r="I3" s="369"/>
      <c r="J3" s="369"/>
      <c r="K3" s="369"/>
      <c r="L3" s="369"/>
      <c r="M3" s="369"/>
      <c r="N3" s="372" t="str">
        <f>基本資料填寫!$CP$2</f>
        <v>27NYE0823</v>
      </c>
      <c r="O3" s="373"/>
      <c r="P3" s="373"/>
      <c r="Q3" s="373"/>
      <c r="R3" s="374"/>
      <c r="S3" s="378" t="s">
        <v>141</v>
      </c>
      <c r="T3" s="380"/>
    </row>
    <row r="4" spans="1:20" ht="9" customHeight="1" x14ac:dyDescent="0.3">
      <c r="A4" s="382"/>
      <c r="B4" s="383"/>
      <c r="C4" s="384"/>
      <c r="D4" s="361"/>
      <c r="E4" s="362"/>
      <c r="F4" s="367"/>
      <c r="G4" s="370"/>
      <c r="H4" s="371"/>
      <c r="I4" s="371"/>
      <c r="J4" s="371"/>
      <c r="K4" s="371"/>
      <c r="L4" s="371"/>
      <c r="M4" s="371"/>
      <c r="N4" s="375"/>
      <c r="O4" s="376"/>
      <c r="P4" s="376"/>
      <c r="Q4" s="376"/>
      <c r="R4" s="377"/>
      <c r="S4" s="379"/>
      <c r="T4" s="381"/>
    </row>
    <row r="5" spans="1:20" ht="30.75" customHeight="1" x14ac:dyDescent="0.3">
      <c r="A5" s="344" t="s">
        <v>136</v>
      </c>
      <c r="B5" s="345"/>
      <c r="C5" s="345"/>
      <c r="D5" s="345"/>
      <c r="E5" s="345"/>
      <c r="F5" s="345"/>
      <c r="G5" s="337" t="s">
        <v>142</v>
      </c>
      <c r="H5" s="337" t="s">
        <v>143</v>
      </c>
      <c r="I5" s="337" t="s">
        <v>144</v>
      </c>
      <c r="J5" s="337" t="s">
        <v>145</v>
      </c>
      <c r="K5" s="337" t="s">
        <v>146</v>
      </c>
      <c r="L5" s="337" t="s">
        <v>147</v>
      </c>
      <c r="M5" s="337" t="s">
        <v>148</v>
      </c>
      <c r="N5" s="329" t="s">
        <v>149</v>
      </c>
      <c r="O5" s="326"/>
      <c r="P5" s="326"/>
      <c r="Q5" s="326"/>
      <c r="R5" s="326"/>
      <c r="S5" s="326"/>
      <c r="T5" s="326"/>
    </row>
    <row r="6" spans="1:20" ht="41.25" customHeight="1" x14ac:dyDescent="0.3">
      <c r="A6" s="346"/>
      <c r="B6" s="347"/>
      <c r="C6" s="347"/>
      <c r="D6" s="347"/>
      <c r="E6" s="347"/>
      <c r="F6" s="347"/>
      <c r="G6" s="338"/>
      <c r="H6" s="338"/>
      <c r="I6" s="338"/>
      <c r="J6" s="338"/>
      <c r="K6" s="338"/>
      <c r="L6" s="338"/>
      <c r="M6" s="338"/>
      <c r="N6" s="340" t="s">
        <v>150</v>
      </c>
      <c r="O6" s="341"/>
      <c r="P6" s="341"/>
      <c r="Q6" s="341"/>
      <c r="R6" s="341"/>
      <c r="S6" s="326"/>
      <c r="T6" s="326"/>
    </row>
    <row r="7" spans="1:20" ht="16.5" customHeight="1" x14ac:dyDescent="0.3">
      <c r="A7" s="346"/>
      <c r="B7" s="347"/>
      <c r="C7" s="347"/>
      <c r="D7" s="347"/>
      <c r="E7" s="347"/>
      <c r="F7" s="347"/>
      <c r="G7" s="338"/>
      <c r="H7" s="338"/>
      <c r="I7" s="338"/>
      <c r="J7" s="338"/>
      <c r="K7" s="338"/>
      <c r="L7" s="338"/>
      <c r="M7" s="338"/>
      <c r="N7" s="342">
        <v>1</v>
      </c>
      <c r="O7" s="342">
        <v>2</v>
      </c>
      <c r="P7" s="342">
        <v>3</v>
      </c>
      <c r="Q7" s="342">
        <v>4</v>
      </c>
      <c r="R7" s="342" t="s">
        <v>151</v>
      </c>
      <c r="S7" s="342" t="s">
        <v>152</v>
      </c>
      <c r="T7" s="342" t="s">
        <v>153</v>
      </c>
    </row>
    <row r="8" spans="1:20" x14ac:dyDescent="0.3">
      <c r="A8" s="253" t="s">
        <v>154</v>
      </c>
      <c r="B8" s="256" t="s">
        <v>155</v>
      </c>
      <c r="C8" s="348" t="s">
        <v>156</v>
      </c>
      <c r="D8" s="348"/>
      <c r="E8" s="348" t="s">
        <v>104</v>
      </c>
      <c r="F8" s="349"/>
      <c r="G8" s="339"/>
      <c r="H8" s="339"/>
      <c r="I8" s="339"/>
      <c r="J8" s="339"/>
      <c r="K8" s="339"/>
      <c r="L8" s="339"/>
      <c r="M8" s="339"/>
      <c r="N8" s="343"/>
      <c r="O8" s="343"/>
      <c r="P8" s="343"/>
      <c r="Q8" s="343"/>
      <c r="R8" s="343"/>
      <c r="S8" s="343"/>
      <c r="T8" s="343"/>
    </row>
    <row r="9" spans="1:20" ht="16.2" x14ac:dyDescent="0.3">
      <c r="A9" s="277" t="str">
        <f>IFERROR(VLOOKUP(基本資料填寫!$E$1&amp;"-"&amp;ROW(書籍檔建置!G1),基本資料填寫!$E:$EU,COLUMN(基本資料填寫!K1),0),"")</f>
        <v>TA-4CI</v>
      </c>
      <c r="B9" s="278" t="str">
        <f>IFERROR(VLOOKUP(基本資料填寫!$E$1&amp;"-"&amp;ROW(書籍檔建置!CD1),基本資料填寫!$E:$EU,COLUMN(基本資料填寫!CH1),0),"")</f>
        <v>A1973B</v>
      </c>
      <c r="C9" s="334" t="str">
        <f>IFERROR(VLOOKUP(基本資料填寫!$E$1&amp;"-"&amp;ROW(書籍檔建置!I1),基本資料填寫!$E:$EU,COLUMN(基本資料填寫!M1),0),"")</f>
        <v>聲力電話系統</v>
      </c>
      <c r="D9" s="334"/>
      <c r="E9" s="335" t="str">
        <f>IFERROR(VLOOKUP(基本資料填寫!$E$1&amp;"-"&amp;ROW(書籍檔建置!O1),基本資料填寫!$E:$EU,COLUMN(基本資料填寫!S1),0),"")</f>
        <v>5805YETL22090</v>
      </c>
      <c r="F9" s="335"/>
      <c r="G9" s="257" t="s">
        <v>157</v>
      </c>
      <c r="H9" s="257" t="s">
        <v>158</v>
      </c>
      <c r="I9" s="257" t="s">
        <v>123</v>
      </c>
      <c r="J9" s="257" t="s">
        <v>159</v>
      </c>
      <c r="K9" s="270"/>
      <c r="L9" s="271" t="str">
        <f>IFERROR(VLOOKUP(基本資料填寫!$E$1&amp;"-"&amp;ROW(書籍檔建置!P1),基本資料填寫!$E:$EU,COLUMN(基本資料填寫!T1),0),"")</f>
        <v>1</v>
      </c>
      <c r="M9" s="271" t="str">
        <f>IFERROR(VLOOKUP(基本資料填寫!$E$1&amp;"-"&amp;ROW(書籍檔建置!R1),基本資料填寫!$E:$EU,COLUMN(基本資料填寫!V1),0),"")</f>
        <v>EA</v>
      </c>
      <c r="N9" s="272" t="s">
        <v>160</v>
      </c>
      <c r="O9" s="260"/>
      <c r="P9" s="261"/>
      <c r="Q9" s="261"/>
      <c r="R9" s="261"/>
      <c r="S9" s="262"/>
      <c r="T9" s="137"/>
    </row>
    <row r="10" spans="1:20" ht="16.2" x14ac:dyDescent="0.3">
      <c r="A10" s="277" t="str">
        <f>IFERROR(VLOOKUP(基本資料填寫!$E$1&amp;"-"&amp;ROW(書籍檔建置!G2),基本資料填寫!$E:$EU,COLUMN(基本資料填寫!K2),0),"")</f>
        <v>455.029.4.21H</v>
      </c>
      <c r="B10" s="278" t="str">
        <f>IFERROR(VLOOKUP(基本資料填寫!$E$1&amp;"-"&amp;ROW(書籍檔建置!CD2),基本資料填寫!$E:$EU,COLUMN(基本資料填寫!CH2),0),"")</f>
        <v>A1973B</v>
      </c>
      <c r="C10" s="334" t="str">
        <f>IFERROR(VLOOKUP(基本資料填寫!$E$1&amp;"-"&amp;ROW(書籍檔建置!I2),基本資料填寫!$E:$EU,COLUMN(基本資料填寫!M2),0),"")</f>
        <v>12站壁掛式聲力電話(附H27A 插座)</v>
      </c>
      <c r="D10" s="334"/>
      <c r="E10" s="335" t="str">
        <f>IFERROR(VLOOKUP(基本資料填寫!$E$1&amp;"-"&amp;ROW(書籍檔建置!O2),基本資料填寫!$E:$EU,COLUMN(基本資料填寫!S2),0),"")</f>
        <v>5805YETL22088</v>
      </c>
      <c r="F10" s="335"/>
      <c r="G10" s="257" t="s">
        <v>157</v>
      </c>
      <c r="H10" s="257" t="s">
        <v>158</v>
      </c>
      <c r="I10" s="257" t="s">
        <v>123</v>
      </c>
      <c r="J10" s="257" t="s">
        <v>159</v>
      </c>
      <c r="K10" s="258"/>
      <c r="L10" s="268" t="str">
        <f>IFERROR(VLOOKUP(基本資料填寫!$E$1&amp;"-"&amp;ROW(書籍檔建置!P2),基本資料填寫!$E:$EU,COLUMN(基本資料填寫!T2),0),"")</f>
        <v>1</v>
      </c>
      <c r="M10" s="268" t="str">
        <f>IFERROR(VLOOKUP(基本資料填寫!$E$1&amp;"-"&amp;ROW(書籍檔建置!R2),基本資料填寫!$E:$EU,COLUMN(基本資料填寫!V2),0),"")</f>
        <v>EA</v>
      </c>
      <c r="N10" s="259" t="s">
        <v>160</v>
      </c>
      <c r="O10" s="259"/>
      <c r="P10" s="262"/>
      <c r="Q10" s="262"/>
      <c r="R10" s="262"/>
      <c r="S10" s="262"/>
      <c r="T10" s="137"/>
    </row>
    <row r="11" spans="1:20" ht="16.2" x14ac:dyDescent="0.3">
      <c r="A11" s="277" t="str">
        <f>IFERROR(VLOOKUP(基本資料填寫!$E$1&amp;"-"&amp;ROW(書籍檔建置!G3),基本資料填寫!$E:$EU,COLUMN(基本資料填寫!K3),0),"")</f>
        <v>455.031.4.16H</v>
      </c>
      <c r="B11" s="278" t="str">
        <f>IFERROR(VLOOKUP(基本資料填寫!$E$1&amp;"-"&amp;ROW(書籍檔建置!CD3),基本資料填寫!$E:$EU,COLUMN(基本資料填寫!CH3),0),"")</f>
        <v>A1973B</v>
      </c>
      <c r="C11" s="334" t="str">
        <f>IFERROR(VLOOKUP(基本資料填寫!$E$1&amp;"-"&amp;ROW(書籍檔建置!I3),基本資料填寫!$E:$EU,COLUMN(基本資料填寫!M3),0),"")</f>
        <v>24站壁掛式聲力電話(附H27A 插座)</v>
      </c>
      <c r="D11" s="334"/>
      <c r="E11" s="335" t="str">
        <f>IFERROR(VLOOKUP(基本資料填寫!$E$1&amp;"-"&amp;ROW(書籍檔建置!O3),基本資料填寫!$E:$EU,COLUMN(基本資料填寫!S3),0),"")</f>
        <v>5805YETL22087</v>
      </c>
      <c r="F11" s="335"/>
      <c r="G11" s="257"/>
      <c r="H11" s="257"/>
      <c r="I11" s="257"/>
      <c r="J11" s="257"/>
      <c r="K11" s="258"/>
      <c r="L11" s="268" t="str">
        <f>IFERROR(VLOOKUP(基本資料填寫!$E$1&amp;"-"&amp;ROW(書籍檔建置!P3),基本資料填寫!$E:$EU,COLUMN(基本資料填寫!T3),0),"")</f>
        <v>1</v>
      </c>
      <c r="M11" s="268" t="str">
        <f>IFERROR(VLOOKUP(基本資料填寫!$E$1&amp;"-"&amp;ROW(書籍檔建置!R3),基本資料填寫!$E:$EU,COLUMN(基本資料填寫!V3),0),"")</f>
        <v>EA</v>
      </c>
      <c r="N11" s="259"/>
      <c r="O11" s="259"/>
      <c r="P11" s="262"/>
      <c r="Q11" s="262"/>
      <c r="R11" s="262"/>
      <c r="S11" s="262"/>
      <c r="T11" s="137"/>
    </row>
    <row r="12" spans="1:20" ht="16.2" x14ac:dyDescent="0.3">
      <c r="A12" s="277" t="str">
        <f>IFERROR(VLOOKUP(基本資料填寫!$E$1&amp;"-"&amp;ROW(書籍檔建置!G4),基本資料填寫!$E:$EU,COLUMN(基本資料填寫!K4),0),"")</f>
        <v xml:space="preserve"> 455.005.7H</v>
      </c>
      <c r="B12" s="278" t="str">
        <f>IFERROR(VLOOKUP(基本資料填寫!$E$1&amp;"-"&amp;ROW(書籍檔建置!CD4),基本資料填寫!$E:$EU,COLUMN(基本資料填寫!CH4),0),"")</f>
        <v>A1973B</v>
      </c>
      <c r="C12" s="334" t="str">
        <f>IFERROR(VLOOKUP(基本資料填寫!$E$1&amp;"-"&amp;ROW(書籍檔建置!I4),基本資料填寫!$E:$EU,COLUMN(基本資料填寫!M4),0),"")</f>
        <v>12站埋入式聲力電話(附H27A 插座)</v>
      </c>
      <c r="D12" s="334"/>
      <c r="E12" s="335" t="str">
        <f>IFERROR(VLOOKUP(基本資料填寫!$E$1&amp;"-"&amp;ROW(書籍檔建置!O4),基本資料填寫!$E:$EU,COLUMN(基本資料填寫!S4),0),"")</f>
        <v>5805YETL22086</v>
      </c>
      <c r="F12" s="335"/>
      <c r="G12" s="257"/>
      <c r="H12" s="257"/>
      <c r="I12" s="257"/>
      <c r="J12" s="257"/>
      <c r="K12" s="258"/>
      <c r="L12" s="268" t="str">
        <f>IFERROR(VLOOKUP(基本資料填寫!$E$1&amp;"-"&amp;ROW(書籍檔建置!P4),基本資料填寫!$E:$EU,COLUMN(基本資料填寫!T4),0),"")</f>
        <v>1</v>
      </c>
      <c r="M12" s="268" t="str">
        <f>IFERROR(VLOOKUP(基本資料填寫!$E$1&amp;"-"&amp;ROW(書籍檔建置!R4),基本資料填寫!$E:$EU,COLUMN(基本資料填寫!V4),0),"")</f>
        <v>EA</v>
      </c>
      <c r="N12" s="259"/>
      <c r="O12" s="259"/>
      <c r="P12" s="262"/>
      <c r="Q12" s="262"/>
      <c r="R12" s="262"/>
      <c r="S12" s="262"/>
      <c r="T12" s="137"/>
    </row>
    <row r="13" spans="1:20" ht="16.2" x14ac:dyDescent="0.3">
      <c r="A13" s="277" t="str">
        <f>IFERROR(VLOOKUP(基本資料填寫!$E$1&amp;"-"&amp;ROW(書籍檔建置!G5),基本資料填寫!$E:$EU,COLUMN(基本資料填寫!K5),0),"")</f>
        <v>455.029.4.12H</v>
      </c>
      <c r="B13" s="278" t="str">
        <f>IFERROR(VLOOKUP(基本資料填寫!$E$1&amp;"-"&amp;ROW(書籍檔建置!CD5),基本資料填寫!$E:$EU,COLUMN(基本資料填寫!CH5),0),"")</f>
        <v>A1973B</v>
      </c>
      <c r="C13" s="334" t="str">
        <f>IFERROR(VLOOKUP(基本資料填寫!$E$1&amp;"-"&amp;ROW(書籍檔建置!I5),基本資料填寫!$E:$EU,COLUMN(基本資料填寫!M5),0),"")</f>
        <v>24站埋入式聲力電話(附H27A 插座)</v>
      </c>
      <c r="D13" s="334"/>
      <c r="E13" s="335" t="str">
        <f>IFERROR(VLOOKUP(基本資料填寫!$E$1&amp;"-"&amp;ROW(書籍檔建置!O5),基本資料填寫!$E:$EU,COLUMN(基本資料填寫!S5),0),"")</f>
        <v>5805YETL22085</v>
      </c>
      <c r="F13" s="335"/>
      <c r="G13" s="257"/>
      <c r="H13" s="257"/>
      <c r="I13" s="257"/>
      <c r="J13" s="257"/>
      <c r="K13" s="258"/>
      <c r="L13" s="268" t="str">
        <f>IFERROR(VLOOKUP(基本資料填寫!$E$1&amp;"-"&amp;ROW(書籍檔建置!P5),基本資料填寫!$E:$EU,COLUMN(基本資料填寫!T5),0),"")</f>
        <v>1</v>
      </c>
      <c r="M13" s="268" t="str">
        <f>IFERROR(VLOOKUP(基本資料填寫!$E$1&amp;"-"&amp;ROW(書籍檔建置!R5),基本資料填寫!$E:$EU,COLUMN(基本資料填寫!V5),0),"")</f>
        <v>EA</v>
      </c>
      <c r="N13" s="259"/>
      <c r="O13" s="259"/>
      <c r="P13" s="262"/>
      <c r="Q13" s="262"/>
      <c r="R13" s="262"/>
      <c r="S13" s="262"/>
      <c r="T13" s="137"/>
    </row>
    <row r="14" spans="1:20" ht="16.2" x14ac:dyDescent="0.3">
      <c r="A14" s="277" t="str">
        <f>IFERROR(VLOOKUP(基本資料填寫!$E$1&amp;"-"&amp;ROW(書籍檔建置!G6),基本資料填寫!$E:$EU,COLUMN(基本資料填寫!K6),0),"")</f>
        <v>350.500</v>
      </c>
      <c r="B14" s="278" t="str">
        <f>IFERROR(VLOOKUP(基本資料填寫!$E$1&amp;"-"&amp;ROW(書籍檔建置!CD6),基本資料填寫!$E:$EU,COLUMN(基本資料填寫!CH6),0),"")</f>
        <v>A1973B</v>
      </c>
      <c r="C14" s="334" t="str">
        <f>IFERROR(VLOOKUP(基本資料填寫!$E$1&amp;"-"&amp;ROW(書籍檔建置!I6),基本資料填寫!$E:$EU,COLUMN(基本資料填寫!M6),0),"")</f>
        <v>頭戴式聲力電話(頭戴型及腳控型)</v>
      </c>
      <c r="D14" s="334"/>
      <c r="E14" s="335" t="str">
        <f>IFERROR(VLOOKUP(基本資料填寫!$E$1&amp;"-"&amp;ROW(書籍檔建置!O6),基本資料填寫!$E:$EU,COLUMN(基本資料填寫!S6),0),"")</f>
        <v>5965YETL申請中</v>
      </c>
      <c r="F14" s="335"/>
      <c r="G14" s="257"/>
      <c r="H14" s="257"/>
      <c r="I14" s="257"/>
      <c r="J14" s="257"/>
      <c r="K14" s="258"/>
      <c r="L14" s="268" t="str">
        <f>IFERROR(VLOOKUP(基本資料填寫!$E$1&amp;"-"&amp;ROW(書籍檔建置!P6),基本資料填寫!$E:$EU,COLUMN(基本資料填寫!T6),0),"")</f>
        <v>1</v>
      </c>
      <c r="M14" s="268" t="str">
        <f>IFERROR(VLOOKUP(基本資料填寫!$E$1&amp;"-"&amp;ROW(書籍檔建置!R6),基本資料填寫!$E:$EU,COLUMN(基本資料填寫!V6),0),"")</f>
        <v>EA</v>
      </c>
      <c r="N14" s="259"/>
      <c r="O14" s="259"/>
      <c r="P14" s="262"/>
      <c r="Q14" s="262"/>
      <c r="R14" s="262"/>
      <c r="S14" s="262"/>
      <c r="T14" s="137"/>
    </row>
    <row r="15" spans="1:20" ht="16.2" x14ac:dyDescent="0.3">
      <c r="A15" s="277" t="str">
        <f>IFERROR(VLOOKUP(基本資料填寫!$E$1&amp;"-"&amp;ROW(書籍檔建置!G7),基本資料填寫!$E:$EU,COLUMN(基本資料填寫!K7),0),"")</f>
        <v>149.015 SCM</v>
      </c>
      <c r="B15" s="278" t="str">
        <f>IFERROR(VLOOKUP(基本資料填寫!$E$1&amp;"-"&amp;ROW(書籍檔建置!CD7),基本資料填寫!$E:$EU,COLUMN(基本資料填寫!CH7),0),"")</f>
        <v>A1973B</v>
      </c>
      <c r="C15" s="334" t="str">
        <f>IFERROR(VLOOKUP(基本資料填寫!$E$1&amp;"-"&amp;ROW(書籍檔建置!I7),基本資料填寫!$E:$EU,COLUMN(基本資料填寫!M7),0),"")</f>
        <v>聲力電話插座 (埋入式)</v>
      </c>
      <c r="D15" s="334"/>
      <c r="E15" s="335" t="str">
        <f>IFERROR(VLOOKUP(基本資料填寫!$E$1&amp;"-"&amp;ROW(書籍檔建置!O7),基本資料填寫!$E:$EU,COLUMN(基本資料填寫!S7),0),"")</f>
        <v>5935YETL22089</v>
      </c>
      <c r="F15" s="335"/>
      <c r="G15" s="257"/>
      <c r="H15" s="257"/>
      <c r="I15" s="257"/>
      <c r="J15" s="257"/>
      <c r="K15" s="258"/>
      <c r="L15" s="268" t="str">
        <f>IFERROR(VLOOKUP(基本資料填寫!$E$1&amp;"-"&amp;ROW(書籍檔建置!P7),基本資料填寫!$E:$EU,COLUMN(基本資料填寫!T7),0),"")</f>
        <v>1</v>
      </c>
      <c r="M15" s="268" t="str">
        <f>IFERROR(VLOOKUP(基本資料填寫!$E$1&amp;"-"&amp;ROW(書籍檔建置!R7),基本資料填寫!$E:$EU,COLUMN(基本資料填寫!V7),0),"")</f>
        <v>EA</v>
      </c>
      <c r="N15" s="259"/>
      <c r="O15" s="259"/>
      <c r="P15" s="262"/>
      <c r="Q15" s="262"/>
      <c r="R15" s="262"/>
      <c r="S15" s="262"/>
      <c r="T15" s="137"/>
    </row>
    <row r="16" spans="1:20" ht="16.2" x14ac:dyDescent="0.3">
      <c r="A16" s="277" t="str">
        <f>IFERROR(VLOOKUP(基本資料填寫!$E$1&amp;"-"&amp;ROW(書籍檔建置!G8),基本資料填寫!$E:$EU,COLUMN(基本資料填寫!K8),0),"")</f>
        <v>350.501 SCM</v>
      </c>
      <c r="B16" s="278" t="str">
        <f>IFERROR(VLOOKUP(基本資料填寫!$E$1&amp;"-"&amp;ROW(書籍檔建置!CD8),基本資料填寫!$E:$EU,COLUMN(基本資料填寫!CH8),0),"")</f>
        <v>A1973B</v>
      </c>
      <c r="C16" s="334" t="str">
        <f>IFERROR(VLOOKUP(基本資料填寫!$E$1&amp;"-"&amp;ROW(書籍檔建置!I8),基本資料填寫!$E:$EU,COLUMN(基本資料填寫!M8),0),"")</f>
        <v>聲力電話插座 (防水壁掛式)</v>
      </c>
      <c r="D16" s="334"/>
      <c r="E16" s="335" t="str">
        <f>IFERROR(VLOOKUP(基本資料填寫!$E$1&amp;"-"&amp;ROW(書籍檔建置!O8),基本資料填寫!$E:$EU,COLUMN(基本資料填寫!S8),0),"")</f>
        <v>5935YETL22119</v>
      </c>
      <c r="F16" s="335"/>
      <c r="G16" s="257"/>
      <c r="H16" s="257"/>
      <c r="I16" s="257"/>
      <c r="J16" s="257"/>
      <c r="K16" s="258"/>
      <c r="L16" s="268" t="str">
        <f>IFERROR(VLOOKUP(基本資料填寫!$E$1&amp;"-"&amp;ROW(書籍檔建置!P8),基本資料填寫!$E:$EU,COLUMN(基本資料填寫!T8),0),"")</f>
        <v>1</v>
      </c>
      <c r="M16" s="268" t="str">
        <f>IFERROR(VLOOKUP(基本資料填寫!$E$1&amp;"-"&amp;ROW(書籍檔建置!R8),基本資料填寫!$E:$EU,COLUMN(基本資料填寫!V8),0),"")</f>
        <v>EA</v>
      </c>
      <c r="N16" s="259"/>
      <c r="O16" s="259"/>
      <c r="P16" s="262"/>
      <c r="Q16" s="262"/>
      <c r="R16" s="262"/>
      <c r="S16" s="262"/>
      <c r="T16" s="137"/>
    </row>
    <row r="17" spans="1:20" ht="16.2" x14ac:dyDescent="0.3">
      <c r="A17" s="277" t="str">
        <f>IFERROR(VLOOKUP(基本資料填寫!$E$1&amp;"-"&amp;ROW(書籍檔建置!G9),基本資料填寫!$E:$EU,COLUMN(基本資料填寫!K9),0),"")</f>
        <v>455.805</v>
      </c>
      <c r="B17" s="278" t="str">
        <f>IFERROR(VLOOKUP(基本資料填寫!$E$1&amp;"-"&amp;ROW(書籍檔建置!CD9),基本資料填寫!$E:$EU,COLUMN(基本資料填寫!CH9),0),"")</f>
        <v>A1973B</v>
      </c>
      <c r="C17" s="334" t="str">
        <f>IFERROR(VLOOKUP(基本資料填寫!$E$1&amp;"-"&amp;ROW(書籍檔建置!I9),基本資料填寫!$E:$EU,COLUMN(基本資料填寫!M9),0),"")</f>
        <v>聲力電話放大器</v>
      </c>
      <c r="D17" s="334"/>
      <c r="E17" s="335" t="str">
        <f>IFERROR(VLOOKUP(基本資料填寫!$E$1&amp;"-"&amp;ROW(書籍檔建置!O9),基本資料填寫!$E:$EU,COLUMN(基本資料填寫!S9),0),"")</f>
        <v>5965YETL申請中</v>
      </c>
      <c r="F17" s="335"/>
      <c r="G17" s="257"/>
      <c r="H17" s="257"/>
      <c r="I17" s="257"/>
      <c r="J17" s="257"/>
      <c r="K17" s="258"/>
      <c r="L17" s="268" t="str">
        <f>IFERROR(VLOOKUP(基本資料填寫!$E$1&amp;"-"&amp;ROW(書籍檔建置!P9),基本資料填寫!$E:$EU,COLUMN(基本資料填寫!T9),0),"")</f>
        <v>1</v>
      </c>
      <c r="M17" s="268" t="str">
        <f>IFERROR(VLOOKUP(基本資料填寫!$E$1&amp;"-"&amp;ROW(書籍檔建置!R9),基本資料填寫!$E:$EU,COLUMN(基本資料填寫!V9),0),"")</f>
        <v>EA</v>
      </c>
      <c r="N17" s="259"/>
      <c r="O17" s="259"/>
      <c r="P17" s="262"/>
      <c r="Q17" s="262"/>
      <c r="R17" s="262"/>
      <c r="S17" s="262"/>
      <c r="T17" s="137"/>
    </row>
    <row r="18" spans="1:20" ht="16.2" x14ac:dyDescent="0.3">
      <c r="A18" s="277" t="str">
        <f>IFERROR(VLOOKUP(基本資料填寫!$E$1&amp;"-"&amp;ROW(書籍檔建置!G10),基本資料填寫!$E:$EU,COLUMN(基本資料填寫!K10),0),"")</f>
        <v>149.907</v>
      </c>
      <c r="B18" s="278" t="str">
        <f>IFERROR(VLOOKUP(基本資料填寫!$E$1&amp;"-"&amp;ROW(書籍檔建置!CD10),基本資料填寫!$E:$EU,COLUMN(基本資料填寫!CH10),0),"")</f>
        <v>A1973B</v>
      </c>
      <c r="C18" s="334" t="str">
        <f>IFERROR(VLOOKUP(基本資料填寫!$E$1&amp;"-"&amp;ROW(書籍檔建置!I10),基本資料填寫!$E:$EU,COLUMN(基本資料填寫!M10),0),"")</f>
        <v>揚聲防水喇叭</v>
      </c>
      <c r="D18" s="334"/>
      <c r="E18" s="335" t="str">
        <f>IFERROR(VLOOKUP(基本資料填寫!$E$1&amp;"-"&amp;ROW(書籍檔建置!O10),基本資料填寫!$E:$EU,COLUMN(基本資料填寫!S10),0),"")</f>
        <v>5965YETL申請中</v>
      </c>
      <c r="F18" s="335"/>
      <c r="G18" s="257"/>
      <c r="H18" s="257"/>
      <c r="I18" s="257"/>
      <c r="J18" s="257"/>
      <c r="K18" s="258"/>
      <c r="L18" s="268" t="str">
        <f>IFERROR(VLOOKUP(基本資料填寫!$E$1&amp;"-"&amp;ROW(書籍檔建置!P10),基本資料填寫!$E:$EU,COLUMN(基本資料填寫!T10),0),"")</f>
        <v>1</v>
      </c>
      <c r="M18" s="268" t="str">
        <f>IFERROR(VLOOKUP(基本資料填寫!$E$1&amp;"-"&amp;ROW(書籍檔建置!R10),基本資料填寫!$E:$EU,COLUMN(基本資料填寫!V10),0),"")</f>
        <v>EA</v>
      </c>
      <c r="N18" s="259"/>
      <c r="O18" s="259"/>
      <c r="P18" s="262"/>
      <c r="Q18" s="262"/>
      <c r="R18" s="262"/>
      <c r="S18" s="262"/>
      <c r="T18" s="137"/>
    </row>
    <row r="19" spans="1:20" ht="16.2" x14ac:dyDescent="0.3">
      <c r="A19" s="277" t="str">
        <f>IFERROR(VLOOKUP(基本資料填寫!$E$1&amp;"-"&amp;ROW(書籍檔建置!G11),基本資料填寫!$E:$EU,COLUMN(基本資料填寫!K11),0),"")</f>
        <v>455.010 SCM</v>
      </c>
      <c r="B19" s="278" t="str">
        <f>IFERROR(VLOOKUP(基本資料填寫!$E$1&amp;"-"&amp;ROW(書籍檔建置!CD11),基本資料填寫!$E:$EU,COLUMN(基本資料填寫!CH11),0),"")</f>
        <v>A1973B</v>
      </c>
      <c r="C19" s="334" t="str">
        <f>IFERROR(VLOOKUP(基本資料填寫!$E$1&amp;"-"&amp;ROW(書籍檔建置!I11),基本資料填寫!$E:$EU,COLUMN(基本資料填寫!M11),0),"")</f>
        <v>白光警示燈</v>
      </c>
      <c r="D19" s="334"/>
      <c r="E19" s="335" t="str">
        <f>IFERROR(VLOOKUP(基本資料填寫!$E$1&amp;"-"&amp;ROW(書籍檔建置!O11),基本資料填寫!$E:$EU,COLUMN(基本資料填寫!S11),0),"")</f>
        <v>6350YETL22084</v>
      </c>
      <c r="F19" s="335"/>
      <c r="G19" s="257"/>
      <c r="H19" s="257"/>
      <c r="I19" s="257"/>
      <c r="J19" s="257"/>
      <c r="K19" s="258"/>
      <c r="L19" s="268" t="str">
        <f>IFERROR(VLOOKUP(基本資料填寫!$E$1&amp;"-"&amp;ROW(書籍檔建置!P11),基本資料填寫!$E:$EU,COLUMN(基本資料填寫!T11),0),"")</f>
        <v>1</v>
      </c>
      <c r="M19" s="268" t="str">
        <f>IFERROR(VLOOKUP(基本資料填寫!$E$1&amp;"-"&amp;ROW(書籍檔建置!R11),基本資料填寫!$E:$EU,COLUMN(基本資料填寫!V11),0),"")</f>
        <v>EA</v>
      </c>
      <c r="N19" s="259"/>
      <c r="O19" s="259"/>
      <c r="P19" s="262"/>
      <c r="Q19" s="262"/>
      <c r="R19" s="262"/>
      <c r="S19" s="262"/>
      <c r="T19" s="137"/>
    </row>
    <row r="20" spans="1:20" ht="16.2" x14ac:dyDescent="0.3">
      <c r="A20" s="277" t="str">
        <f>IFERROR(VLOOKUP(基本資料填寫!$E$1&amp;"-"&amp;ROW(書籍檔建置!G12),基本資料填寫!$E:$EU,COLUMN(基本資料填寫!K12),0),"")</f>
        <v>358.004 SCM</v>
      </c>
      <c r="B20" s="278" t="str">
        <f>IFERROR(VLOOKUP(基本資料填寫!$E$1&amp;"-"&amp;ROW(書籍檔建置!CD12),基本資料填寫!$E:$EU,COLUMN(基本資料填寫!CH12),0),"")</f>
        <v>A1973B</v>
      </c>
      <c r="C20" s="334" t="str">
        <f>IFERROR(VLOOKUP(基本資料填寫!$E$1&amp;"-"&amp;ROW(書籍檔建置!I12),基本資料填寫!$E:$EU,COLUMN(基本資料填寫!M12),0),"")</f>
        <v>頭戴式聲力電話放置箱 CJ - EST -1-X(單格)</v>
      </c>
      <c r="D20" s="334"/>
      <c r="E20" s="335" t="str">
        <f>IFERROR(VLOOKUP(基本資料填寫!$E$1&amp;"-"&amp;ROW(書籍檔建置!O12),基本資料填寫!$E:$EU,COLUMN(基本資料填寫!S12),0),"")</f>
        <v>5965YETL22083</v>
      </c>
      <c r="F20" s="335"/>
      <c r="G20" s="256"/>
      <c r="H20" s="256"/>
      <c r="I20" s="256"/>
      <c r="J20" s="256"/>
      <c r="K20" s="258"/>
      <c r="L20" s="268" t="str">
        <f>IFERROR(VLOOKUP(基本資料填寫!$E$1&amp;"-"&amp;ROW(書籍檔建置!P12),基本資料填寫!$E:$EU,COLUMN(基本資料填寫!T12),0),"")</f>
        <v>1</v>
      </c>
      <c r="M20" s="268" t="str">
        <f>IFERROR(VLOOKUP(基本資料填寫!$E$1&amp;"-"&amp;ROW(書籍檔建置!R12),基本資料填寫!$E:$EU,COLUMN(基本資料填寫!V12),0),"")</f>
        <v>EA</v>
      </c>
      <c r="N20" s="262"/>
      <c r="O20" s="262"/>
      <c r="P20" s="262"/>
      <c r="Q20" s="262"/>
      <c r="R20" s="262"/>
      <c r="S20" s="262"/>
      <c r="T20" s="137"/>
    </row>
    <row r="21" spans="1:20" ht="16.2" x14ac:dyDescent="0.3">
      <c r="A21" s="277" t="str">
        <f>IFERROR(VLOOKUP(基本資料填寫!$E$1&amp;"-"&amp;ROW(書籍檔建置!G13),基本資料填寫!$E:$EU,COLUMN(基本資料填寫!K13),0),"")</f>
        <v>358.005 SCM</v>
      </c>
      <c r="B21" s="278" t="str">
        <f>IFERROR(VLOOKUP(基本資料填寫!$E$1&amp;"-"&amp;ROW(書籍檔建置!CD13),基本資料填寫!$E:$EU,COLUMN(基本資料填寫!CH13),0),"")</f>
        <v>A1973B</v>
      </c>
      <c r="C21" s="334" t="str">
        <f>IFERROR(VLOOKUP(基本資料填寫!$E$1&amp;"-"&amp;ROW(書籍檔建置!I13),基本資料填寫!$E:$EU,COLUMN(基本資料填寫!M13),0),"")</f>
        <v>頭戴式聲力電話放置箱CJ - EST -2-X(雙格)</v>
      </c>
      <c r="D21" s="334"/>
      <c r="E21" s="335" t="str">
        <f>IFERROR(VLOOKUP(基本資料填寫!$E$1&amp;"-"&amp;ROW(書籍檔建置!O13),基本資料填寫!$E:$EU,COLUMN(基本資料填寫!S13),0),"")</f>
        <v>5965YETL22082</v>
      </c>
      <c r="F21" s="335"/>
      <c r="G21" s="258"/>
      <c r="H21" s="258"/>
      <c r="I21" s="258"/>
      <c r="J21" s="258"/>
      <c r="K21" s="258"/>
      <c r="L21" s="268">
        <f>IFERROR(VLOOKUP(基本資料填寫!$E$1&amp;"-"&amp;ROW(書籍檔建置!P13),基本資料填寫!$E:$EU,COLUMN(基本資料填寫!T13),0),"")</f>
        <v>1</v>
      </c>
      <c r="M21" s="268" t="str">
        <f>IFERROR(VLOOKUP(基本資料填寫!$E$1&amp;"-"&amp;ROW(書籍檔建置!R13),基本資料填寫!$E:$EU,COLUMN(基本資料填寫!V13),0),"")</f>
        <v>EA</v>
      </c>
      <c r="N21" s="262"/>
      <c r="O21" s="262"/>
      <c r="P21" s="262"/>
      <c r="Q21" s="262"/>
      <c r="R21" s="262"/>
      <c r="S21" s="262"/>
      <c r="T21" s="137"/>
    </row>
    <row r="22" spans="1:20" ht="16.2" x14ac:dyDescent="0.3">
      <c r="A22" s="277" t="str">
        <f>IFERROR(VLOOKUP(基本資料填寫!$E$1&amp;"-"&amp;ROW(書籍檔建置!G14),基本資料填寫!$E:$EU,COLUMN(基本資料填寫!K14),0),"")</f>
        <v>455.003</v>
      </c>
      <c r="B22" s="278" t="str">
        <f>IFERROR(VLOOKUP(基本資料填寫!$E$1&amp;"-"&amp;ROW(書籍檔建置!CD14),基本資料填寫!$E:$EU,COLUMN(基本資料填寫!CH14),0),"")</f>
        <v>A1973B</v>
      </c>
      <c r="C22" s="334" t="str">
        <f>IFERROR(VLOOKUP(基本資料填寫!$E$1&amp;"-"&amp;ROW(書籍檔建置!I14),基本資料填寫!$E:$EU,COLUMN(基本資料填寫!M14),0),"")</f>
        <v>聲力電話繼電器控制盒</v>
      </c>
      <c r="D22" s="334"/>
      <c r="E22" s="335" t="str">
        <f>IFERROR(VLOOKUP(基本資料填寫!$E$1&amp;"-"&amp;ROW(書籍檔建置!O14),基本資料填寫!$E:$EU,COLUMN(基本資料填寫!S14),0),"")</f>
        <v>5945YETL22091</v>
      </c>
      <c r="F22" s="335"/>
      <c r="G22" s="258"/>
      <c r="H22" s="258"/>
      <c r="I22" s="258"/>
      <c r="J22" s="258"/>
      <c r="K22" s="258"/>
      <c r="L22" s="268">
        <f>IFERROR(VLOOKUP(基本資料填寫!$E$1&amp;"-"&amp;ROW(書籍檔建置!P14),基本資料填寫!$E:$EU,COLUMN(基本資料填寫!T14),0),"")</f>
        <v>1</v>
      </c>
      <c r="M22" s="268" t="str">
        <f>IFERROR(VLOOKUP(基本資料填寫!$E$1&amp;"-"&amp;ROW(書籍檔建置!R14),基本資料填寫!$E:$EU,COLUMN(基本資料填寫!V14),0),"")</f>
        <v>EA</v>
      </c>
      <c r="N22" s="262"/>
      <c r="O22" s="262"/>
      <c r="P22" s="262"/>
      <c r="Q22" s="262"/>
      <c r="R22" s="262"/>
      <c r="S22" s="262"/>
      <c r="T22" s="137"/>
    </row>
    <row r="23" spans="1:20" ht="16.2" x14ac:dyDescent="0.3">
      <c r="A23" s="277" t="str">
        <f>IFERROR(VLOOKUP(基本資料填寫!$E$1&amp;"-"&amp;ROW(書籍檔建置!G15),基本資料填寫!$E:$EU,COLUMN(基本資料填寫!K15),0),"")</f>
        <v/>
      </c>
      <c r="B23" s="278" t="str">
        <f>IFERROR(VLOOKUP(基本資料填寫!$E$1&amp;"-"&amp;ROW(書籍檔建置!CD15),基本資料填寫!$E:$EU,COLUMN(基本資料填寫!CH15),0),"")</f>
        <v/>
      </c>
      <c r="C23" s="334" t="str">
        <f>IFERROR(VLOOKUP(基本資料填寫!$E$1&amp;"-"&amp;ROW(書籍檔建置!I15),基本資料填寫!$E:$EU,COLUMN(基本資料填寫!M15),0),"")</f>
        <v/>
      </c>
      <c r="D23" s="334"/>
      <c r="E23" s="335" t="str">
        <f>IFERROR(VLOOKUP(基本資料填寫!$E$1&amp;"-"&amp;ROW(書籍檔建置!O15),基本資料填寫!$E:$EU,COLUMN(基本資料填寫!S15),0),"")</f>
        <v/>
      </c>
      <c r="F23" s="335"/>
      <c r="G23" s="258"/>
      <c r="H23" s="258"/>
      <c r="I23" s="258"/>
      <c r="J23" s="258"/>
      <c r="K23" s="258"/>
      <c r="L23" s="268" t="str">
        <f>IFERROR(VLOOKUP(基本資料填寫!$E$1&amp;"-"&amp;ROW(書籍檔建置!P15),基本資料填寫!$E:$EU,COLUMN(基本資料填寫!T15),0),"")</f>
        <v/>
      </c>
      <c r="M23" s="268" t="str">
        <f>IFERROR(VLOOKUP(基本資料填寫!$E$1&amp;"-"&amp;ROW(書籍檔建置!R15),基本資料填寫!$E:$EU,COLUMN(基本資料填寫!V15),0),"")</f>
        <v/>
      </c>
      <c r="N23" s="262"/>
      <c r="O23" s="262"/>
      <c r="P23" s="262"/>
      <c r="Q23" s="262"/>
      <c r="R23" s="262"/>
      <c r="S23" s="262"/>
      <c r="T23" s="137"/>
    </row>
    <row r="24" spans="1:20" ht="16.2" x14ac:dyDescent="0.3">
      <c r="A24" s="277" t="str">
        <f>IFERROR(VLOOKUP(基本資料填寫!$E$1&amp;"-"&amp;ROW(書籍檔建置!G16),基本資料填寫!$E:$EU,COLUMN(基本資料填寫!K16),0),"")</f>
        <v/>
      </c>
      <c r="B24" s="278" t="str">
        <f>IFERROR(VLOOKUP(基本資料填寫!$E$1&amp;"-"&amp;ROW(書籍檔建置!CD16),基本資料填寫!$E:$EU,COLUMN(基本資料填寫!CH16),0),"")</f>
        <v/>
      </c>
      <c r="C24" s="334" t="str">
        <f>IFERROR(VLOOKUP(基本資料填寫!$E$1&amp;"-"&amp;ROW(書籍檔建置!I16),基本資料填寫!$E:$EU,COLUMN(基本資料填寫!M16),0),"")</f>
        <v/>
      </c>
      <c r="D24" s="334"/>
      <c r="E24" s="335" t="str">
        <f>IFERROR(VLOOKUP(基本資料填寫!$E$1&amp;"-"&amp;ROW(書籍檔建置!O16),基本資料填寫!$E:$EU,COLUMN(基本資料填寫!S16),0),"")</f>
        <v/>
      </c>
      <c r="F24" s="335"/>
      <c r="G24" s="258"/>
      <c r="H24" s="258"/>
      <c r="I24" s="258"/>
      <c r="J24" s="258"/>
      <c r="K24" s="258"/>
      <c r="L24" s="268" t="str">
        <f>IFERROR(VLOOKUP(基本資料填寫!$E$1&amp;"-"&amp;ROW(書籍檔建置!P16),基本資料填寫!$E:$EU,COLUMN(基本資料填寫!T16),0),"")</f>
        <v/>
      </c>
      <c r="M24" s="268" t="str">
        <f>IFERROR(VLOOKUP(基本資料填寫!$E$1&amp;"-"&amp;ROW(書籍檔建置!R16),基本資料填寫!$E:$EU,COLUMN(基本資料填寫!V16),0),"")</f>
        <v/>
      </c>
      <c r="N24" s="262"/>
      <c r="O24" s="262"/>
      <c r="P24" s="262"/>
      <c r="Q24" s="262"/>
      <c r="R24" s="262"/>
      <c r="S24" s="262"/>
      <c r="T24" s="137"/>
    </row>
    <row r="25" spans="1:20" ht="16.2" x14ac:dyDescent="0.3">
      <c r="A25" s="277" t="str">
        <f>IFERROR(VLOOKUP(基本資料填寫!$E$1&amp;"-"&amp;ROW(書籍檔建置!G17),基本資料填寫!$E:$EU,COLUMN(基本資料填寫!K17),0),"")</f>
        <v/>
      </c>
      <c r="B25" s="278" t="str">
        <f>IFERROR(VLOOKUP(基本資料填寫!$E$1&amp;"-"&amp;ROW(書籍檔建置!CD17),基本資料填寫!$E:$EU,COLUMN(基本資料填寫!CH17),0),"")</f>
        <v/>
      </c>
      <c r="C25" s="334" t="str">
        <f>IFERROR(VLOOKUP(基本資料填寫!$E$1&amp;"-"&amp;ROW(書籍檔建置!I17),基本資料填寫!$E:$EU,COLUMN(基本資料填寫!M17),0),"")</f>
        <v/>
      </c>
      <c r="D25" s="334"/>
      <c r="E25" s="335" t="str">
        <f>IFERROR(VLOOKUP(基本資料填寫!$E$1&amp;"-"&amp;ROW(書籍檔建置!O17),基本資料填寫!$E:$EU,COLUMN(基本資料填寫!S17),0),"")</f>
        <v/>
      </c>
      <c r="F25" s="335"/>
      <c r="G25" s="258"/>
      <c r="H25" s="258"/>
      <c r="I25" s="258"/>
      <c r="J25" s="258"/>
      <c r="K25" s="258"/>
      <c r="L25" s="268" t="str">
        <f>IFERROR(VLOOKUP(基本資料填寫!$E$1&amp;"-"&amp;ROW(書籍檔建置!P17),基本資料填寫!$E:$EU,COLUMN(基本資料填寫!T17),0),"")</f>
        <v/>
      </c>
      <c r="M25" s="268" t="str">
        <f>IFERROR(VLOOKUP(基本資料填寫!$E$1&amp;"-"&amp;ROW(書籍檔建置!R17),基本資料填寫!$E:$EU,COLUMN(基本資料填寫!V17),0),"")</f>
        <v/>
      </c>
      <c r="N25" s="262"/>
      <c r="O25" s="262"/>
      <c r="P25" s="262"/>
      <c r="Q25" s="262"/>
      <c r="R25" s="262"/>
      <c r="S25" s="262"/>
      <c r="T25" s="137"/>
    </row>
    <row r="26" spans="1:20" ht="16.2" x14ac:dyDescent="0.3">
      <c r="A26" s="277" t="str">
        <f>IFERROR(VLOOKUP(基本資料填寫!$E$1&amp;"-"&amp;ROW(書籍檔建置!G18),基本資料填寫!$E:$EU,COLUMN(基本資料填寫!K18),0),"")</f>
        <v/>
      </c>
      <c r="B26" s="278" t="str">
        <f>IFERROR(VLOOKUP(基本資料填寫!$E$1&amp;"-"&amp;ROW(書籍檔建置!CD18),基本資料填寫!$E:$EU,COLUMN(基本資料填寫!CH18),0),"")</f>
        <v/>
      </c>
      <c r="C26" s="334" t="str">
        <f>IFERROR(VLOOKUP(基本資料填寫!$E$1&amp;"-"&amp;ROW(書籍檔建置!I18),基本資料填寫!$E:$EU,COLUMN(基本資料填寫!M18),0),"")</f>
        <v/>
      </c>
      <c r="D26" s="334"/>
      <c r="E26" s="335" t="str">
        <f>IFERROR(VLOOKUP(基本資料填寫!$E$1&amp;"-"&amp;ROW(書籍檔建置!O18),基本資料填寫!$E:$EU,COLUMN(基本資料填寫!S18),0),"")</f>
        <v/>
      </c>
      <c r="F26" s="335"/>
      <c r="G26" s="258"/>
      <c r="H26" s="258"/>
      <c r="I26" s="258"/>
      <c r="J26" s="258"/>
      <c r="K26" s="258"/>
      <c r="L26" s="268" t="str">
        <f>IFERROR(VLOOKUP(基本資料填寫!$E$1&amp;"-"&amp;ROW(書籍檔建置!P18),基本資料填寫!$E:$EU,COLUMN(基本資料填寫!T18),0),"")</f>
        <v/>
      </c>
      <c r="M26" s="268" t="str">
        <f>IFERROR(VLOOKUP(基本資料填寫!$E$1&amp;"-"&amp;ROW(書籍檔建置!R18),基本資料填寫!$E:$EU,COLUMN(基本資料填寫!V18),0),"")</f>
        <v/>
      </c>
      <c r="N26" s="262"/>
      <c r="O26" s="262"/>
      <c r="P26" s="262"/>
      <c r="Q26" s="262"/>
      <c r="R26" s="262"/>
      <c r="S26" s="262"/>
      <c r="T26" s="137"/>
    </row>
    <row r="27" spans="1:20" ht="16.2" x14ac:dyDescent="0.3">
      <c r="A27" s="277" t="str">
        <f>IFERROR(VLOOKUP(基本資料填寫!$E$1&amp;"-"&amp;ROW(書籍檔建置!G19),基本資料填寫!$E:$EU,COLUMN(基本資料填寫!K19),0),"")</f>
        <v/>
      </c>
      <c r="B27" s="278" t="str">
        <f>IFERROR(VLOOKUP(基本資料填寫!$E$1&amp;"-"&amp;ROW(書籍檔建置!CD19),基本資料填寫!$E:$EU,COLUMN(基本資料填寫!CH19),0),"")</f>
        <v/>
      </c>
      <c r="C27" s="334" t="str">
        <f>IFERROR(VLOOKUP(基本資料填寫!$E$1&amp;"-"&amp;ROW(書籍檔建置!I19),基本資料填寫!$E:$EU,COLUMN(基本資料填寫!M19),0),"")</f>
        <v/>
      </c>
      <c r="D27" s="334"/>
      <c r="E27" s="335" t="str">
        <f>IFERROR(VLOOKUP(基本資料填寫!$E$1&amp;"-"&amp;ROW(書籍檔建置!O19),基本資料填寫!$E:$EU,COLUMN(基本資料填寫!S19),0),"")</f>
        <v/>
      </c>
      <c r="F27" s="335"/>
      <c r="G27" s="258"/>
      <c r="H27" s="258"/>
      <c r="I27" s="258"/>
      <c r="J27" s="258"/>
      <c r="K27" s="258"/>
      <c r="L27" s="268" t="str">
        <f>IFERROR(VLOOKUP(基本資料填寫!$E$1&amp;"-"&amp;ROW(書籍檔建置!P19),基本資料填寫!$E:$EU,COLUMN(基本資料填寫!T19),0),"")</f>
        <v/>
      </c>
      <c r="M27" s="268" t="str">
        <f>IFERROR(VLOOKUP(基本資料填寫!$E$1&amp;"-"&amp;ROW(書籍檔建置!R19),基本資料填寫!$E:$EU,COLUMN(基本資料填寫!V19),0),"")</f>
        <v/>
      </c>
      <c r="N27" s="262"/>
      <c r="O27" s="262"/>
      <c r="P27" s="262"/>
      <c r="Q27" s="262"/>
      <c r="R27" s="262"/>
      <c r="S27" s="262"/>
      <c r="T27" s="137"/>
    </row>
    <row r="28" spans="1:20" ht="16.2" x14ac:dyDescent="0.3">
      <c r="A28" s="279" t="str">
        <f>IFERROR(VLOOKUP(基本資料填寫!$E$1&amp;"-"&amp;ROW(書籍檔建置!G20),基本資料填寫!$E:$EU,COLUMN(基本資料填寫!K20),0),"")</f>
        <v/>
      </c>
      <c r="B28" s="280" t="str">
        <f>IFERROR(VLOOKUP(基本資料填寫!$E$1&amp;"-"&amp;ROW(書籍檔建置!CD20),基本資料填寫!$E:$EU,COLUMN(基本資料填寫!CH20),0),"")</f>
        <v/>
      </c>
      <c r="C28" s="336" t="str">
        <f>IFERROR(VLOOKUP(基本資料填寫!$E$1&amp;"-"&amp;ROW(書籍檔建置!I20),基本資料填寫!$E:$EU,COLUMN(基本資料填寫!M20),0),"")</f>
        <v/>
      </c>
      <c r="D28" s="336"/>
      <c r="E28" s="335" t="str">
        <f>IFERROR(VLOOKUP(基本資料填寫!$E$1&amp;"-"&amp;ROW(書籍檔建置!O20),基本資料填寫!$E:$EU,COLUMN(基本資料填寫!S20),0),"")</f>
        <v/>
      </c>
      <c r="F28" s="335"/>
      <c r="G28" s="258"/>
      <c r="H28" s="258"/>
      <c r="I28" s="258"/>
      <c r="J28" s="258"/>
      <c r="K28" s="273"/>
      <c r="L28" s="269" t="str">
        <f>IFERROR(VLOOKUP(基本資料填寫!$E$1&amp;"-"&amp;ROW(書籍檔建置!P20),基本資料填寫!$E:$EU,COLUMN(基本資料填寫!T20),0),"")</f>
        <v/>
      </c>
      <c r="M28" s="269" t="str">
        <f>IFERROR(VLOOKUP(基本資料填寫!$E$1&amp;"-"&amp;ROW(書籍檔建置!R20),基本資料填寫!$E:$EU,COLUMN(基本資料填寫!V20),0),"")</f>
        <v/>
      </c>
      <c r="N28" s="274"/>
      <c r="O28" s="262"/>
      <c r="P28" s="262"/>
      <c r="Q28" s="262"/>
      <c r="R28" s="262"/>
      <c r="S28" s="262"/>
      <c r="T28" s="137"/>
    </row>
    <row r="29" spans="1:20" ht="16.5" customHeight="1" x14ac:dyDescent="0.3">
      <c r="A29" s="326" t="s">
        <v>161</v>
      </c>
      <c r="B29" s="326"/>
      <c r="C29" s="255" t="s">
        <v>156</v>
      </c>
      <c r="D29" s="327" t="s">
        <v>162</v>
      </c>
      <c r="E29" s="328"/>
      <c r="F29" s="329"/>
      <c r="G29" s="331" t="s">
        <v>142</v>
      </c>
      <c r="H29" s="331" t="s">
        <v>143</v>
      </c>
      <c r="I29" s="331" t="s">
        <v>144</v>
      </c>
      <c r="J29" s="331" t="s">
        <v>145</v>
      </c>
      <c r="K29" s="331" t="s">
        <v>146</v>
      </c>
      <c r="L29" s="331" t="s">
        <v>147</v>
      </c>
      <c r="M29" s="331" t="s">
        <v>148</v>
      </c>
      <c r="N29" s="263">
        <v>1</v>
      </c>
      <c r="O29" s="263">
        <v>2</v>
      </c>
      <c r="P29" s="263">
        <v>3</v>
      </c>
      <c r="Q29" s="263">
        <v>4</v>
      </c>
      <c r="R29" s="263" t="s">
        <v>151</v>
      </c>
      <c r="S29" s="263" t="s">
        <v>152</v>
      </c>
      <c r="T29" s="263" t="s">
        <v>153</v>
      </c>
    </row>
    <row r="30" spans="1:20" x14ac:dyDescent="0.3">
      <c r="A30" s="255" t="s">
        <v>163</v>
      </c>
      <c r="B30" s="264">
        <v>418</v>
      </c>
      <c r="C30" s="333" t="s">
        <v>164</v>
      </c>
      <c r="D30" s="333"/>
      <c r="E30" s="333"/>
      <c r="F30" s="333"/>
      <c r="G30" s="332"/>
      <c r="H30" s="332"/>
      <c r="I30" s="332"/>
      <c r="J30" s="332"/>
      <c r="K30" s="332"/>
      <c r="L30" s="332"/>
      <c r="M30" s="332"/>
      <c r="N30" s="330" t="str">
        <f>基本資料填寫!$CP$2</f>
        <v>27NYE0823</v>
      </c>
      <c r="O30" s="330"/>
      <c r="P30" s="330"/>
      <c r="Q30" s="330"/>
      <c r="R30" s="330"/>
      <c r="S30" s="265" t="s">
        <v>834</v>
      </c>
      <c r="T30" s="266"/>
    </row>
    <row r="31" spans="1:20" ht="67.95" customHeight="1" x14ac:dyDescent="0.3">
      <c r="A31" s="255" t="s">
        <v>165</v>
      </c>
      <c r="B31" s="255" t="s">
        <v>166</v>
      </c>
      <c r="C31" s="333"/>
      <c r="D31" s="333"/>
      <c r="E31" s="333"/>
      <c r="F31" s="333"/>
      <c r="G31" s="332"/>
      <c r="H31" s="332"/>
      <c r="I31" s="332"/>
      <c r="J31" s="332"/>
      <c r="K31" s="332"/>
      <c r="L31" s="332"/>
      <c r="M31" s="332"/>
      <c r="N31" s="326" t="s">
        <v>137</v>
      </c>
      <c r="O31" s="326"/>
      <c r="P31" s="326"/>
      <c r="Q31" s="326"/>
      <c r="R31" s="326"/>
      <c r="S31" s="255" t="s">
        <v>138</v>
      </c>
      <c r="T31" s="255" t="s">
        <v>139</v>
      </c>
    </row>
    <row r="32" spans="1:20" ht="19.8" x14ac:dyDescent="0.3">
      <c r="A32" s="350" t="s">
        <v>177</v>
      </c>
      <c r="B32" s="351"/>
      <c r="C32" s="351"/>
      <c r="D32" s="351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3"/>
    </row>
    <row r="33" spans="1:20" ht="16.2" customHeight="1" x14ac:dyDescent="0.3">
      <c r="A33" s="354" t="s">
        <v>133</v>
      </c>
      <c r="B33" s="355"/>
      <c r="C33" s="356"/>
      <c r="D33" s="357" t="s">
        <v>134</v>
      </c>
      <c r="E33" s="358"/>
      <c r="F33" s="255" t="s">
        <v>135</v>
      </c>
      <c r="G33" s="327" t="s">
        <v>136</v>
      </c>
      <c r="H33" s="328"/>
      <c r="I33" s="328"/>
      <c r="J33" s="328"/>
      <c r="K33" s="328"/>
      <c r="L33" s="328"/>
      <c r="M33" s="328"/>
      <c r="N33" s="327" t="s">
        <v>137</v>
      </c>
      <c r="O33" s="328"/>
      <c r="P33" s="328"/>
      <c r="Q33" s="328"/>
      <c r="R33" s="329"/>
      <c r="S33" s="255" t="s">
        <v>138</v>
      </c>
      <c r="T33" s="255" t="s">
        <v>139</v>
      </c>
    </row>
    <row r="34" spans="1:20" ht="16.2" customHeight="1" x14ac:dyDescent="0.3">
      <c r="A34" s="363" t="str">
        <f>基本資料填寫!$DU$2</f>
        <v>聲力電話系統Acoustic Telephone System</v>
      </c>
      <c r="B34" s="364"/>
      <c r="C34" s="365"/>
      <c r="D34" s="359"/>
      <c r="E34" s="360"/>
      <c r="F34" s="366" t="s">
        <v>140</v>
      </c>
      <c r="G34" s="368"/>
      <c r="H34" s="369"/>
      <c r="I34" s="369"/>
      <c r="J34" s="369"/>
      <c r="K34" s="369"/>
      <c r="L34" s="369"/>
      <c r="M34" s="369"/>
      <c r="N34" s="372" t="str">
        <f>基本資料填寫!$CP$2</f>
        <v>27NYE0823</v>
      </c>
      <c r="O34" s="373"/>
      <c r="P34" s="373"/>
      <c r="Q34" s="373"/>
      <c r="R34" s="374"/>
      <c r="S34" s="378" t="s">
        <v>141</v>
      </c>
      <c r="T34" s="380"/>
    </row>
    <row r="35" spans="1:20" x14ac:dyDescent="0.3">
      <c r="A35" s="382"/>
      <c r="B35" s="383"/>
      <c r="C35" s="384"/>
      <c r="D35" s="361"/>
      <c r="E35" s="362"/>
      <c r="F35" s="367"/>
      <c r="G35" s="370"/>
      <c r="H35" s="371"/>
      <c r="I35" s="371"/>
      <c r="J35" s="371"/>
      <c r="K35" s="371"/>
      <c r="L35" s="371"/>
      <c r="M35" s="371"/>
      <c r="N35" s="375"/>
      <c r="O35" s="376"/>
      <c r="P35" s="376"/>
      <c r="Q35" s="376"/>
      <c r="R35" s="377"/>
      <c r="S35" s="379"/>
      <c r="T35" s="381"/>
    </row>
    <row r="36" spans="1:20" ht="30.6" customHeight="1" x14ac:dyDescent="0.3">
      <c r="A36" s="344" t="s">
        <v>136</v>
      </c>
      <c r="B36" s="345"/>
      <c r="C36" s="345"/>
      <c r="D36" s="345"/>
      <c r="E36" s="345"/>
      <c r="F36" s="345"/>
      <c r="G36" s="337" t="s">
        <v>142</v>
      </c>
      <c r="H36" s="337" t="s">
        <v>143</v>
      </c>
      <c r="I36" s="337" t="s">
        <v>144</v>
      </c>
      <c r="J36" s="337" t="s">
        <v>145</v>
      </c>
      <c r="K36" s="337" t="s">
        <v>146</v>
      </c>
      <c r="L36" s="337" t="s">
        <v>147</v>
      </c>
      <c r="M36" s="337" t="s">
        <v>148</v>
      </c>
      <c r="N36" s="329" t="s">
        <v>149</v>
      </c>
      <c r="O36" s="326"/>
      <c r="P36" s="326"/>
      <c r="Q36" s="326"/>
      <c r="R36" s="326"/>
      <c r="S36" s="326"/>
      <c r="T36" s="326"/>
    </row>
    <row r="37" spans="1:20" ht="30.6" customHeight="1" x14ac:dyDescent="0.3">
      <c r="A37" s="346"/>
      <c r="B37" s="347"/>
      <c r="C37" s="347"/>
      <c r="D37" s="347"/>
      <c r="E37" s="347"/>
      <c r="F37" s="347"/>
      <c r="G37" s="338"/>
      <c r="H37" s="338"/>
      <c r="I37" s="338"/>
      <c r="J37" s="338"/>
      <c r="K37" s="338"/>
      <c r="L37" s="338"/>
      <c r="M37" s="338"/>
      <c r="N37" s="340" t="s">
        <v>150</v>
      </c>
      <c r="O37" s="341"/>
      <c r="P37" s="341"/>
      <c r="Q37" s="341"/>
      <c r="R37" s="341"/>
      <c r="S37" s="326"/>
      <c r="T37" s="326"/>
    </row>
    <row r="38" spans="1:20" x14ac:dyDescent="0.3">
      <c r="A38" s="346"/>
      <c r="B38" s="347"/>
      <c r="C38" s="347"/>
      <c r="D38" s="347"/>
      <c r="E38" s="347"/>
      <c r="F38" s="347"/>
      <c r="G38" s="338"/>
      <c r="H38" s="338"/>
      <c r="I38" s="338"/>
      <c r="J38" s="338"/>
      <c r="K38" s="338"/>
      <c r="L38" s="338"/>
      <c r="M38" s="338"/>
      <c r="N38" s="342">
        <v>1</v>
      </c>
      <c r="O38" s="342">
        <v>2</v>
      </c>
      <c r="P38" s="342">
        <v>3</v>
      </c>
      <c r="Q38" s="342">
        <v>4</v>
      </c>
      <c r="R38" s="342" t="s">
        <v>151</v>
      </c>
      <c r="S38" s="342" t="s">
        <v>152</v>
      </c>
      <c r="T38" s="342" t="s">
        <v>153</v>
      </c>
    </row>
    <row r="39" spans="1:20" x14ac:dyDescent="0.3">
      <c r="A39" s="253" t="s">
        <v>154</v>
      </c>
      <c r="B39" s="256" t="s">
        <v>155</v>
      </c>
      <c r="C39" s="348" t="s">
        <v>156</v>
      </c>
      <c r="D39" s="348"/>
      <c r="E39" s="348" t="s">
        <v>104</v>
      </c>
      <c r="F39" s="349"/>
      <c r="G39" s="339"/>
      <c r="H39" s="339"/>
      <c r="I39" s="339"/>
      <c r="J39" s="339"/>
      <c r="K39" s="339"/>
      <c r="L39" s="339"/>
      <c r="M39" s="339"/>
      <c r="N39" s="343"/>
      <c r="O39" s="343"/>
      <c r="P39" s="343"/>
      <c r="Q39" s="343"/>
      <c r="R39" s="343"/>
      <c r="S39" s="343"/>
      <c r="T39" s="343"/>
    </row>
    <row r="40" spans="1:20" ht="16.2" x14ac:dyDescent="0.3">
      <c r="A40" s="281" t="str">
        <f>IFERROR(VLOOKUP(基本資料填寫!$E$1&amp;"-"&amp;ROW(書籍檔建置!G21),基本資料填寫!$E:$EU,COLUMN(基本資料填寫!K21),0),"")</f>
        <v/>
      </c>
      <c r="B40" s="282" t="str">
        <f>IFERROR(VLOOKUP(基本資料填寫!$E$1&amp;"-"&amp;ROW(書籍檔建置!CD21),基本資料填寫!$E:$EU,COLUMN(基本資料填寫!CH21),0),"")</f>
        <v/>
      </c>
      <c r="C40" s="334" t="str">
        <f>IFERROR(VLOOKUP(基本資料填寫!$E$1&amp;"-"&amp;ROW(書籍檔建置!I21),基本資料填寫!$E:$EU,COLUMN(基本資料填寫!M21),0),"")</f>
        <v/>
      </c>
      <c r="D40" s="334"/>
      <c r="E40" s="335" t="str">
        <f>IFERROR(VLOOKUP(基本資料填寫!$E$1&amp;"-"&amp;ROW(書籍檔建置!O21),基本資料填寫!$E:$EU,COLUMN(基本資料填寫!S21),0),"")</f>
        <v/>
      </c>
      <c r="F40" s="335"/>
      <c r="G40" s="257"/>
      <c r="H40" s="257"/>
      <c r="I40" s="257"/>
      <c r="J40" s="275"/>
      <c r="K40" s="270"/>
      <c r="L40" s="271" t="str">
        <f>IFERROR(VLOOKUP(基本資料填寫!$E$1&amp;"-"&amp;ROW(書籍檔建置!P21),基本資料填寫!$E:$EU,COLUMN(基本資料填寫!T21),0),"")</f>
        <v/>
      </c>
      <c r="M40" s="271" t="str">
        <f>IFERROR(VLOOKUP(基本資料填寫!$E$1&amp;"-"&amp;ROW(書籍檔建置!R21),基本資料填寫!$E:$EU,COLUMN(基本資料填寫!V21),0),"")</f>
        <v/>
      </c>
      <c r="N40" s="272"/>
      <c r="O40" s="276"/>
      <c r="P40" s="276"/>
      <c r="Q40" s="276"/>
      <c r="R40" s="276"/>
      <c r="S40" s="262"/>
      <c r="T40" s="137"/>
    </row>
    <row r="41" spans="1:20" ht="16.2" x14ac:dyDescent="0.3">
      <c r="A41" s="277" t="str">
        <f>IFERROR(VLOOKUP(基本資料填寫!$E$1&amp;"-"&amp;ROW(書籍檔建置!G22),基本資料填寫!$E:$EU,COLUMN(基本資料填寫!K22),0),"")</f>
        <v/>
      </c>
      <c r="B41" s="278" t="str">
        <f>IFERROR(VLOOKUP(基本資料填寫!$E$1&amp;"-"&amp;ROW(書籍檔建置!CD22),基本資料填寫!$E:$EU,COLUMN(基本資料填寫!CH22),0),"")</f>
        <v/>
      </c>
      <c r="C41" s="334" t="str">
        <f>IFERROR(VLOOKUP(基本資料填寫!$E$1&amp;"-"&amp;ROW(書籍檔建置!I22),基本資料填寫!$E:$EU,COLUMN(基本資料填寫!M22),0),"")</f>
        <v/>
      </c>
      <c r="D41" s="334"/>
      <c r="E41" s="335" t="str">
        <f>IFERROR(VLOOKUP(基本資料填寫!$E$1&amp;"-"&amp;ROW(書籍檔建置!O22),基本資料填寫!$E:$EU,COLUMN(基本資料填寫!S22),0),"")</f>
        <v/>
      </c>
      <c r="F41" s="335"/>
      <c r="G41" s="257"/>
      <c r="H41" s="257"/>
      <c r="I41" s="257"/>
      <c r="J41" s="257"/>
      <c r="K41" s="258"/>
      <c r="L41" s="268" t="str">
        <f>IFERROR(VLOOKUP(基本資料填寫!$E$1&amp;"-"&amp;ROW(書籍檔建置!P22),基本資料填寫!$E:$EU,COLUMN(基本資料填寫!T22),0),"")</f>
        <v/>
      </c>
      <c r="M41" s="268" t="str">
        <f>IFERROR(VLOOKUP(基本資料填寫!$E$1&amp;"-"&amp;ROW(書籍檔建置!R22),基本資料填寫!$E:$EU,COLUMN(基本資料填寫!V22),0),"")</f>
        <v/>
      </c>
      <c r="N41" s="259"/>
      <c r="O41" s="262"/>
      <c r="P41" s="262"/>
      <c r="Q41" s="262"/>
      <c r="R41" s="262"/>
      <c r="S41" s="262"/>
      <c r="T41" s="137"/>
    </row>
    <row r="42" spans="1:20" ht="16.2" x14ac:dyDescent="0.3">
      <c r="A42" s="277" t="str">
        <f>IFERROR(VLOOKUP(基本資料填寫!$E$1&amp;"-"&amp;ROW(書籍檔建置!G23),基本資料填寫!$E:$EU,COLUMN(基本資料填寫!K23),0),"")</f>
        <v/>
      </c>
      <c r="B42" s="278" t="str">
        <f>IFERROR(VLOOKUP(基本資料填寫!$E$1&amp;"-"&amp;ROW(書籍檔建置!CD23),基本資料填寫!$E:$EU,COLUMN(基本資料填寫!CH23),0),"")</f>
        <v/>
      </c>
      <c r="C42" s="334" t="str">
        <f>IFERROR(VLOOKUP(基本資料填寫!$E$1&amp;"-"&amp;ROW(書籍檔建置!I23),基本資料填寫!$E:$EU,COLUMN(基本資料填寫!M23),0),"")</f>
        <v/>
      </c>
      <c r="D42" s="334"/>
      <c r="E42" s="335" t="str">
        <f>IFERROR(VLOOKUP(基本資料填寫!$E$1&amp;"-"&amp;ROW(書籍檔建置!O23),基本資料填寫!$E:$EU,COLUMN(基本資料填寫!S23),0),"")</f>
        <v/>
      </c>
      <c r="F42" s="335"/>
      <c r="G42" s="257"/>
      <c r="H42" s="257"/>
      <c r="I42" s="257"/>
      <c r="J42" s="257"/>
      <c r="K42" s="258"/>
      <c r="L42" s="268" t="str">
        <f>IFERROR(VLOOKUP(基本資料填寫!$E$1&amp;"-"&amp;ROW(書籍檔建置!P23),基本資料填寫!$E:$EU,COLUMN(基本資料填寫!T23),0),"")</f>
        <v/>
      </c>
      <c r="M42" s="268" t="str">
        <f>IFERROR(VLOOKUP(基本資料填寫!$E$1&amp;"-"&amp;ROW(書籍檔建置!R23),基本資料填寫!$E:$EU,COLUMN(基本資料填寫!V23),0),"")</f>
        <v/>
      </c>
      <c r="N42" s="259"/>
      <c r="O42" s="262"/>
      <c r="P42" s="262"/>
      <c r="Q42" s="262"/>
      <c r="R42" s="262"/>
      <c r="S42" s="262"/>
      <c r="T42" s="137"/>
    </row>
    <row r="43" spans="1:20" ht="16.2" x14ac:dyDescent="0.3">
      <c r="A43" s="277" t="str">
        <f>IFERROR(VLOOKUP(基本資料填寫!$E$1&amp;"-"&amp;ROW(書籍檔建置!G24),基本資料填寫!$E:$EU,COLUMN(基本資料填寫!K24),0),"")</f>
        <v/>
      </c>
      <c r="B43" s="278" t="str">
        <f>IFERROR(VLOOKUP(基本資料填寫!$E$1&amp;"-"&amp;ROW(書籍檔建置!CD24),基本資料填寫!$E:$EU,COLUMN(基本資料填寫!CH24),0),"")</f>
        <v/>
      </c>
      <c r="C43" s="334" t="str">
        <f>IFERROR(VLOOKUP(基本資料填寫!$E$1&amp;"-"&amp;ROW(書籍檔建置!I24),基本資料填寫!$E:$EU,COLUMN(基本資料填寫!M24),0),"")</f>
        <v/>
      </c>
      <c r="D43" s="334"/>
      <c r="E43" s="335" t="str">
        <f>IFERROR(VLOOKUP(基本資料填寫!$E$1&amp;"-"&amp;ROW(書籍檔建置!O24),基本資料填寫!$E:$EU,COLUMN(基本資料填寫!S24),0),"")</f>
        <v/>
      </c>
      <c r="F43" s="335"/>
      <c r="G43" s="257"/>
      <c r="H43" s="257"/>
      <c r="I43" s="257"/>
      <c r="J43" s="257"/>
      <c r="K43" s="258"/>
      <c r="L43" s="268" t="str">
        <f>IFERROR(VLOOKUP(基本資料填寫!$E$1&amp;"-"&amp;ROW(書籍檔建置!P24),基本資料填寫!$E:$EU,COLUMN(基本資料填寫!T24),0),"")</f>
        <v/>
      </c>
      <c r="M43" s="268" t="str">
        <f>IFERROR(VLOOKUP(基本資料填寫!$E$1&amp;"-"&amp;ROW(書籍檔建置!R24),基本資料填寫!$E:$EU,COLUMN(基本資料填寫!V24),0),"")</f>
        <v/>
      </c>
      <c r="N43" s="259"/>
      <c r="O43" s="262"/>
      <c r="P43" s="262"/>
      <c r="Q43" s="262"/>
      <c r="R43" s="262"/>
      <c r="S43" s="262"/>
      <c r="T43" s="137"/>
    </row>
    <row r="44" spans="1:20" ht="16.2" x14ac:dyDescent="0.3">
      <c r="A44" s="277" t="str">
        <f>IFERROR(VLOOKUP(基本資料填寫!$E$1&amp;"-"&amp;ROW(書籍檔建置!G25),基本資料填寫!$E:$EU,COLUMN(基本資料填寫!K25),0),"")</f>
        <v/>
      </c>
      <c r="B44" s="278" t="str">
        <f>IFERROR(VLOOKUP(基本資料填寫!$E$1&amp;"-"&amp;ROW(書籍檔建置!CD25),基本資料填寫!$E:$EU,COLUMN(基本資料填寫!CH25),0),"")</f>
        <v/>
      </c>
      <c r="C44" s="334" t="str">
        <f>IFERROR(VLOOKUP(基本資料填寫!$E$1&amp;"-"&amp;ROW(書籍檔建置!I25),基本資料填寫!$E:$EU,COLUMN(基本資料填寫!M25),0),"")</f>
        <v/>
      </c>
      <c r="D44" s="334"/>
      <c r="E44" s="335" t="str">
        <f>IFERROR(VLOOKUP(基本資料填寫!$E$1&amp;"-"&amp;ROW(書籍檔建置!O25),基本資料填寫!$E:$EU,COLUMN(基本資料填寫!S25),0),"")</f>
        <v/>
      </c>
      <c r="F44" s="335"/>
      <c r="G44" s="257"/>
      <c r="H44" s="257"/>
      <c r="I44" s="257"/>
      <c r="J44" s="257"/>
      <c r="K44" s="258"/>
      <c r="L44" s="268" t="str">
        <f>IFERROR(VLOOKUP(基本資料填寫!$E$1&amp;"-"&amp;ROW(書籍檔建置!P25),基本資料填寫!$E:$EU,COLUMN(基本資料填寫!T25),0),"")</f>
        <v/>
      </c>
      <c r="M44" s="268" t="str">
        <f>IFERROR(VLOOKUP(基本資料填寫!$E$1&amp;"-"&amp;ROW(書籍檔建置!R25),基本資料填寫!$E:$EU,COLUMN(基本資料填寫!V25),0),"")</f>
        <v/>
      </c>
      <c r="N44" s="259"/>
      <c r="O44" s="262"/>
      <c r="P44" s="262"/>
      <c r="Q44" s="262"/>
      <c r="R44" s="262"/>
      <c r="S44" s="262"/>
      <c r="T44" s="137"/>
    </row>
    <row r="45" spans="1:20" ht="16.2" x14ac:dyDescent="0.3">
      <c r="A45" s="277" t="str">
        <f>IFERROR(VLOOKUP(基本資料填寫!$E$1&amp;"-"&amp;ROW(書籍檔建置!G26),基本資料填寫!$E:$EU,COLUMN(基本資料填寫!K26),0),"")</f>
        <v/>
      </c>
      <c r="B45" s="278" t="str">
        <f>IFERROR(VLOOKUP(基本資料填寫!$E$1&amp;"-"&amp;ROW(書籍檔建置!CD26),基本資料填寫!$E:$EU,COLUMN(基本資料填寫!CH26),0),"")</f>
        <v/>
      </c>
      <c r="C45" s="334" t="str">
        <f>IFERROR(VLOOKUP(基本資料填寫!$E$1&amp;"-"&amp;ROW(書籍檔建置!I26),基本資料填寫!$E:$EU,COLUMN(基本資料填寫!M26),0),"")</f>
        <v/>
      </c>
      <c r="D45" s="334"/>
      <c r="E45" s="335" t="str">
        <f>IFERROR(VLOOKUP(基本資料填寫!$E$1&amp;"-"&amp;ROW(書籍檔建置!O26),基本資料填寫!$E:$EU,COLUMN(基本資料填寫!S26),0),"")</f>
        <v/>
      </c>
      <c r="F45" s="335"/>
      <c r="G45" s="257"/>
      <c r="H45" s="257"/>
      <c r="I45" s="257"/>
      <c r="J45" s="257"/>
      <c r="K45" s="258"/>
      <c r="L45" s="268" t="str">
        <f>IFERROR(VLOOKUP(基本資料填寫!$E$1&amp;"-"&amp;ROW(書籍檔建置!P26),基本資料填寫!$E:$EU,COLUMN(基本資料填寫!T26),0),"")</f>
        <v/>
      </c>
      <c r="M45" s="268" t="str">
        <f>IFERROR(VLOOKUP(基本資料填寫!$E$1&amp;"-"&amp;ROW(書籍檔建置!R26),基本資料填寫!$E:$EU,COLUMN(基本資料填寫!V26),0),"")</f>
        <v/>
      </c>
      <c r="N45" s="259"/>
      <c r="O45" s="262"/>
      <c r="P45" s="262"/>
      <c r="Q45" s="262"/>
      <c r="R45" s="262"/>
      <c r="S45" s="262"/>
      <c r="T45" s="137"/>
    </row>
    <row r="46" spans="1:20" ht="16.2" x14ac:dyDescent="0.3">
      <c r="A46" s="277" t="str">
        <f>IFERROR(VLOOKUP(基本資料填寫!$E$1&amp;"-"&amp;ROW(書籍檔建置!G27),基本資料填寫!$E:$EU,COLUMN(基本資料填寫!K27),0),"")</f>
        <v/>
      </c>
      <c r="B46" s="278" t="str">
        <f>IFERROR(VLOOKUP(基本資料填寫!$E$1&amp;"-"&amp;ROW(書籍檔建置!CD27),基本資料填寫!$E:$EU,COLUMN(基本資料填寫!CH27),0),"")</f>
        <v/>
      </c>
      <c r="C46" s="334" t="str">
        <f>IFERROR(VLOOKUP(基本資料填寫!$E$1&amp;"-"&amp;ROW(書籍檔建置!I27),基本資料填寫!$E:$EU,COLUMN(基本資料填寫!M27),0),"")</f>
        <v/>
      </c>
      <c r="D46" s="334"/>
      <c r="E46" s="335" t="str">
        <f>IFERROR(VLOOKUP(基本資料填寫!$E$1&amp;"-"&amp;ROW(書籍檔建置!O27),基本資料填寫!$E:$EU,COLUMN(基本資料填寫!S27),0),"")</f>
        <v/>
      </c>
      <c r="F46" s="335"/>
      <c r="G46" s="257"/>
      <c r="H46" s="257"/>
      <c r="I46" s="257"/>
      <c r="J46" s="257"/>
      <c r="K46" s="258"/>
      <c r="L46" s="268" t="str">
        <f>IFERROR(VLOOKUP(基本資料填寫!$E$1&amp;"-"&amp;ROW(書籍檔建置!P27),基本資料填寫!$E:$EU,COLUMN(基本資料填寫!T27),0),"")</f>
        <v/>
      </c>
      <c r="M46" s="268" t="str">
        <f>IFERROR(VLOOKUP(基本資料填寫!$E$1&amp;"-"&amp;ROW(書籍檔建置!R27),基本資料填寫!$E:$EU,COLUMN(基本資料填寫!V27),0),"")</f>
        <v/>
      </c>
      <c r="N46" s="259"/>
      <c r="O46" s="262"/>
      <c r="P46" s="262"/>
      <c r="Q46" s="262"/>
      <c r="R46" s="262"/>
      <c r="S46" s="262"/>
      <c r="T46" s="137"/>
    </row>
    <row r="47" spans="1:20" ht="16.2" x14ac:dyDescent="0.3">
      <c r="A47" s="277" t="str">
        <f>IFERROR(VLOOKUP(基本資料填寫!$E$1&amp;"-"&amp;ROW(書籍檔建置!G28),基本資料填寫!$E:$EU,COLUMN(基本資料填寫!K28),0),"")</f>
        <v/>
      </c>
      <c r="B47" s="278" t="str">
        <f>IFERROR(VLOOKUP(基本資料填寫!$E$1&amp;"-"&amp;ROW(書籍檔建置!CD28),基本資料填寫!$E:$EU,COLUMN(基本資料填寫!CH28),0),"")</f>
        <v/>
      </c>
      <c r="C47" s="334" t="str">
        <f>IFERROR(VLOOKUP(基本資料填寫!$E$1&amp;"-"&amp;ROW(書籍檔建置!I28),基本資料填寫!$E:$EU,COLUMN(基本資料填寫!M28),0),"")</f>
        <v/>
      </c>
      <c r="D47" s="334"/>
      <c r="E47" s="335" t="str">
        <f>IFERROR(VLOOKUP(基本資料填寫!$E$1&amp;"-"&amp;ROW(書籍檔建置!O28),基本資料填寫!$E:$EU,COLUMN(基本資料填寫!S28),0),"")</f>
        <v/>
      </c>
      <c r="F47" s="335"/>
      <c r="G47" s="257"/>
      <c r="H47" s="257"/>
      <c r="I47" s="257"/>
      <c r="J47" s="257"/>
      <c r="K47" s="258"/>
      <c r="L47" s="268" t="str">
        <f>IFERROR(VLOOKUP(基本資料填寫!$E$1&amp;"-"&amp;ROW(書籍檔建置!P28),基本資料填寫!$E:$EU,COLUMN(基本資料填寫!T28),0),"")</f>
        <v/>
      </c>
      <c r="M47" s="268" t="str">
        <f>IFERROR(VLOOKUP(基本資料填寫!$E$1&amp;"-"&amp;ROW(書籍檔建置!R28),基本資料填寫!$E:$EU,COLUMN(基本資料填寫!V28),0),"")</f>
        <v/>
      </c>
      <c r="N47" s="259"/>
      <c r="O47" s="262"/>
      <c r="P47" s="262"/>
      <c r="Q47" s="262"/>
      <c r="R47" s="262"/>
      <c r="S47" s="262"/>
      <c r="T47" s="137"/>
    </row>
    <row r="48" spans="1:20" ht="16.2" x14ac:dyDescent="0.3">
      <c r="A48" s="277" t="str">
        <f>IFERROR(VLOOKUP(基本資料填寫!$E$1&amp;"-"&amp;ROW(書籍檔建置!G29),基本資料填寫!$E:$EU,COLUMN(基本資料填寫!K29),0),"")</f>
        <v/>
      </c>
      <c r="B48" s="278" t="str">
        <f>IFERROR(VLOOKUP(基本資料填寫!$E$1&amp;"-"&amp;ROW(書籍檔建置!CD29),基本資料填寫!$E:$EU,COLUMN(基本資料填寫!CH29),0),"")</f>
        <v/>
      </c>
      <c r="C48" s="334" t="str">
        <f>IFERROR(VLOOKUP(基本資料填寫!$E$1&amp;"-"&amp;ROW(書籍檔建置!I29),基本資料填寫!$E:$EU,COLUMN(基本資料填寫!M29),0),"")</f>
        <v/>
      </c>
      <c r="D48" s="334"/>
      <c r="E48" s="335" t="str">
        <f>IFERROR(VLOOKUP(基本資料填寫!$E$1&amp;"-"&amp;ROW(書籍檔建置!O29),基本資料填寫!$E:$EU,COLUMN(基本資料填寫!S29),0),"")</f>
        <v/>
      </c>
      <c r="F48" s="335"/>
      <c r="G48" s="257"/>
      <c r="H48" s="257"/>
      <c r="I48" s="257"/>
      <c r="J48" s="257"/>
      <c r="K48" s="258"/>
      <c r="L48" s="268" t="str">
        <f>IFERROR(VLOOKUP(基本資料填寫!$E$1&amp;"-"&amp;ROW(書籍檔建置!P29),基本資料填寫!$E:$EU,COLUMN(基本資料填寫!T29),0),"")</f>
        <v/>
      </c>
      <c r="M48" s="268" t="str">
        <f>IFERROR(VLOOKUP(基本資料填寫!$E$1&amp;"-"&amp;ROW(書籍檔建置!R29),基本資料填寫!$E:$EU,COLUMN(基本資料填寫!V29),0),"")</f>
        <v/>
      </c>
      <c r="N48" s="259"/>
      <c r="O48" s="262"/>
      <c r="P48" s="262"/>
      <c r="Q48" s="262"/>
      <c r="R48" s="262"/>
      <c r="S48" s="262"/>
      <c r="T48" s="137"/>
    </row>
    <row r="49" spans="1:20" ht="16.2" x14ac:dyDescent="0.3">
      <c r="A49" s="277" t="str">
        <f>IFERROR(VLOOKUP(基本資料填寫!$E$1&amp;"-"&amp;ROW(書籍檔建置!G30),基本資料填寫!$E:$EU,COLUMN(基本資料填寫!K30),0),"")</f>
        <v/>
      </c>
      <c r="B49" s="278" t="str">
        <f>IFERROR(VLOOKUP(基本資料填寫!$E$1&amp;"-"&amp;ROW(書籍檔建置!CD30),基本資料填寫!$E:$EU,COLUMN(基本資料填寫!CH30),0),"")</f>
        <v/>
      </c>
      <c r="C49" s="334" t="str">
        <f>IFERROR(VLOOKUP(基本資料填寫!$E$1&amp;"-"&amp;ROW(書籍檔建置!I30),基本資料填寫!$E:$EU,COLUMN(基本資料填寫!M30),0),"")</f>
        <v/>
      </c>
      <c r="D49" s="334"/>
      <c r="E49" s="335" t="str">
        <f>IFERROR(VLOOKUP(基本資料填寫!$E$1&amp;"-"&amp;ROW(書籍檔建置!O30),基本資料填寫!$E:$EU,COLUMN(基本資料填寫!S30),0),"")</f>
        <v/>
      </c>
      <c r="F49" s="335"/>
      <c r="G49" s="257"/>
      <c r="H49" s="257"/>
      <c r="I49" s="257"/>
      <c r="J49" s="257"/>
      <c r="K49" s="258"/>
      <c r="L49" s="268" t="str">
        <f>IFERROR(VLOOKUP(基本資料填寫!$E$1&amp;"-"&amp;ROW(書籍檔建置!P30),基本資料填寫!$E:$EU,COLUMN(基本資料填寫!T30),0),"")</f>
        <v/>
      </c>
      <c r="M49" s="268" t="str">
        <f>IFERROR(VLOOKUP(基本資料填寫!$E$1&amp;"-"&amp;ROW(書籍檔建置!R30),基本資料填寫!$E:$EU,COLUMN(基本資料填寫!V30),0),"")</f>
        <v/>
      </c>
      <c r="N49" s="259"/>
      <c r="O49" s="262"/>
      <c r="P49" s="262"/>
      <c r="Q49" s="262"/>
      <c r="R49" s="262"/>
      <c r="S49" s="262"/>
      <c r="T49" s="137"/>
    </row>
    <row r="50" spans="1:20" ht="16.2" x14ac:dyDescent="0.3">
      <c r="A50" s="277" t="str">
        <f>IFERROR(VLOOKUP(基本資料填寫!$E$1&amp;"-"&amp;ROW(書籍檔建置!G31),基本資料填寫!$E:$EU,COLUMN(基本資料填寫!K31),0),"")</f>
        <v/>
      </c>
      <c r="B50" s="278" t="str">
        <f>IFERROR(VLOOKUP(基本資料填寫!$E$1&amp;"-"&amp;ROW(書籍檔建置!CD31),基本資料填寫!$E:$EU,COLUMN(基本資料填寫!CH31),0),"")</f>
        <v/>
      </c>
      <c r="C50" s="334" t="str">
        <f>IFERROR(VLOOKUP(基本資料填寫!$E$1&amp;"-"&amp;ROW(書籍檔建置!I31),基本資料填寫!$E:$EU,COLUMN(基本資料填寫!M31),0),"")</f>
        <v/>
      </c>
      <c r="D50" s="334"/>
      <c r="E50" s="335" t="str">
        <f>IFERROR(VLOOKUP(基本資料填寫!$E$1&amp;"-"&amp;ROW(書籍檔建置!O31),基本資料填寫!$E:$EU,COLUMN(基本資料填寫!S31),0),"")</f>
        <v/>
      </c>
      <c r="F50" s="335"/>
      <c r="G50" s="257"/>
      <c r="H50" s="257"/>
      <c r="I50" s="257"/>
      <c r="J50" s="257"/>
      <c r="K50" s="258"/>
      <c r="L50" s="268" t="str">
        <f>IFERROR(VLOOKUP(基本資料填寫!$E$1&amp;"-"&amp;ROW(書籍檔建置!P31),基本資料填寫!$E:$EU,COLUMN(基本資料填寫!T31),0),"")</f>
        <v/>
      </c>
      <c r="M50" s="268" t="str">
        <f>IFERROR(VLOOKUP(基本資料填寫!$E$1&amp;"-"&amp;ROW(書籍檔建置!R31),基本資料填寫!$E:$EU,COLUMN(基本資料填寫!V31),0),"")</f>
        <v/>
      </c>
      <c r="N50" s="259"/>
      <c r="O50" s="262"/>
      <c r="P50" s="262"/>
      <c r="Q50" s="262"/>
      <c r="R50" s="262"/>
      <c r="S50" s="262"/>
      <c r="T50" s="137"/>
    </row>
    <row r="51" spans="1:20" ht="16.2" x14ac:dyDescent="0.3">
      <c r="A51" s="277" t="str">
        <f>IFERROR(VLOOKUP(基本資料填寫!$E$1&amp;"-"&amp;ROW(書籍檔建置!G32),基本資料填寫!$E:$EU,COLUMN(基本資料填寫!K32),0),"")</f>
        <v/>
      </c>
      <c r="B51" s="278" t="str">
        <f>IFERROR(VLOOKUP(基本資料填寫!$E$1&amp;"-"&amp;ROW(書籍檔建置!CD32),基本資料填寫!$E:$EU,COLUMN(基本資料填寫!CH32),0),"")</f>
        <v/>
      </c>
      <c r="C51" s="334" t="str">
        <f>IFERROR(VLOOKUP(基本資料填寫!$E$1&amp;"-"&amp;ROW(書籍檔建置!I32),基本資料填寫!$E:$EU,COLUMN(基本資料填寫!M32),0),"")</f>
        <v/>
      </c>
      <c r="D51" s="334"/>
      <c r="E51" s="335" t="str">
        <f>IFERROR(VLOOKUP(基本資料填寫!$E$1&amp;"-"&amp;ROW(書籍檔建置!O32),基本資料填寫!$E:$EU,COLUMN(基本資料填寫!S32),0),"")</f>
        <v/>
      </c>
      <c r="F51" s="335"/>
      <c r="G51" s="257"/>
      <c r="H51" s="257"/>
      <c r="I51" s="257"/>
      <c r="J51" s="257"/>
      <c r="K51" s="258"/>
      <c r="L51" s="268" t="str">
        <f>IFERROR(VLOOKUP(基本資料填寫!$E$1&amp;"-"&amp;ROW(書籍檔建置!P32),基本資料填寫!$E:$EU,COLUMN(基本資料填寫!T32),0),"")</f>
        <v/>
      </c>
      <c r="M51" s="268" t="str">
        <f>IFERROR(VLOOKUP(基本資料填寫!$E$1&amp;"-"&amp;ROW(書籍檔建置!R32),基本資料填寫!$E:$EU,COLUMN(基本資料填寫!V32),0),"")</f>
        <v/>
      </c>
      <c r="N51" s="262"/>
      <c r="O51" s="262"/>
      <c r="P51" s="262"/>
      <c r="Q51" s="262"/>
      <c r="R51" s="262"/>
      <c r="S51" s="262"/>
      <c r="T51" s="137"/>
    </row>
    <row r="52" spans="1:20" ht="16.2" x14ac:dyDescent="0.3">
      <c r="A52" s="277" t="str">
        <f>IFERROR(VLOOKUP(基本資料填寫!$E$1&amp;"-"&amp;ROW(書籍檔建置!G33),基本資料填寫!$E:$EU,COLUMN(基本資料填寫!K33),0),"")</f>
        <v/>
      </c>
      <c r="B52" s="278" t="str">
        <f>IFERROR(VLOOKUP(基本資料填寫!$E$1&amp;"-"&amp;ROW(書籍檔建置!CD33),基本資料填寫!$E:$EU,COLUMN(基本資料填寫!CH33),0),"")</f>
        <v/>
      </c>
      <c r="C52" s="334" t="str">
        <f>IFERROR(VLOOKUP(基本資料填寫!$E$1&amp;"-"&amp;ROW(書籍檔建置!I33),基本資料填寫!$E:$EU,COLUMN(基本資料填寫!M33),0),"")</f>
        <v/>
      </c>
      <c r="D52" s="334"/>
      <c r="E52" s="335" t="str">
        <f>IFERROR(VLOOKUP(基本資料填寫!$E$1&amp;"-"&amp;ROW(書籍檔建置!O33),基本資料填寫!$E:$EU,COLUMN(基本資料填寫!S33),0),"")</f>
        <v/>
      </c>
      <c r="F52" s="335"/>
      <c r="G52" s="267"/>
      <c r="H52" s="267"/>
      <c r="I52" s="267"/>
      <c r="J52" s="267"/>
      <c r="K52" s="258"/>
      <c r="L52" s="268" t="str">
        <f>IFERROR(VLOOKUP(基本資料填寫!$E$1&amp;"-"&amp;ROW(書籍檔建置!P33),基本資料填寫!$E:$EU,COLUMN(基本資料填寫!T33),0),"")</f>
        <v/>
      </c>
      <c r="M52" s="268" t="str">
        <f>IFERROR(VLOOKUP(基本資料填寫!$E$1&amp;"-"&amp;ROW(書籍檔建置!R33),基本資料填寫!$E:$EU,COLUMN(基本資料填寫!V33),0),"")</f>
        <v/>
      </c>
      <c r="N52" s="262"/>
      <c r="O52" s="262"/>
      <c r="P52" s="262"/>
      <c r="Q52" s="262"/>
      <c r="R52" s="262"/>
      <c r="S52" s="262"/>
      <c r="T52" s="137"/>
    </row>
    <row r="53" spans="1:20" ht="16.2" x14ac:dyDescent="0.3">
      <c r="A53" s="277" t="str">
        <f>IFERROR(VLOOKUP(基本資料填寫!$E$1&amp;"-"&amp;ROW(書籍檔建置!G34),基本資料填寫!$E:$EU,COLUMN(基本資料填寫!K34),0),"")</f>
        <v/>
      </c>
      <c r="B53" s="278" t="str">
        <f>IFERROR(VLOOKUP(基本資料填寫!$E$1&amp;"-"&amp;ROW(書籍檔建置!CD34),基本資料填寫!$E:$EU,COLUMN(基本資料填寫!CH34),0),"")</f>
        <v/>
      </c>
      <c r="C53" s="334" t="str">
        <f>IFERROR(VLOOKUP(基本資料填寫!$E$1&amp;"-"&amp;ROW(書籍檔建置!I34),基本資料填寫!$E:$EU,COLUMN(基本資料填寫!M34),0),"")</f>
        <v/>
      </c>
      <c r="D53" s="334"/>
      <c r="E53" s="335" t="str">
        <f>IFERROR(VLOOKUP(基本資料填寫!$E$1&amp;"-"&amp;ROW(書籍檔建置!O34),基本資料填寫!$E:$EU,COLUMN(基本資料填寫!S34),0),"")</f>
        <v/>
      </c>
      <c r="F53" s="335"/>
      <c r="G53" s="258"/>
      <c r="H53" s="258"/>
      <c r="I53" s="258"/>
      <c r="J53" s="258"/>
      <c r="K53" s="258"/>
      <c r="L53" s="268" t="str">
        <f>IFERROR(VLOOKUP(基本資料填寫!$E$1&amp;"-"&amp;ROW(書籍檔建置!P34),基本資料填寫!$E:$EU,COLUMN(基本資料填寫!T34),0),"")</f>
        <v/>
      </c>
      <c r="M53" s="268" t="str">
        <f>IFERROR(VLOOKUP(基本資料填寫!$E$1&amp;"-"&amp;ROW(書籍檔建置!R34),基本資料填寫!$E:$EU,COLUMN(基本資料填寫!V34),0),"")</f>
        <v/>
      </c>
      <c r="N53" s="262"/>
      <c r="O53" s="262"/>
      <c r="P53" s="262"/>
      <c r="Q53" s="262"/>
      <c r="R53" s="262"/>
      <c r="S53" s="262"/>
      <c r="T53" s="137"/>
    </row>
    <row r="54" spans="1:20" ht="16.2" x14ac:dyDescent="0.3">
      <c r="A54" s="277" t="str">
        <f>IFERROR(VLOOKUP(基本資料填寫!$E$1&amp;"-"&amp;ROW(書籍檔建置!G35),基本資料填寫!$E:$EU,COLUMN(基本資料填寫!K35),0),"")</f>
        <v/>
      </c>
      <c r="B54" s="278" t="str">
        <f>IFERROR(VLOOKUP(基本資料填寫!$E$1&amp;"-"&amp;ROW(書籍檔建置!CD35),基本資料填寫!$E:$EU,COLUMN(基本資料填寫!CH35),0),"")</f>
        <v/>
      </c>
      <c r="C54" s="334" t="str">
        <f>IFERROR(VLOOKUP(基本資料填寫!$E$1&amp;"-"&amp;ROW(書籍檔建置!I35),基本資料填寫!$E:$EU,COLUMN(基本資料填寫!M35),0),"")</f>
        <v/>
      </c>
      <c r="D54" s="334"/>
      <c r="E54" s="335" t="str">
        <f>IFERROR(VLOOKUP(基本資料填寫!$E$1&amp;"-"&amp;ROW(書籍檔建置!O35),基本資料填寫!$E:$EU,COLUMN(基本資料填寫!S35),0),"")</f>
        <v/>
      </c>
      <c r="F54" s="335"/>
      <c r="G54" s="258"/>
      <c r="H54" s="258"/>
      <c r="I54" s="258"/>
      <c r="J54" s="258"/>
      <c r="K54" s="258"/>
      <c r="L54" s="268" t="str">
        <f>IFERROR(VLOOKUP(基本資料填寫!$E$1&amp;"-"&amp;ROW(書籍檔建置!P35),基本資料填寫!$E:$EU,COLUMN(基本資料填寫!T35),0),"")</f>
        <v/>
      </c>
      <c r="M54" s="268" t="str">
        <f>IFERROR(VLOOKUP(基本資料填寫!$E$1&amp;"-"&amp;ROW(書籍檔建置!R35),基本資料填寫!$E:$EU,COLUMN(基本資料填寫!V35),0),"")</f>
        <v/>
      </c>
      <c r="N54" s="262"/>
      <c r="O54" s="262"/>
      <c r="P54" s="262"/>
      <c r="Q54" s="262"/>
      <c r="R54" s="262"/>
      <c r="S54" s="262"/>
      <c r="T54" s="137"/>
    </row>
    <row r="55" spans="1:20" ht="16.2" x14ac:dyDescent="0.3">
      <c r="A55" s="277" t="str">
        <f>IFERROR(VLOOKUP(基本資料填寫!$E$1&amp;"-"&amp;ROW(書籍檔建置!G36),基本資料填寫!$E:$EU,COLUMN(基本資料填寫!K36),0),"")</f>
        <v/>
      </c>
      <c r="B55" s="278" t="str">
        <f>IFERROR(VLOOKUP(基本資料填寫!$E$1&amp;"-"&amp;ROW(書籍檔建置!CD36),基本資料填寫!$E:$EU,COLUMN(基本資料填寫!CH36),0),"")</f>
        <v/>
      </c>
      <c r="C55" s="334" t="str">
        <f>IFERROR(VLOOKUP(基本資料填寫!$E$1&amp;"-"&amp;ROW(書籍檔建置!I36),基本資料填寫!$E:$EU,COLUMN(基本資料填寫!M36),0),"")</f>
        <v/>
      </c>
      <c r="D55" s="334"/>
      <c r="E55" s="335" t="str">
        <f>IFERROR(VLOOKUP(基本資料填寫!$E$1&amp;"-"&amp;ROW(書籍檔建置!O36),基本資料填寫!$E:$EU,COLUMN(基本資料填寫!S36),0),"")</f>
        <v/>
      </c>
      <c r="F55" s="335"/>
      <c r="G55" s="258"/>
      <c r="H55" s="258"/>
      <c r="I55" s="258"/>
      <c r="J55" s="258"/>
      <c r="K55" s="258"/>
      <c r="L55" s="268" t="str">
        <f>IFERROR(VLOOKUP(基本資料填寫!$E$1&amp;"-"&amp;ROW(書籍檔建置!P36),基本資料填寫!$E:$EU,COLUMN(基本資料填寫!T36),0),"")</f>
        <v/>
      </c>
      <c r="M55" s="268" t="str">
        <f>IFERROR(VLOOKUP(基本資料填寫!$E$1&amp;"-"&amp;ROW(書籍檔建置!R36),基本資料填寫!$E:$EU,COLUMN(基本資料填寫!V36),0),"")</f>
        <v/>
      </c>
      <c r="N55" s="262"/>
      <c r="O55" s="262"/>
      <c r="P55" s="262"/>
      <c r="Q55" s="262"/>
      <c r="R55" s="262"/>
      <c r="S55" s="262"/>
      <c r="T55" s="137"/>
    </row>
    <row r="56" spans="1:20" ht="16.2" x14ac:dyDescent="0.3">
      <c r="A56" s="277" t="str">
        <f>IFERROR(VLOOKUP(基本資料填寫!$E$1&amp;"-"&amp;ROW(書籍檔建置!G37),基本資料填寫!$E:$EU,COLUMN(基本資料填寫!K37),0),"")</f>
        <v/>
      </c>
      <c r="B56" s="278" t="str">
        <f>IFERROR(VLOOKUP(基本資料填寫!$E$1&amp;"-"&amp;ROW(書籍檔建置!CD37),基本資料填寫!$E:$EU,COLUMN(基本資料填寫!CH37),0),"")</f>
        <v/>
      </c>
      <c r="C56" s="334" t="str">
        <f>IFERROR(VLOOKUP(基本資料填寫!$E$1&amp;"-"&amp;ROW(書籍檔建置!I37),基本資料填寫!$E:$EU,COLUMN(基本資料填寫!M37),0),"")</f>
        <v/>
      </c>
      <c r="D56" s="334"/>
      <c r="E56" s="335" t="str">
        <f>IFERROR(VLOOKUP(基本資料填寫!$E$1&amp;"-"&amp;ROW(書籍檔建置!O37),基本資料填寫!$E:$EU,COLUMN(基本資料填寫!S37),0),"")</f>
        <v/>
      </c>
      <c r="F56" s="335"/>
      <c r="G56" s="258"/>
      <c r="H56" s="258"/>
      <c r="I56" s="258"/>
      <c r="J56" s="258"/>
      <c r="K56" s="258"/>
      <c r="L56" s="268" t="str">
        <f>IFERROR(VLOOKUP(基本資料填寫!$E$1&amp;"-"&amp;ROW(書籍檔建置!P37),基本資料填寫!$E:$EU,COLUMN(基本資料填寫!T37),0),"")</f>
        <v/>
      </c>
      <c r="M56" s="268" t="str">
        <f>IFERROR(VLOOKUP(基本資料填寫!$E$1&amp;"-"&amp;ROW(書籍檔建置!R37),基本資料填寫!$E:$EU,COLUMN(基本資料填寫!V37),0),"")</f>
        <v/>
      </c>
      <c r="N56" s="262"/>
      <c r="O56" s="262"/>
      <c r="P56" s="262"/>
      <c r="Q56" s="262"/>
      <c r="R56" s="262"/>
      <c r="S56" s="262"/>
      <c r="T56" s="137"/>
    </row>
    <row r="57" spans="1:20" ht="16.2" x14ac:dyDescent="0.3">
      <c r="A57" s="277" t="str">
        <f>IFERROR(VLOOKUP(基本資料填寫!$E$1&amp;"-"&amp;ROW(書籍檔建置!G38),基本資料填寫!$E:$EU,COLUMN(基本資料填寫!K38),0),"")</f>
        <v/>
      </c>
      <c r="B57" s="278" t="str">
        <f>IFERROR(VLOOKUP(基本資料填寫!$E$1&amp;"-"&amp;ROW(書籍檔建置!CD38),基本資料填寫!$E:$EU,COLUMN(基本資料填寫!CH38),0),"")</f>
        <v/>
      </c>
      <c r="C57" s="334" t="str">
        <f>IFERROR(VLOOKUP(基本資料填寫!$E$1&amp;"-"&amp;ROW(書籍檔建置!I38),基本資料填寫!$E:$EU,COLUMN(基本資料填寫!M38),0),"")</f>
        <v/>
      </c>
      <c r="D57" s="334"/>
      <c r="E57" s="335" t="str">
        <f>IFERROR(VLOOKUP(基本資料填寫!$E$1&amp;"-"&amp;ROW(書籍檔建置!O38),基本資料填寫!$E:$EU,COLUMN(基本資料填寫!S38),0),"")</f>
        <v/>
      </c>
      <c r="F57" s="335"/>
      <c r="G57" s="258"/>
      <c r="H57" s="258"/>
      <c r="I57" s="258"/>
      <c r="J57" s="258"/>
      <c r="K57" s="258"/>
      <c r="L57" s="268" t="str">
        <f>IFERROR(VLOOKUP(基本資料填寫!$E$1&amp;"-"&amp;ROW(書籍檔建置!P38),基本資料填寫!$E:$EU,COLUMN(基本資料填寫!T38),0),"")</f>
        <v/>
      </c>
      <c r="M57" s="268" t="str">
        <f>IFERROR(VLOOKUP(基本資料填寫!$E$1&amp;"-"&amp;ROW(書籍檔建置!R38),基本資料填寫!$E:$EU,COLUMN(基本資料填寫!V38),0),"")</f>
        <v/>
      </c>
      <c r="N57" s="262"/>
      <c r="O57" s="262"/>
      <c r="P57" s="262"/>
      <c r="Q57" s="262"/>
      <c r="R57" s="262"/>
      <c r="S57" s="262"/>
      <c r="T57" s="137"/>
    </row>
    <row r="58" spans="1:20" ht="16.2" x14ac:dyDescent="0.3">
      <c r="A58" s="277" t="str">
        <f>IFERROR(VLOOKUP(基本資料填寫!$E$1&amp;"-"&amp;ROW(書籍檔建置!G39),基本資料填寫!$E:$EU,COLUMN(基本資料填寫!K39),0),"")</f>
        <v/>
      </c>
      <c r="B58" s="278" t="str">
        <f>IFERROR(VLOOKUP(基本資料填寫!$E$1&amp;"-"&amp;ROW(書籍檔建置!CD39),基本資料填寫!$E:$EU,COLUMN(基本資料填寫!CH39),0),"")</f>
        <v/>
      </c>
      <c r="C58" s="334" t="str">
        <f>IFERROR(VLOOKUP(基本資料填寫!$E$1&amp;"-"&amp;ROW(書籍檔建置!I39),基本資料填寫!$E:$EU,COLUMN(基本資料填寫!M39),0),"")</f>
        <v/>
      </c>
      <c r="D58" s="334"/>
      <c r="E58" s="335" t="str">
        <f>IFERROR(VLOOKUP(基本資料填寫!$E$1&amp;"-"&amp;ROW(書籍檔建置!O39),基本資料填寫!$E:$EU,COLUMN(基本資料填寫!S39),0),"")</f>
        <v/>
      </c>
      <c r="F58" s="335"/>
      <c r="G58" s="258"/>
      <c r="H58" s="258"/>
      <c r="I58" s="258"/>
      <c r="J58" s="258"/>
      <c r="K58" s="258"/>
      <c r="L58" s="268" t="str">
        <f>IFERROR(VLOOKUP(基本資料填寫!$E$1&amp;"-"&amp;ROW(書籍檔建置!P39),基本資料填寫!$E:$EU,COLUMN(基本資料填寫!T39),0),"")</f>
        <v/>
      </c>
      <c r="M58" s="268" t="str">
        <f>IFERROR(VLOOKUP(基本資料填寫!$E$1&amp;"-"&amp;ROW(書籍檔建置!R39),基本資料填寫!$E:$EU,COLUMN(基本資料填寫!V39),0),"")</f>
        <v/>
      </c>
      <c r="N58" s="262"/>
      <c r="O58" s="262"/>
      <c r="P58" s="262"/>
      <c r="Q58" s="262"/>
      <c r="R58" s="262"/>
      <c r="S58" s="262"/>
      <c r="T58" s="137"/>
    </row>
    <row r="59" spans="1:20" ht="16.2" x14ac:dyDescent="0.3">
      <c r="A59" s="279" t="str">
        <f>IFERROR(VLOOKUP(基本資料填寫!$E$1&amp;"-"&amp;ROW(書籍檔建置!G40),基本資料填寫!$E:$EU,COLUMN(基本資料填寫!K40),0),"")</f>
        <v/>
      </c>
      <c r="B59" s="280" t="str">
        <f>IFERROR(VLOOKUP(基本資料填寫!$E$1&amp;"-"&amp;ROW(書籍檔建置!CD40),基本資料填寫!$E:$EU,COLUMN(基本資料填寫!CH40),0),"")</f>
        <v/>
      </c>
      <c r="C59" s="336" t="str">
        <f>IFERROR(VLOOKUP(基本資料填寫!$E$1&amp;"-"&amp;ROW(書籍檔建置!I40),基本資料填寫!$E:$EU,COLUMN(基本資料填寫!M40),0),"")</f>
        <v/>
      </c>
      <c r="D59" s="336"/>
      <c r="E59" s="335" t="str">
        <f>IFERROR(VLOOKUP(基本資料填寫!$E$1&amp;"-"&amp;ROW(書籍檔建置!O40),基本資料填寫!$E:$EU,COLUMN(基本資料填寫!S40),0),"")</f>
        <v/>
      </c>
      <c r="F59" s="335"/>
      <c r="G59" s="258"/>
      <c r="H59" s="258"/>
      <c r="I59" s="258"/>
      <c r="J59" s="273"/>
      <c r="K59" s="273"/>
      <c r="L59" s="269" t="str">
        <f>IFERROR(VLOOKUP(基本資料填寫!$E$1&amp;"-"&amp;ROW(書籍檔建置!P40),基本資料填寫!$E:$EU,COLUMN(基本資料填寫!T40),0),"")</f>
        <v/>
      </c>
      <c r="M59" s="269" t="str">
        <f>IFERROR(VLOOKUP(基本資料填寫!$E$1&amp;"-"&amp;ROW(書籍檔建置!R40),基本資料填寫!$E:$EU,COLUMN(基本資料填寫!V40),0),"")</f>
        <v/>
      </c>
      <c r="N59" s="274"/>
      <c r="O59" s="274"/>
      <c r="P59" s="274"/>
      <c r="Q59" s="274"/>
      <c r="R59" s="274"/>
      <c r="S59" s="262"/>
      <c r="T59" s="137"/>
    </row>
    <row r="60" spans="1:20" ht="34.950000000000003" customHeight="1" x14ac:dyDescent="0.3">
      <c r="A60" s="326" t="s">
        <v>161</v>
      </c>
      <c r="B60" s="326"/>
      <c r="C60" s="255" t="s">
        <v>156</v>
      </c>
      <c r="D60" s="327" t="s">
        <v>162</v>
      </c>
      <c r="E60" s="328"/>
      <c r="F60" s="329"/>
      <c r="G60" s="331" t="s">
        <v>142</v>
      </c>
      <c r="H60" s="331" t="s">
        <v>143</v>
      </c>
      <c r="I60" s="331" t="s">
        <v>144</v>
      </c>
      <c r="J60" s="331" t="s">
        <v>145</v>
      </c>
      <c r="K60" s="331" t="s">
        <v>146</v>
      </c>
      <c r="L60" s="331" t="s">
        <v>147</v>
      </c>
      <c r="M60" s="331" t="s">
        <v>148</v>
      </c>
      <c r="N60" s="263">
        <v>1</v>
      </c>
      <c r="O60" s="263">
        <v>2</v>
      </c>
      <c r="P60" s="263">
        <v>3</v>
      </c>
      <c r="Q60" s="263">
        <v>4</v>
      </c>
      <c r="R60" s="263" t="s">
        <v>151</v>
      </c>
      <c r="S60" s="263" t="s">
        <v>152</v>
      </c>
      <c r="T60" s="263" t="s">
        <v>153</v>
      </c>
    </row>
    <row r="61" spans="1:20" x14ac:dyDescent="0.3">
      <c r="A61" s="255" t="s">
        <v>163</v>
      </c>
      <c r="B61" s="264">
        <v>418</v>
      </c>
      <c r="C61" s="333" t="s">
        <v>164</v>
      </c>
      <c r="D61" s="333"/>
      <c r="E61" s="333"/>
      <c r="F61" s="333"/>
      <c r="G61" s="332"/>
      <c r="H61" s="332"/>
      <c r="I61" s="332"/>
      <c r="J61" s="332"/>
      <c r="K61" s="332"/>
      <c r="L61" s="332"/>
      <c r="M61" s="332"/>
      <c r="N61" s="330" t="str">
        <f>基本資料填寫!$CP$2</f>
        <v>27NYE0823</v>
      </c>
      <c r="O61" s="330"/>
      <c r="P61" s="330"/>
      <c r="Q61" s="330"/>
      <c r="R61" s="330"/>
      <c r="S61" s="265" t="s">
        <v>834</v>
      </c>
      <c r="T61" s="266"/>
    </row>
    <row r="62" spans="1:20" ht="49.2" customHeight="1" x14ac:dyDescent="0.3">
      <c r="A62" s="255" t="s">
        <v>165</v>
      </c>
      <c r="B62" s="255" t="s">
        <v>166</v>
      </c>
      <c r="C62" s="333"/>
      <c r="D62" s="333"/>
      <c r="E62" s="333"/>
      <c r="F62" s="333"/>
      <c r="G62" s="332"/>
      <c r="H62" s="332"/>
      <c r="I62" s="332"/>
      <c r="J62" s="332"/>
      <c r="K62" s="332"/>
      <c r="L62" s="332"/>
      <c r="M62" s="332"/>
      <c r="N62" s="326" t="s">
        <v>137</v>
      </c>
      <c r="O62" s="326"/>
      <c r="P62" s="326"/>
      <c r="Q62" s="326"/>
      <c r="R62" s="326"/>
      <c r="S62" s="255" t="s">
        <v>138</v>
      </c>
      <c r="T62" s="255" t="s">
        <v>139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L60:L62"/>
    <mergeCell ref="M60:M62"/>
    <mergeCell ref="C61:F62"/>
    <mergeCell ref="N61:R61"/>
    <mergeCell ref="N62:R62"/>
    <mergeCell ref="G60:G62"/>
    <mergeCell ref="H60:H62"/>
    <mergeCell ref="I60:I62"/>
    <mergeCell ref="J60:J62"/>
    <mergeCell ref="K60:K62"/>
    <mergeCell ref="C58:D58"/>
    <mergeCell ref="E58:F58"/>
    <mergeCell ref="C59:D59"/>
    <mergeCell ref="E59:F59"/>
    <mergeCell ref="A60:B60"/>
    <mergeCell ref="D60:F60"/>
    <mergeCell ref="C55:D55"/>
    <mergeCell ref="E55:F55"/>
    <mergeCell ref="C56:D56"/>
    <mergeCell ref="E56:F56"/>
    <mergeCell ref="C57:D57"/>
    <mergeCell ref="E57:F57"/>
    <mergeCell ref="C52:D52"/>
    <mergeCell ref="E52:F52"/>
    <mergeCell ref="C53:D53"/>
    <mergeCell ref="E53:F53"/>
    <mergeCell ref="C54:D54"/>
    <mergeCell ref="E54:F54"/>
    <mergeCell ref="C49:D49"/>
    <mergeCell ref="E49:F49"/>
    <mergeCell ref="C50:D50"/>
    <mergeCell ref="E50:F50"/>
    <mergeCell ref="C51:D51"/>
    <mergeCell ref="E51:F51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40:D40"/>
    <mergeCell ref="E40:F40"/>
    <mergeCell ref="C41:D41"/>
    <mergeCell ref="E41:F41"/>
    <mergeCell ref="C42:D42"/>
    <mergeCell ref="E42:F42"/>
    <mergeCell ref="K36:K39"/>
    <mergeCell ref="L36:L39"/>
    <mergeCell ref="M36:M39"/>
    <mergeCell ref="A36:F38"/>
    <mergeCell ref="G36:G39"/>
    <mergeCell ref="H36:H39"/>
    <mergeCell ref="I36:I39"/>
    <mergeCell ref="J36:J39"/>
    <mergeCell ref="C39:D39"/>
    <mergeCell ref="E39:F39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  <mergeCell ref="A5:F7"/>
    <mergeCell ref="G5:G8"/>
    <mergeCell ref="H5:H8"/>
    <mergeCell ref="I5:I8"/>
    <mergeCell ref="J5:J8"/>
    <mergeCell ref="C8:D8"/>
    <mergeCell ref="E8:F8"/>
    <mergeCell ref="K5:K8"/>
    <mergeCell ref="L5:L8"/>
    <mergeCell ref="M5:M8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G29:G31"/>
    <mergeCell ref="C28:D28"/>
    <mergeCell ref="E28:F28"/>
    <mergeCell ref="C24:D24"/>
    <mergeCell ref="C27:D27"/>
    <mergeCell ref="E24:F24"/>
    <mergeCell ref="E27:F27"/>
    <mergeCell ref="C23:D23"/>
    <mergeCell ref="E23:F23"/>
    <mergeCell ref="C25:D25"/>
    <mergeCell ref="E25:F25"/>
    <mergeCell ref="C26:D26"/>
    <mergeCell ref="E26:F26"/>
    <mergeCell ref="A29:B29"/>
    <mergeCell ref="D29:F29"/>
    <mergeCell ref="N30:R30"/>
    <mergeCell ref="N31:R31"/>
    <mergeCell ref="I29:I31"/>
    <mergeCell ref="J29:J31"/>
    <mergeCell ref="K29:K31"/>
    <mergeCell ref="L29:L31"/>
    <mergeCell ref="M29:M31"/>
    <mergeCell ref="H29:H31"/>
    <mergeCell ref="C30:F31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4CB1-D946-4D8E-BD29-08E343E2FFD1}">
  <dimension ref="A1:T62"/>
  <sheetViews>
    <sheetView view="pageBreakPreview" zoomScale="70" zoomScaleNormal="100" zoomScaleSheetLayoutView="70" workbookViewId="0">
      <selection activeCell="H18" sqref="H18"/>
    </sheetView>
  </sheetViews>
  <sheetFormatPr defaultColWidth="8.88671875" defaultRowHeight="15.6" x14ac:dyDescent="0.3"/>
  <cols>
    <col min="1" max="1" width="18.6640625" style="254" customWidth="1"/>
    <col min="2" max="2" width="11" style="136" customWidth="1"/>
    <col min="3" max="3" width="45.88671875" style="136" customWidth="1"/>
    <col min="4" max="4" width="2.109375" style="136" customWidth="1"/>
    <col min="5" max="5" width="11" style="136" customWidth="1"/>
    <col min="6" max="6" width="9.77734375" style="136" customWidth="1"/>
    <col min="7" max="11" width="3.109375" style="136" customWidth="1"/>
    <col min="12" max="12" width="5.77734375" style="136" customWidth="1"/>
    <col min="13" max="13" width="3.5546875" style="136" customWidth="1"/>
    <col min="14" max="17" width="3.77734375" style="136" customWidth="1"/>
    <col min="18" max="18" width="6.77734375" style="136" customWidth="1"/>
    <col min="19" max="19" width="11.44140625" style="136" customWidth="1"/>
    <col min="20" max="20" width="11.109375" style="136" customWidth="1"/>
    <col min="21" max="16384" width="8.88671875" style="136"/>
  </cols>
  <sheetData>
    <row r="1" spans="1:20" ht="19.8" x14ac:dyDescent="0.3">
      <c r="A1" s="350" t="s">
        <v>177</v>
      </c>
      <c r="B1" s="351"/>
      <c r="C1" s="351"/>
      <c r="D1" s="351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3"/>
    </row>
    <row r="2" spans="1:20" ht="18" customHeight="1" x14ac:dyDescent="0.3">
      <c r="A2" s="354" t="s">
        <v>133</v>
      </c>
      <c r="B2" s="355"/>
      <c r="C2" s="356"/>
      <c r="D2" s="357" t="s">
        <v>134</v>
      </c>
      <c r="E2" s="358"/>
      <c r="F2" s="255" t="s">
        <v>135</v>
      </c>
      <c r="G2" s="327" t="s">
        <v>136</v>
      </c>
      <c r="H2" s="328"/>
      <c r="I2" s="328"/>
      <c r="J2" s="328"/>
      <c r="K2" s="328"/>
      <c r="L2" s="328"/>
      <c r="M2" s="328"/>
      <c r="N2" s="327" t="s">
        <v>137</v>
      </c>
      <c r="O2" s="328"/>
      <c r="P2" s="328"/>
      <c r="Q2" s="328"/>
      <c r="R2" s="329"/>
      <c r="S2" s="255" t="s">
        <v>138</v>
      </c>
      <c r="T2" s="255" t="s">
        <v>139</v>
      </c>
    </row>
    <row r="3" spans="1:20" ht="18" customHeight="1" x14ac:dyDescent="0.3">
      <c r="A3" s="363" t="str">
        <f>基本資料填寫!$DU$2</f>
        <v>聲力電話系統Acoustic Telephone System</v>
      </c>
      <c r="B3" s="364"/>
      <c r="C3" s="365"/>
      <c r="D3" s="359"/>
      <c r="E3" s="360"/>
      <c r="F3" s="366" t="s">
        <v>140</v>
      </c>
      <c r="G3" s="368"/>
      <c r="H3" s="369"/>
      <c r="I3" s="369"/>
      <c r="J3" s="369"/>
      <c r="K3" s="369"/>
      <c r="L3" s="369"/>
      <c r="M3" s="369"/>
      <c r="N3" s="372" t="str">
        <f>基本資料填寫!$CP$2</f>
        <v>27NYE0823</v>
      </c>
      <c r="O3" s="373"/>
      <c r="P3" s="373"/>
      <c r="Q3" s="373"/>
      <c r="R3" s="374"/>
      <c r="S3" s="378" t="s">
        <v>141</v>
      </c>
      <c r="T3" s="380"/>
    </row>
    <row r="4" spans="1:20" ht="9" customHeight="1" x14ac:dyDescent="0.3">
      <c r="A4" s="382"/>
      <c r="B4" s="383"/>
      <c r="C4" s="384"/>
      <c r="D4" s="361"/>
      <c r="E4" s="362"/>
      <c r="F4" s="367"/>
      <c r="G4" s="370"/>
      <c r="H4" s="371"/>
      <c r="I4" s="371"/>
      <c r="J4" s="371"/>
      <c r="K4" s="371"/>
      <c r="L4" s="371"/>
      <c r="M4" s="371"/>
      <c r="N4" s="375"/>
      <c r="O4" s="376"/>
      <c r="P4" s="376"/>
      <c r="Q4" s="376"/>
      <c r="R4" s="377"/>
      <c r="S4" s="379"/>
      <c r="T4" s="381"/>
    </row>
    <row r="5" spans="1:20" ht="30.75" customHeight="1" x14ac:dyDescent="0.3">
      <c r="A5" s="344" t="s">
        <v>136</v>
      </c>
      <c r="B5" s="345"/>
      <c r="C5" s="345"/>
      <c r="D5" s="345"/>
      <c r="E5" s="345"/>
      <c r="F5" s="345"/>
      <c r="G5" s="337" t="s">
        <v>142</v>
      </c>
      <c r="H5" s="337" t="s">
        <v>143</v>
      </c>
      <c r="I5" s="337" t="s">
        <v>144</v>
      </c>
      <c r="J5" s="337" t="s">
        <v>145</v>
      </c>
      <c r="K5" s="337" t="s">
        <v>146</v>
      </c>
      <c r="L5" s="337" t="s">
        <v>147</v>
      </c>
      <c r="M5" s="337" t="s">
        <v>148</v>
      </c>
      <c r="N5" s="329" t="s">
        <v>149</v>
      </c>
      <c r="O5" s="326"/>
      <c r="P5" s="326"/>
      <c r="Q5" s="326"/>
      <c r="R5" s="326"/>
      <c r="S5" s="326"/>
      <c r="T5" s="326"/>
    </row>
    <row r="6" spans="1:20" ht="41.25" customHeight="1" x14ac:dyDescent="0.3">
      <c r="A6" s="346"/>
      <c r="B6" s="347"/>
      <c r="C6" s="347"/>
      <c r="D6" s="347"/>
      <c r="E6" s="347"/>
      <c r="F6" s="347"/>
      <c r="G6" s="338"/>
      <c r="H6" s="338"/>
      <c r="I6" s="338"/>
      <c r="J6" s="338"/>
      <c r="K6" s="338"/>
      <c r="L6" s="338"/>
      <c r="M6" s="338"/>
      <c r="N6" s="340" t="s">
        <v>150</v>
      </c>
      <c r="O6" s="341"/>
      <c r="P6" s="341"/>
      <c r="Q6" s="341"/>
      <c r="R6" s="341"/>
      <c r="S6" s="326"/>
      <c r="T6" s="326"/>
    </row>
    <row r="7" spans="1:20" ht="16.5" customHeight="1" x14ac:dyDescent="0.3">
      <c r="A7" s="346"/>
      <c r="B7" s="347"/>
      <c r="C7" s="347"/>
      <c r="D7" s="347"/>
      <c r="E7" s="347"/>
      <c r="F7" s="347"/>
      <c r="G7" s="338"/>
      <c r="H7" s="338"/>
      <c r="I7" s="338"/>
      <c r="J7" s="338"/>
      <c r="K7" s="338"/>
      <c r="L7" s="338"/>
      <c r="M7" s="338"/>
      <c r="N7" s="342">
        <v>1</v>
      </c>
      <c r="O7" s="342">
        <v>2</v>
      </c>
      <c r="P7" s="342">
        <v>3</v>
      </c>
      <c r="Q7" s="342">
        <v>4</v>
      </c>
      <c r="R7" s="342" t="s">
        <v>151</v>
      </c>
      <c r="S7" s="342" t="s">
        <v>152</v>
      </c>
      <c r="T7" s="342" t="s">
        <v>153</v>
      </c>
    </row>
    <row r="8" spans="1:20" x14ac:dyDescent="0.3">
      <c r="A8" s="253" t="s">
        <v>154</v>
      </c>
      <c r="B8" s="256" t="s">
        <v>155</v>
      </c>
      <c r="C8" s="348" t="s">
        <v>156</v>
      </c>
      <c r="D8" s="348"/>
      <c r="E8" s="348" t="s">
        <v>104</v>
      </c>
      <c r="F8" s="349"/>
      <c r="G8" s="339"/>
      <c r="H8" s="339"/>
      <c r="I8" s="339"/>
      <c r="J8" s="339"/>
      <c r="K8" s="339"/>
      <c r="L8" s="339"/>
      <c r="M8" s="339"/>
      <c r="N8" s="343"/>
      <c r="O8" s="343"/>
      <c r="P8" s="343"/>
      <c r="Q8" s="343"/>
      <c r="R8" s="343"/>
      <c r="S8" s="343"/>
      <c r="T8" s="343"/>
    </row>
    <row r="9" spans="1:20" ht="16.2" x14ac:dyDescent="0.3">
      <c r="A9" s="277" t="str">
        <f>IFERROR(VLOOKUP(基本資料填寫!$E$1&amp;"-"&amp;ROW(書籍檔建置!G1),基本資料填寫!$E:$EU,COLUMN(基本資料填寫!K1),0),"")</f>
        <v>TA-4CI</v>
      </c>
      <c r="B9" s="278" t="str">
        <f>IFERROR(VLOOKUP(基本資料填寫!$E$1&amp;"-"&amp;ROW(書籍檔建置!CD1),基本資料填寫!$E:$EU,COLUMN(基本資料填寫!CH1),0),"")</f>
        <v>A1973B</v>
      </c>
      <c r="C9" s="334" t="str">
        <f>IFERROR(VLOOKUP(基本資料填寫!$E$1&amp;"-"&amp;ROW(書籍檔建置!I1),基本資料填寫!$E:$EU,COLUMN(基本資料填寫!M1),0),"")</f>
        <v>聲力電話系統</v>
      </c>
      <c r="D9" s="334"/>
      <c r="E9" s="335" t="str">
        <f>IFERROR(VLOOKUP(基本資料填寫!$E$1&amp;"-"&amp;ROW(書籍檔建置!O1),基本資料填寫!$E:$EU,COLUMN(基本資料填寫!S1),0),"")</f>
        <v>5805YETL22090</v>
      </c>
      <c r="F9" s="335"/>
      <c r="G9" s="257" t="s">
        <v>157</v>
      </c>
      <c r="H9" s="257" t="s">
        <v>158</v>
      </c>
      <c r="I9" s="257" t="s">
        <v>123</v>
      </c>
      <c r="J9" s="257" t="s">
        <v>159</v>
      </c>
      <c r="K9" s="270"/>
      <c r="L9" s="271" t="str">
        <f>IFERROR(VLOOKUP(基本資料填寫!$E$1&amp;"-"&amp;ROW(書籍檔建置!P1),基本資料填寫!$E:$EU,COLUMN(基本資料填寫!T1),0),"")</f>
        <v>1</v>
      </c>
      <c r="M9" s="271" t="str">
        <f>IFERROR(VLOOKUP(基本資料填寫!$E$1&amp;"-"&amp;ROW(書籍檔建置!R1),基本資料填寫!$E:$EU,COLUMN(基本資料填寫!V1),0),"")</f>
        <v>EA</v>
      </c>
      <c r="N9" s="272" t="s">
        <v>160</v>
      </c>
      <c r="O9" s="260"/>
      <c r="P9" s="261"/>
      <c r="Q9" s="261"/>
      <c r="R9" s="261"/>
      <c r="S9" s="262"/>
      <c r="T9" s="137"/>
    </row>
    <row r="10" spans="1:20" ht="16.2" x14ac:dyDescent="0.3">
      <c r="A10" s="277" t="str">
        <f>IFERROR(VLOOKUP(基本資料填寫!$E$1&amp;"-"&amp;ROW(書籍檔建置!G2),基本資料填寫!$E:$EU,COLUMN(基本資料填寫!K2),0),"")</f>
        <v>455.029.4.21H</v>
      </c>
      <c r="B10" s="278" t="str">
        <f>IFERROR(VLOOKUP(基本資料填寫!$E$1&amp;"-"&amp;ROW(書籍檔建置!CD2),基本資料填寫!$E:$EU,COLUMN(基本資料填寫!CH2),0),"")</f>
        <v>A1973B</v>
      </c>
      <c r="C10" s="334" t="str">
        <f>IFERROR(VLOOKUP(基本資料填寫!$E$1&amp;"-"&amp;ROW(書籍檔建置!I2),基本資料填寫!$E:$EU,COLUMN(基本資料填寫!M2),0),"")</f>
        <v>12站壁掛式聲力電話(附H27A 插座)</v>
      </c>
      <c r="D10" s="334"/>
      <c r="E10" s="335" t="str">
        <f>IFERROR(VLOOKUP(基本資料填寫!$E$1&amp;"-"&amp;ROW(書籍檔建置!O2),基本資料填寫!$E:$EU,COLUMN(基本資料填寫!S2),0),"")</f>
        <v>5805YETL22088</v>
      </c>
      <c r="F10" s="335"/>
      <c r="G10" s="257" t="s">
        <v>157</v>
      </c>
      <c r="H10" s="257" t="s">
        <v>158</v>
      </c>
      <c r="I10" s="257" t="s">
        <v>123</v>
      </c>
      <c r="J10" s="257" t="s">
        <v>159</v>
      </c>
      <c r="K10" s="258"/>
      <c r="L10" s="268" t="str">
        <f>IFERROR(VLOOKUP(基本資料填寫!$E$1&amp;"-"&amp;ROW(書籍檔建置!P2),基本資料填寫!$E:$EU,COLUMN(基本資料填寫!T2),0),"")</f>
        <v>1</v>
      </c>
      <c r="M10" s="268" t="str">
        <f>IFERROR(VLOOKUP(基本資料填寫!$E$1&amp;"-"&amp;ROW(書籍檔建置!R2),基本資料填寫!$E:$EU,COLUMN(基本資料填寫!V2),0),"")</f>
        <v>EA</v>
      </c>
      <c r="N10" s="259" t="s">
        <v>160</v>
      </c>
      <c r="O10" s="259"/>
      <c r="P10" s="262"/>
      <c r="Q10" s="262"/>
      <c r="R10" s="262"/>
      <c r="S10" s="262"/>
      <c r="T10" s="137"/>
    </row>
    <row r="11" spans="1:20" ht="16.2" x14ac:dyDescent="0.3">
      <c r="A11" s="277" t="str">
        <f>IFERROR(VLOOKUP(基本資料填寫!$E$1&amp;"-"&amp;ROW(書籍檔建置!G3),基本資料填寫!$E:$EU,COLUMN(基本資料填寫!K3),0),"")</f>
        <v>455.031.4.16H</v>
      </c>
      <c r="B11" s="278" t="str">
        <f>IFERROR(VLOOKUP(基本資料填寫!$E$1&amp;"-"&amp;ROW(書籍檔建置!CD3),基本資料填寫!$E:$EU,COLUMN(基本資料填寫!CH3),0),"")</f>
        <v>A1973B</v>
      </c>
      <c r="C11" s="334" t="str">
        <f>IFERROR(VLOOKUP(基本資料填寫!$E$1&amp;"-"&amp;ROW(書籍檔建置!I3),基本資料填寫!$E:$EU,COLUMN(基本資料填寫!M3),0),"")</f>
        <v>24站壁掛式聲力電話(附H27A 插座)</v>
      </c>
      <c r="D11" s="334"/>
      <c r="E11" s="335" t="str">
        <f>IFERROR(VLOOKUP(基本資料填寫!$E$1&amp;"-"&amp;ROW(書籍檔建置!O3),基本資料填寫!$E:$EU,COLUMN(基本資料填寫!S3),0),"")</f>
        <v>5805YETL22087</v>
      </c>
      <c r="F11" s="335"/>
      <c r="G11" s="257"/>
      <c r="H11" s="257"/>
      <c r="I11" s="257"/>
      <c r="J11" s="257"/>
      <c r="K11" s="258"/>
      <c r="L11" s="268" t="str">
        <f>IFERROR(VLOOKUP(基本資料填寫!$E$1&amp;"-"&amp;ROW(書籍檔建置!P3),基本資料填寫!$E:$EU,COLUMN(基本資料填寫!T3),0),"")</f>
        <v>1</v>
      </c>
      <c r="M11" s="268" t="str">
        <f>IFERROR(VLOOKUP(基本資料填寫!$E$1&amp;"-"&amp;ROW(書籍檔建置!R3),基本資料填寫!$E:$EU,COLUMN(基本資料填寫!V3),0),"")</f>
        <v>EA</v>
      </c>
      <c r="N11" s="259"/>
      <c r="O11" s="259"/>
      <c r="P11" s="262"/>
      <c r="Q11" s="262"/>
      <c r="R11" s="262"/>
      <c r="S11" s="262"/>
      <c r="T11" s="137"/>
    </row>
    <row r="12" spans="1:20" ht="16.2" x14ac:dyDescent="0.3">
      <c r="A12" s="277" t="str">
        <f>IFERROR(VLOOKUP(基本資料填寫!$E$1&amp;"-"&amp;ROW(書籍檔建置!G4),基本資料填寫!$E:$EU,COLUMN(基本資料填寫!K4),0),"")</f>
        <v xml:space="preserve"> 455.005.7H</v>
      </c>
      <c r="B12" s="278" t="str">
        <f>IFERROR(VLOOKUP(基本資料填寫!$E$1&amp;"-"&amp;ROW(書籍檔建置!CD4),基本資料填寫!$E:$EU,COLUMN(基本資料填寫!CH4),0),"")</f>
        <v>A1973B</v>
      </c>
      <c r="C12" s="334" t="str">
        <f>IFERROR(VLOOKUP(基本資料填寫!$E$1&amp;"-"&amp;ROW(書籍檔建置!I4),基本資料填寫!$E:$EU,COLUMN(基本資料填寫!M4),0),"")</f>
        <v>12站埋入式聲力電話(附H27A 插座)</v>
      </c>
      <c r="D12" s="334"/>
      <c r="E12" s="335" t="str">
        <f>IFERROR(VLOOKUP(基本資料填寫!$E$1&amp;"-"&amp;ROW(書籍檔建置!O4),基本資料填寫!$E:$EU,COLUMN(基本資料填寫!S4),0),"")</f>
        <v>5805YETL22086</v>
      </c>
      <c r="F12" s="335"/>
      <c r="G12" s="257"/>
      <c r="H12" s="257"/>
      <c r="I12" s="257"/>
      <c r="J12" s="257"/>
      <c r="K12" s="258"/>
      <c r="L12" s="268" t="str">
        <f>IFERROR(VLOOKUP(基本資料填寫!$E$1&amp;"-"&amp;ROW(書籍檔建置!P4),基本資料填寫!$E:$EU,COLUMN(基本資料填寫!T4),0),"")</f>
        <v>1</v>
      </c>
      <c r="M12" s="268" t="str">
        <f>IFERROR(VLOOKUP(基本資料填寫!$E$1&amp;"-"&amp;ROW(書籍檔建置!R4),基本資料填寫!$E:$EU,COLUMN(基本資料填寫!V4),0),"")</f>
        <v>EA</v>
      </c>
      <c r="N12" s="259"/>
      <c r="O12" s="259"/>
      <c r="P12" s="262"/>
      <c r="Q12" s="262"/>
      <c r="R12" s="262"/>
      <c r="S12" s="262"/>
      <c r="T12" s="137"/>
    </row>
    <row r="13" spans="1:20" ht="16.2" x14ac:dyDescent="0.3">
      <c r="A13" s="277" t="str">
        <f>IFERROR(VLOOKUP(基本資料填寫!$E$1&amp;"-"&amp;ROW(書籍檔建置!G5),基本資料填寫!$E:$EU,COLUMN(基本資料填寫!K5),0),"")</f>
        <v>455.029.4.12H</v>
      </c>
      <c r="B13" s="278" t="str">
        <f>IFERROR(VLOOKUP(基本資料填寫!$E$1&amp;"-"&amp;ROW(書籍檔建置!CD5),基本資料填寫!$E:$EU,COLUMN(基本資料填寫!CH5),0),"")</f>
        <v>A1973B</v>
      </c>
      <c r="C13" s="334" t="str">
        <f>IFERROR(VLOOKUP(基本資料填寫!$E$1&amp;"-"&amp;ROW(書籍檔建置!I5),基本資料填寫!$E:$EU,COLUMN(基本資料填寫!M5),0),"")</f>
        <v>24站埋入式聲力電話(附H27A 插座)</v>
      </c>
      <c r="D13" s="334"/>
      <c r="E13" s="335" t="str">
        <f>IFERROR(VLOOKUP(基本資料填寫!$E$1&amp;"-"&amp;ROW(書籍檔建置!O5),基本資料填寫!$E:$EU,COLUMN(基本資料填寫!S5),0),"")</f>
        <v>5805YETL22085</v>
      </c>
      <c r="F13" s="335"/>
      <c r="G13" s="257"/>
      <c r="H13" s="257"/>
      <c r="I13" s="257"/>
      <c r="J13" s="257"/>
      <c r="K13" s="258"/>
      <c r="L13" s="268" t="str">
        <f>IFERROR(VLOOKUP(基本資料填寫!$E$1&amp;"-"&amp;ROW(書籍檔建置!P5),基本資料填寫!$E:$EU,COLUMN(基本資料填寫!T5),0),"")</f>
        <v>1</v>
      </c>
      <c r="M13" s="268" t="str">
        <f>IFERROR(VLOOKUP(基本資料填寫!$E$1&amp;"-"&amp;ROW(書籍檔建置!R5),基本資料填寫!$E:$EU,COLUMN(基本資料填寫!V5),0),"")</f>
        <v>EA</v>
      </c>
      <c r="N13" s="259"/>
      <c r="O13" s="259"/>
      <c r="P13" s="262"/>
      <c r="Q13" s="262"/>
      <c r="R13" s="262"/>
      <c r="S13" s="262"/>
      <c r="T13" s="137"/>
    </row>
    <row r="14" spans="1:20" ht="16.2" x14ac:dyDescent="0.3">
      <c r="A14" s="277" t="str">
        <f>IFERROR(VLOOKUP(基本資料填寫!$E$1&amp;"-"&amp;ROW(書籍檔建置!G6),基本資料填寫!$E:$EU,COLUMN(基本資料填寫!K6),0),"")</f>
        <v>350.500</v>
      </c>
      <c r="B14" s="278" t="str">
        <f>IFERROR(VLOOKUP(基本資料填寫!$E$1&amp;"-"&amp;ROW(書籍檔建置!CD6),基本資料填寫!$E:$EU,COLUMN(基本資料填寫!CH6),0),"")</f>
        <v>A1973B</v>
      </c>
      <c r="C14" s="334" t="str">
        <f>IFERROR(VLOOKUP(基本資料填寫!$E$1&amp;"-"&amp;ROW(書籍檔建置!I6),基本資料填寫!$E:$EU,COLUMN(基本資料填寫!M6),0),"")</f>
        <v>頭戴式聲力電話(頭戴型及腳控型)</v>
      </c>
      <c r="D14" s="334"/>
      <c r="E14" s="335" t="str">
        <f>IFERROR(VLOOKUP(基本資料填寫!$E$1&amp;"-"&amp;ROW(書籍檔建置!O6),基本資料填寫!$E:$EU,COLUMN(基本資料填寫!S6),0),"")</f>
        <v>5965YETL申請中</v>
      </c>
      <c r="F14" s="335"/>
      <c r="G14" s="257"/>
      <c r="H14" s="257"/>
      <c r="I14" s="257"/>
      <c r="J14" s="257"/>
      <c r="K14" s="258"/>
      <c r="L14" s="268" t="str">
        <f>IFERROR(VLOOKUP(基本資料填寫!$E$1&amp;"-"&amp;ROW(書籍檔建置!P6),基本資料填寫!$E:$EU,COLUMN(基本資料填寫!T6),0),"")</f>
        <v>1</v>
      </c>
      <c r="M14" s="268" t="str">
        <f>IFERROR(VLOOKUP(基本資料填寫!$E$1&amp;"-"&amp;ROW(書籍檔建置!R6),基本資料填寫!$E:$EU,COLUMN(基本資料填寫!V6),0),"")</f>
        <v>EA</v>
      </c>
      <c r="N14" s="259"/>
      <c r="O14" s="259"/>
      <c r="P14" s="262"/>
      <c r="Q14" s="262"/>
      <c r="R14" s="262"/>
      <c r="S14" s="262"/>
      <c r="T14" s="137"/>
    </row>
    <row r="15" spans="1:20" ht="16.2" x14ac:dyDescent="0.3">
      <c r="A15" s="277" t="str">
        <f>IFERROR(VLOOKUP(基本資料填寫!$E$1&amp;"-"&amp;ROW(書籍檔建置!G7),基本資料填寫!$E:$EU,COLUMN(基本資料填寫!K7),0),"")</f>
        <v>149.015 SCM</v>
      </c>
      <c r="B15" s="278" t="str">
        <f>IFERROR(VLOOKUP(基本資料填寫!$E$1&amp;"-"&amp;ROW(書籍檔建置!CD7),基本資料填寫!$E:$EU,COLUMN(基本資料填寫!CH7),0),"")</f>
        <v>A1973B</v>
      </c>
      <c r="C15" s="334" t="str">
        <f>IFERROR(VLOOKUP(基本資料填寫!$E$1&amp;"-"&amp;ROW(書籍檔建置!I7),基本資料填寫!$E:$EU,COLUMN(基本資料填寫!M7),0),"")</f>
        <v>聲力電話插座 (埋入式)</v>
      </c>
      <c r="D15" s="334"/>
      <c r="E15" s="335" t="str">
        <f>IFERROR(VLOOKUP(基本資料填寫!$E$1&amp;"-"&amp;ROW(書籍檔建置!O7),基本資料填寫!$E:$EU,COLUMN(基本資料填寫!S7),0),"")</f>
        <v>5935YETL22089</v>
      </c>
      <c r="F15" s="335"/>
      <c r="G15" s="257"/>
      <c r="H15" s="257"/>
      <c r="I15" s="257"/>
      <c r="J15" s="257"/>
      <c r="K15" s="258"/>
      <c r="L15" s="268" t="str">
        <f>IFERROR(VLOOKUP(基本資料填寫!$E$1&amp;"-"&amp;ROW(書籍檔建置!P7),基本資料填寫!$E:$EU,COLUMN(基本資料填寫!T7),0),"")</f>
        <v>1</v>
      </c>
      <c r="M15" s="268" t="str">
        <f>IFERROR(VLOOKUP(基本資料填寫!$E$1&amp;"-"&amp;ROW(書籍檔建置!R7),基本資料填寫!$E:$EU,COLUMN(基本資料填寫!V7),0),"")</f>
        <v>EA</v>
      </c>
      <c r="N15" s="259"/>
      <c r="O15" s="259"/>
      <c r="P15" s="262"/>
      <c r="Q15" s="262"/>
      <c r="R15" s="262"/>
      <c r="S15" s="262"/>
      <c r="T15" s="137"/>
    </row>
    <row r="16" spans="1:20" ht="16.2" x14ac:dyDescent="0.3">
      <c r="A16" s="277" t="str">
        <f>IFERROR(VLOOKUP(基本資料填寫!$E$1&amp;"-"&amp;ROW(書籍檔建置!G8),基本資料填寫!$E:$EU,COLUMN(基本資料填寫!K8),0),"")</f>
        <v>350.501 SCM</v>
      </c>
      <c r="B16" s="278" t="str">
        <f>IFERROR(VLOOKUP(基本資料填寫!$E$1&amp;"-"&amp;ROW(書籍檔建置!CD8),基本資料填寫!$E:$EU,COLUMN(基本資料填寫!CH8),0),"")</f>
        <v>A1973B</v>
      </c>
      <c r="C16" s="334" t="str">
        <f>IFERROR(VLOOKUP(基本資料填寫!$E$1&amp;"-"&amp;ROW(書籍檔建置!I8),基本資料填寫!$E:$EU,COLUMN(基本資料填寫!M8),0),"")</f>
        <v>聲力電話插座 (防水壁掛式)</v>
      </c>
      <c r="D16" s="334"/>
      <c r="E16" s="335" t="str">
        <f>IFERROR(VLOOKUP(基本資料填寫!$E$1&amp;"-"&amp;ROW(書籍檔建置!O8),基本資料填寫!$E:$EU,COLUMN(基本資料填寫!S8),0),"")</f>
        <v>5935YETL22119</v>
      </c>
      <c r="F16" s="335"/>
      <c r="G16" s="257"/>
      <c r="H16" s="257"/>
      <c r="I16" s="257"/>
      <c r="J16" s="257"/>
      <c r="K16" s="258"/>
      <c r="L16" s="268" t="str">
        <f>IFERROR(VLOOKUP(基本資料填寫!$E$1&amp;"-"&amp;ROW(書籍檔建置!P8),基本資料填寫!$E:$EU,COLUMN(基本資料填寫!T8),0),"")</f>
        <v>1</v>
      </c>
      <c r="M16" s="268" t="str">
        <f>IFERROR(VLOOKUP(基本資料填寫!$E$1&amp;"-"&amp;ROW(書籍檔建置!R8),基本資料填寫!$E:$EU,COLUMN(基本資料填寫!V8),0),"")</f>
        <v>EA</v>
      </c>
      <c r="N16" s="259"/>
      <c r="O16" s="259"/>
      <c r="P16" s="262"/>
      <c r="Q16" s="262"/>
      <c r="R16" s="262"/>
      <c r="S16" s="262"/>
      <c r="T16" s="137"/>
    </row>
    <row r="17" spans="1:20" ht="16.2" x14ac:dyDescent="0.3">
      <c r="A17" s="277" t="str">
        <f>IFERROR(VLOOKUP(基本資料填寫!$E$1&amp;"-"&amp;ROW(書籍檔建置!G9),基本資料填寫!$E:$EU,COLUMN(基本資料填寫!K9),0),"")</f>
        <v>455.805</v>
      </c>
      <c r="B17" s="278" t="str">
        <f>IFERROR(VLOOKUP(基本資料填寫!$E$1&amp;"-"&amp;ROW(書籍檔建置!CD9),基本資料填寫!$E:$EU,COLUMN(基本資料填寫!CH9),0),"")</f>
        <v>A1973B</v>
      </c>
      <c r="C17" s="334" t="str">
        <f>IFERROR(VLOOKUP(基本資料填寫!$E$1&amp;"-"&amp;ROW(書籍檔建置!I9),基本資料填寫!$E:$EU,COLUMN(基本資料填寫!M9),0),"")</f>
        <v>聲力電話放大器</v>
      </c>
      <c r="D17" s="334"/>
      <c r="E17" s="335" t="str">
        <f>IFERROR(VLOOKUP(基本資料填寫!$E$1&amp;"-"&amp;ROW(書籍檔建置!O9),基本資料填寫!$E:$EU,COLUMN(基本資料填寫!S9),0),"")</f>
        <v>5965YETL申請中</v>
      </c>
      <c r="F17" s="335"/>
      <c r="G17" s="257"/>
      <c r="H17" s="257"/>
      <c r="I17" s="257"/>
      <c r="J17" s="257"/>
      <c r="K17" s="258"/>
      <c r="L17" s="268" t="str">
        <f>IFERROR(VLOOKUP(基本資料填寫!$E$1&amp;"-"&amp;ROW(書籍檔建置!P9),基本資料填寫!$E:$EU,COLUMN(基本資料填寫!T9),0),"")</f>
        <v>1</v>
      </c>
      <c r="M17" s="268" t="str">
        <f>IFERROR(VLOOKUP(基本資料填寫!$E$1&amp;"-"&amp;ROW(書籍檔建置!R9),基本資料填寫!$E:$EU,COLUMN(基本資料填寫!V9),0),"")</f>
        <v>EA</v>
      </c>
      <c r="N17" s="259"/>
      <c r="O17" s="259"/>
      <c r="P17" s="262"/>
      <c r="Q17" s="262"/>
      <c r="R17" s="262"/>
      <c r="S17" s="262"/>
      <c r="T17" s="137"/>
    </row>
    <row r="18" spans="1:20" ht="16.2" x14ac:dyDescent="0.3">
      <c r="A18" s="277" t="str">
        <f>IFERROR(VLOOKUP(基本資料填寫!$E$1&amp;"-"&amp;ROW(書籍檔建置!G10),基本資料填寫!$E:$EU,COLUMN(基本資料填寫!K10),0),"")</f>
        <v>149.907</v>
      </c>
      <c r="B18" s="278" t="str">
        <f>IFERROR(VLOOKUP(基本資料填寫!$E$1&amp;"-"&amp;ROW(書籍檔建置!CD10),基本資料填寫!$E:$EU,COLUMN(基本資料填寫!CH10),0),"")</f>
        <v>A1973B</v>
      </c>
      <c r="C18" s="334" t="str">
        <f>IFERROR(VLOOKUP(基本資料填寫!$E$1&amp;"-"&amp;ROW(書籍檔建置!I10),基本資料填寫!$E:$EU,COLUMN(基本資料填寫!M10),0),"")</f>
        <v>揚聲防水喇叭</v>
      </c>
      <c r="D18" s="334"/>
      <c r="E18" s="335" t="str">
        <f>IFERROR(VLOOKUP(基本資料填寫!$E$1&amp;"-"&amp;ROW(書籍檔建置!O10),基本資料填寫!$E:$EU,COLUMN(基本資料填寫!S10),0),"")</f>
        <v>5965YETL申請中</v>
      </c>
      <c r="F18" s="335"/>
      <c r="G18" s="257"/>
      <c r="H18" s="257"/>
      <c r="I18" s="257"/>
      <c r="J18" s="257"/>
      <c r="K18" s="258"/>
      <c r="L18" s="268" t="str">
        <f>IFERROR(VLOOKUP(基本資料填寫!$E$1&amp;"-"&amp;ROW(書籍檔建置!P10),基本資料填寫!$E:$EU,COLUMN(基本資料填寫!T10),0),"")</f>
        <v>1</v>
      </c>
      <c r="M18" s="268" t="str">
        <f>IFERROR(VLOOKUP(基本資料填寫!$E$1&amp;"-"&amp;ROW(書籍檔建置!R10),基本資料填寫!$E:$EU,COLUMN(基本資料填寫!V10),0),"")</f>
        <v>EA</v>
      </c>
      <c r="N18" s="259"/>
      <c r="O18" s="259"/>
      <c r="P18" s="262"/>
      <c r="Q18" s="262"/>
      <c r="R18" s="262"/>
      <c r="S18" s="262"/>
      <c r="T18" s="137"/>
    </row>
    <row r="19" spans="1:20" ht="16.2" x14ac:dyDescent="0.3">
      <c r="A19" s="277" t="str">
        <f>IFERROR(VLOOKUP(基本資料填寫!$E$1&amp;"-"&amp;ROW(書籍檔建置!G11),基本資料填寫!$E:$EU,COLUMN(基本資料填寫!K11),0),"")</f>
        <v>455.010 SCM</v>
      </c>
      <c r="B19" s="278" t="str">
        <f>IFERROR(VLOOKUP(基本資料填寫!$E$1&amp;"-"&amp;ROW(書籍檔建置!CD11),基本資料填寫!$E:$EU,COLUMN(基本資料填寫!CH11),0),"")</f>
        <v>A1973B</v>
      </c>
      <c r="C19" s="334" t="str">
        <f>IFERROR(VLOOKUP(基本資料填寫!$E$1&amp;"-"&amp;ROW(書籍檔建置!I11),基本資料填寫!$E:$EU,COLUMN(基本資料填寫!M11),0),"")</f>
        <v>白光警示燈</v>
      </c>
      <c r="D19" s="334"/>
      <c r="E19" s="335" t="str">
        <f>IFERROR(VLOOKUP(基本資料填寫!$E$1&amp;"-"&amp;ROW(書籍檔建置!O11),基本資料填寫!$E:$EU,COLUMN(基本資料填寫!S11),0),"")</f>
        <v>6350YETL22084</v>
      </c>
      <c r="F19" s="335"/>
      <c r="G19" s="257"/>
      <c r="H19" s="257"/>
      <c r="I19" s="257"/>
      <c r="J19" s="257"/>
      <c r="K19" s="258"/>
      <c r="L19" s="268" t="str">
        <f>IFERROR(VLOOKUP(基本資料填寫!$E$1&amp;"-"&amp;ROW(書籍檔建置!P11),基本資料填寫!$E:$EU,COLUMN(基本資料填寫!T11),0),"")</f>
        <v>1</v>
      </c>
      <c r="M19" s="268" t="str">
        <f>IFERROR(VLOOKUP(基本資料填寫!$E$1&amp;"-"&amp;ROW(書籍檔建置!R11),基本資料填寫!$E:$EU,COLUMN(基本資料填寫!V11),0),"")</f>
        <v>EA</v>
      </c>
      <c r="N19" s="259"/>
      <c r="O19" s="259"/>
      <c r="P19" s="262"/>
      <c r="Q19" s="262"/>
      <c r="R19" s="262"/>
      <c r="S19" s="262"/>
      <c r="T19" s="137"/>
    </row>
    <row r="20" spans="1:20" ht="16.2" x14ac:dyDescent="0.3">
      <c r="A20" s="277" t="str">
        <f>IFERROR(VLOOKUP(基本資料填寫!$E$1&amp;"-"&amp;ROW(書籍檔建置!G12),基本資料填寫!$E:$EU,COLUMN(基本資料填寫!K12),0),"")</f>
        <v>358.004 SCM</v>
      </c>
      <c r="B20" s="278" t="str">
        <f>IFERROR(VLOOKUP(基本資料填寫!$E$1&amp;"-"&amp;ROW(書籍檔建置!CD12),基本資料填寫!$E:$EU,COLUMN(基本資料填寫!CH12),0),"")</f>
        <v>A1973B</v>
      </c>
      <c r="C20" s="334" t="str">
        <f>IFERROR(VLOOKUP(基本資料填寫!$E$1&amp;"-"&amp;ROW(書籍檔建置!I12),基本資料填寫!$E:$EU,COLUMN(基本資料填寫!M12),0),"")</f>
        <v>頭戴式聲力電話放置箱 CJ - EST -1-X(單格)</v>
      </c>
      <c r="D20" s="334"/>
      <c r="E20" s="335" t="str">
        <f>IFERROR(VLOOKUP(基本資料填寫!$E$1&amp;"-"&amp;ROW(書籍檔建置!O12),基本資料填寫!$E:$EU,COLUMN(基本資料填寫!S12),0),"")</f>
        <v>5965YETL22083</v>
      </c>
      <c r="F20" s="335"/>
      <c r="G20" s="256"/>
      <c r="H20" s="256"/>
      <c r="I20" s="256"/>
      <c r="J20" s="256"/>
      <c r="K20" s="258"/>
      <c r="L20" s="268" t="str">
        <f>IFERROR(VLOOKUP(基本資料填寫!$E$1&amp;"-"&amp;ROW(書籍檔建置!P12),基本資料填寫!$E:$EU,COLUMN(基本資料填寫!T12),0),"")</f>
        <v>1</v>
      </c>
      <c r="M20" s="268" t="str">
        <f>IFERROR(VLOOKUP(基本資料填寫!$E$1&amp;"-"&amp;ROW(書籍檔建置!R12),基本資料填寫!$E:$EU,COLUMN(基本資料填寫!V12),0),"")</f>
        <v>EA</v>
      </c>
      <c r="N20" s="262"/>
      <c r="O20" s="262"/>
      <c r="P20" s="262"/>
      <c r="Q20" s="262"/>
      <c r="R20" s="262"/>
      <c r="S20" s="262"/>
      <c r="T20" s="137"/>
    </row>
    <row r="21" spans="1:20" ht="16.2" x14ac:dyDescent="0.3">
      <c r="A21" s="277" t="str">
        <f>IFERROR(VLOOKUP(基本資料填寫!$E$1&amp;"-"&amp;ROW(書籍檔建置!G13),基本資料填寫!$E:$EU,COLUMN(基本資料填寫!K13),0),"")</f>
        <v>358.005 SCM</v>
      </c>
      <c r="B21" s="278" t="str">
        <f>IFERROR(VLOOKUP(基本資料填寫!$E$1&amp;"-"&amp;ROW(書籍檔建置!CD13),基本資料填寫!$E:$EU,COLUMN(基本資料填寫!CH13),0),"")</f>
        <v>A1973B</v>
      </c>
      <c r="C21" s="334" t="str">
        <f>IFERROR(VLOOKUP(基本資料填寫!$E$1&amp;"-"&amp;ROW(書籍檔建置!I13),基本資料填寫!$E:$EU,COLUMN(基本資料填寫!M13),0),"")</f>
        <v>頭戴式聲力電話放置箱CJ - EST -2-X(雙格)</v>
      </c>
      <c r="D21" s="334"/>
      <c r="E21" s="335" t="str">
        <f>IFERROR(VLOOKUP(基本資料填寫!$E$1&amp;"-"&amp;ROW(書籍檔建置!O13),基本資料填寫!$E:$EU,COLUMN(基本資料填寫!S13),0),"")</f>
        <v>5965YETL22082</v>
      </c>
      <c r="F21" s="335"/>
      <c r="G21" s="258"/>
      <c r="H21" s="258"/>
      <c r="I21" s="258"/>
      <c r="J21" s="258"/>
      <c r="K21" s="258"/>
      <c r="L21" s="268">
        <f>IFERROR(VLOOKUP(基本資料填寫!$E$1&amp;"-"&amp;ROW(書籍檔建置!P13),基本資料填寫!$E:$EU,COLUMN(基本資料填寫!T13),0),"")</f>
        <v>1</v>
      </c>
      <c r="M21" s="268" t="str">
        <f>IFERROR(VLOOKUP(基本資料填寫!$E$1&amp;"-"&amp;ROW(書籍檔建置!R13),基本資料填寫!$E:$EU,COLUMN(基本資料填寫!V13),0),"")</f>
        <v>EA</v>
      </c>
      <c r="N21" s="262"/>
      <c r="O21" s="262"/>
      <c r="P21" s="262"/>
      <c r="Q21" s="262"/>
      <c r="R21" s="262"/>
      <c r="S21" s="262"/>
      <c r="T21" s="137"/>
    </row>
    <row r="22" spans="1:20" ht="16.2" x14ac:dyDescent="0.3">
      <c r="A22" s="277" t="str">
        <f>IFERROR(VLOOKUP(基本資料填寫!$E$1&amp;"-"&amp;ROW(書籍檔建置!G14),基本資料填寫!$E:$EU,COLUMN(基本資料填寫!K14),0),"")</f>
        <v>455.003</v>
      </c>
      <c r="B22" s="278" t="str">
        <f>IFERROR(VLOOKUP(基本資料填寫!$E$1&amp;"-"&amp;ROW(書籍檔建置!CD14),基本資料填寫!$E:$EU,COLUMN(基本資料填寫!CH14),0),"")</f>
        <v>A1973B</v>
      </c>
      <c r="C22" s="334" t="str">
        <f>IFERROR(VLOOKUP(基本資料填寫!$E$1&amp;"-"&amp;ROW(書籍檔建置!I14),基本資料填寫!$E:$EU,COLUMN(基本資料填寫!M14),0),"")</f>
        <v>聲力電話繼電器控制盒</v>
      </c>
      <c r="D22" s="334"/>
      <c r="E22" s="335" t="str">
        <f>IFERROR(VLOOKUP(基本資料填寫!$E$1&amp;"-"&amp;ROW(書籍檔建置!O14),基本資料填寫!$E:$EU,COLUMN(基本資料填寫!S14),0),"")</f>
        <v>5945YETL22091</v>
      </c>
      <c r="F22" s="335"/>
      <c r="G22" s="258"/>
      <c r="H22" s="258"/>
      <c r="I22" s="258"/>
      <c r="J22" s="258"/>
      <c r="K22" s="258"/>
      <c r="L22" s="268">
        <f>IFERROR(VLOOKUP(基本資料填寫!$E$1&amp;"-"&amp;ROW(書籍檔建置!P14),基本資料填寫!$E:$EU,COLUMN(基本資料填寫!T14),0),"")</f>
        <v>1</v>
      </c>
      <c r="M22" s="268" t="str">
        <f>IFERROR(VLOOKUP(基本資料填寫!$E$1&amp;"-"&amp;ROW(書籍檔建置!R14),基本資料填寫!$E:$EU,COLUMN(基本資料填寫!V14),0),"")</f>
        <v>EA</v>
      </c>
      <c r="N22" s="262"/>
      <c r="O22" s="262"/>
      <c r="P22" s="262"/>
      <c r="Q22" s="262"/>
      <c r="R22" s="262"/>
      <c r="S22" s="262"/>
      <c r="T22" s="137"/>
    </row>
    <row r="23" spans="1:20" ht="16.2" x14ac:dyDescent="0.3">
      <c r="A23" s="277" t="str">
        <f>IFERROR(VLOOKUP(基本資料填寫!$E$1&amp;"-"&amp;ROW(書籍檔建置!G15),基本資料填寫!$E:$EU,COLUMN(基本資料填寫!K15),0),"")</f>
        <v/>
      </c>
      <c r="B23" s="278" t="str">
        <f>IFERROR(VLOOKUP(基本資料填寫!$E$1&amp;"-"&amp;ROW(書籍檔建置!CD15),基本資料填寫!$E:$EU,COLUMN(基本資料填寫!CH15),0),"")</f>
        <v/>
      </c>
      <c r="C23" s="334" t="str">
        <f>IFERROR(VLOOKUP(基本資料填寫!$E$1&amp;"-"&amp;ROW(書籍檔建置!I15),基本資料填寫!$E:$EU,COLUMN(基本資料填寫!M15),0),"")</f>
        <v/>
      </c>
      <c r="D23" s="334"/>
      <c r="E23" s="335" t="str">
        <f>IFERROR(VLOOKUP(基本資料填寫!$E$1&amp;"-"&amp;ROW(書籍檔建置!O15),基本資料填寫!$E:$EU,COLUMN(基本資料填寫!S15),0),"")</f>
        <v/>
      </c>
      <c r="F23" s="335"/>
      <c r="G23" s="258"/>
      <c r="H23" s="258"/>
      <c r="I23" s="258"/>
      <c r="J23" s="258"/>
      <c r="K23" s="258"/>
      <c r="L23" s="268" t="str">
        <f>IFERROR(VLOOKUP(基本資料填寫!$E$1&amp;"-"&amp;ROW(書籍檔建置!P15),基本資料填寫!$E:$EU,COLUMN(基本資料填寫!T15),0),"")</f>
        <v/>
      </c>
      <c r="M23" s="268" t="str">
        <f>IFERROR(VLOOKUP(基本資料填寫!$E$1&amp;"-"&amp;ROW(書籍檔建置!R15),基本資料填寫!$E:$EU,COLUMN(基本資料填寫!V15),0),"")</f>
        <v/>
      </c>
      <c r="N23" s="262"/>
      <c r="O23" s="262"/>
      <c r="P23" s="262"/>
      <c r="Q23" s="262"/>
      <c r="R23" s="262"/>
      <c r="S23" s="262"/>
      <c r="T23" s="137"/>
    </row>
    <row r="24" spans="1:20" ht="16.2" x14ac:dyDescent="0.3">
      <c r="A24" s="277" t="str">
        <f>IFERROR(VLOOKUP(基本資料填寫!$E$1&amp;"-"&amp;ROW(書籍檔建置!G16),基本資料填寫!$E:$EU,COLUMN(基本資料填寫!K16),0),"")</f>
        <v/>
      </c>
      <c r="B24" s="278" t="str">
        <f>IFERROR(VLOOKUP(基本資料填寫!$E$1&amp;"-"&amp;ROW(書籍檔建置!CD16),基本資料填寫!$E:$EU,COLUMN(基本資料填寫!CH16),0),"")</f>
        <v/>
      </c>
      <c r="C24" s="334" t="str">
        <f>IFERROR(VLOOKUP(基本資料填寫!$E$1&amp;"-"&amp;ROW(書籍檔建置!I16),基本資料填寫!$E:$EU,COLUMN(基本資料填寫!M16),0),"")</f>
        <v/>
      </c>
      <c r="D24" s="334"/>
      <c r="E24" s="335" t="str">
        <f>IFERROR(VLOOKUP(基本資料填寫!$E$1&amp;"-"&amp;ROW(書籍檔建置!O16),基本資料填寫!$E:$EU,COLUMN(基本資料填寫!S16),0),"")</f>
        <v/>
      </c>
      <c r="F24" s="335"/>
      <c r="G24" s="258"/>
      <c r="H24" s="258"/>
      <c r="I24" s="258"/>
      <c r="J24" s="258"/>
      <c r="K24" s="258"/>
      <c r="L24" s="268" t="str">
        <f>IFERROR(VLOOKUP(基本資料填寫!$E$1&amp;"-"&amp;ROW(書籍檔建置!P16),基本資料填寫!$E:$EU,COLUMN(基本資料填寫!T16),0),"")</f>
        <v/>
      </c>
      <c r="M24" s="268" t="str">
        <f>IFERROR(VLOOKUP(基本資料填寫!$E$1&amp;"-"&amp;ROW(書籍檔建置!R16),基本資料填寫!$E:$EU,COLUMN(基本資料填寫!V16),0),"")</f>
        <v/>
      </c>
      <c r="N24" s="262"/>
      <c r="O24" s="262"/>
      <c r="P24" s="262"/>
      <c r="Q24" s="262"/>
      <c r="R24" s="262"/>
      <c r="S24" s="262"/>
      <c r="T24" s="137"/>
    </row>
    <row r="25" spans="1:20" ht="16.2" x14ac:dyDescent="0.3">
      <c r="A25" s="277" t="str">
        <f>IFERROR(VLOOKUP(基本資料填寫!$E$1&amp;"-"&amp;ROW(書籍檔建置!G17),基本資料填寫!$E:$EU,COLUMN(基本資料填寫!K17),0),"")</f>
        <v/>
      </c>
      <c r="B25" s="278" t="str">
        <f>IFERROR(VLOOKUP(基本資料填寫!$E$1&amp;"-"&amp;ROW(書籍檔建置!CD17),基本資料填寫!$E:$EU,COLUMN(基本資料填寫!CH17),0),"")</f>
        <v/>
      </c>
      <c r="C25" s="334" t="str">
        <f>IFERROR(VLOOKUP(基本資料填寫!$E$1&amp;"-"&amp;ROW(書籍檔建置!I17),基本資料填寫!$E:$EU,COLUMN(基本資料填寫!M17),0),"")</f>
        <v/>
      </c>
      <c r="D25" s="334"/>
      <c r="E25" s="335" t="str">
        <f>IFERROR(VLOOKUP(基本資料填寫!$E$1&amp;"-"&amp;ROW(書籍檔建置!O17),基本資料填寫!$E:$EU,COLUMN(基本資料填寫!S17),0),"")</f>
        <v/>
      </c>
      <c r="F25" s="335"/>
      <c r="G25" s="258"/>
      <c r="H25" s="258"/>
      <c r="I25" s="258"/>
      <c r="J25" s="258"/>
      <c r="K25" s="258"/>
      <c r="L25" s="268" t="str">
        <f>IFERROR(VLOOKUP(基本資料填寫!$E$1&amp;"-"&amp;ROW(書籍檔建置!P17),基本資料填寫!$E:$EU,COLUMN(基本資料填寫!T17),0),"")</f>
        <v/>
      </c>
      <c r="M25" s="268" t="str">
        <f>IFERROR(VLOOKUP(基本資料填寫!$E$1&amp;"-"&amp;ROW(書籍檔建置!R17),基本資料填寫!$E:$EU,COLUMN(基本資料填寫!V17),0),"")</f>
        <v/>
      </c>
      <c r="N25" s="262"/>
      <c r="O25" s="262"/>
      <c r="P25" s="262"/>
      <c r="Q25" s="262"/>
      <c r="R25" s="262"/>
      <c r="S25" s="262"/>
      <c r="T25" s="137"/>
    </row>
    <row r="26" spans="1:20" ht="16.2" x14ac:dyDescent="0.3">
      <c r="A26" s="277" t="str">
        <f>IFERROR(VLOOKUP(基本資料填寫!$E$1&amp;"-"&amp;ROW(書籍檔建置!G18),基本資料填寫!$E:$EU,COLUMN(基本資料填寫!K18),0),"")</f>
        <v/>
      </c>
      <c r="B26" s="278" t="str">
        <f>IFERROR(VLOOKUP(基本資料填寫!$E$1&amp;"-"&amp;ROW(書籍檔建置!CD18),基本資料填寫!$E:$EU,COLUMN(基本資料填寫!CH18),0),"")</f>
        <v/>
      </c>
      <c r="C26" s="334" t="str">
        <f>IFERROR(VLOOKUP(基本資料填寫!$E$1&amp;"-"&amp;ROW(書籍檔建置!I18),基本資料填寫!$E:$EU,COLUMN(基本資料填寫!M18),0),"")</f>
        <v/>
      </c>
      <c r="D26" s="334"/>
      <c r="E26" s="335" t="str">
        <f>IFERROR(VLOOKUP(基本資料填寫!$E$1&amp;"-"&amp;ROW(書籍檔建置!O18),基本資料填寫!$E:$EU,COLUMN(基本資料填寫!S18),0),"")</f>
        <v/>
      </c>
      <c r="F26" s="335"/>
      <c r="G26" s="258"/>
      <c r="H26" s="258"/>
      <c r="I26" s="258"/>
      <c r="J26" s="258"/>
      <c r="K26" s="258"/>
      <c r="L26" s="268" t="str">
        <f>IFERROR(VLOOKUP(基本資料填寫!$E$1&amp;"-"&amp;ROW(書籍檔建置!P18),基本資料填寫!$E:$EU,COLUMN(基本資料填寫!T18),0),"")</f>
        <v/>
      </c>
      <c r="M26" s="268" t="str">
        <f>IFERROR(VLOOKUP(基本資料填寫!$E$1&amp;"-"&amp;ROW(書籍檔建置!R18),基本資料填寫!$E:$EU,COLUMN(基本資料填寫!V18),0),"")</f>
        <v/>
      </c>
      <c r="N26" s="262"/>
      <c r="O26" s="262"/>
      <c r="P26" s="262"/>
      <c r="Q26" s="262"/>
      <c r="R26" s="262"/>
      <c r="S26" s="262"/>
      <c r="T26" s="137"/>
    </row>
    <row r="27" spans="1:20" ht="16.2" x14ac:dyDescent="0.3">
      <c r="A27" s="277" t="str">
        <f>IFERROR(VLOOKUP(基本資料填寫!$E$1&amp;"-"&amp;ROW(書籍檔建置!G19),基本資料填寫!$E:$EU,COLUMN(基本資料填寫!K19),0),"")</f>
        <v/>
      </c>
      <c r="B27" s="278" t="str">
        <f>IFERROR(VLOOKUP(基本資料填寫!$E$1&amp;"-"&amp;ROW(書籍檔建置!CD19),基本資料填寫!$E:$EU,COLUMN(基本資料填寫!CH19),0),"")</f>
        <v/>
      </c>
      <c r="C27" s="334" t="str">
        <f>IFERROR(VLOOKUP(基本資料填寫!$E$1&amp;"-"&amp;ROW(書籍檔建置!I19),基本資料填寫!$E:$EU,COLUMN(基本資料填寫!M19),0),"")</f>
        <v/>
      </c>
      <c r="D27" s="334"/>
      <c r="E27" s="335" t="str">
        <f>IFERROR(VLOOKUP(基本資料填寫!$E$1&amp;"-"&amp;ROW(書籍檔建置!O19),基本資料填寫!$E:$EU,COLUMN(基本資料填寫!S19),0),"")</f>
        <v/>
      </c>
      <c r="F27" s="335"/>
      <c r="G27" s="258"/>
      <c r="H27" s="258"/>
      <c r="I27" s="258"/>
      <c r="J27" s="258"/>
      <c r="K27" s="258"/>
      <c r="L27" s="268" t="str">
        <f>IFERROR(VLOOKUP(基本資料填寫!$E$1&amp;"-"&amp;ROW(書籍檔建置!P19),基本資料填寫!$E:$EU,COLUMN(基本資料填寫!T19),0),"")</f>
        <v/>
      </c>
      <c r="M27" s="268" t="str">
        <f>IFERROR(VLOOKUP(基本資料填寫!$E$1&amp;"-"&amp;ROW(書籍檔建置!R19),基本資料填寫!$E:$EU,COLUMN(基本資料填寫!V19),0),"")</f>
        <v/>
      </c>
      <c r="N27" s="262"/>
      <c r="O27" s="262"/>
      <c r="P27" s="262"/>
      <c r="Q27" s="262"/>
      <c r="R27" s="262"/>
      <c r="S27" s="262"/>
      <c r="T27" s="137"/>
    </row>
    <row r="28" spans="1:20" ht="16.2" x14ac:dyDescent="0.3">
      <c r="A28" s="279" t="str">
        <f>IFERROR(VLOOKUP(基本資料填寫!$E$1&amp;"-"&amp;ROW(書籍檔建置!G20),基本資料填寫!$E:$EU,COLUMN(基本資料填寫!K20),0),"")</f>
        <v/>
      </c>
      <c r="B28" s="280" t="str">
        <f>IFERROR(VLOOKUP(基本資料填寫!$E$1&amp;"-"&amp;ROW(書籍檔建置!CD20),基本資料填寫!$E:$EU,COLUMN(基本資料填寫!CH20),0),"")</f>
        <v/>
      </c>
      <c r="C28" s="336" t="str">
        <f>IFERROR(VLOOKUP(基本資料填寫!$E$1&amp;"-"&amp;ROW(書籍檔建置!I20),基本資料填寫!$E:$EU,COLUMN(基本資料填寫!M20),0),"")</f>
        <v/>
      </c>
      <c r="D28" s="336"/>
      <c r="E28" s="335" t="str">
        <f>IFERROR(VLOOKUP(基本資料填寫!$E$1&amp;"-"&amp;ROW(書籍檔建置!O20),基本資料填寫!$E:$EU,COLUMN(基本資料填寫!S20),0),"")</f>
        <v/>
      </c>
      <c r="F28" s="335"/>
      <c r="G28" s="258"/>
      <c r="H28" s="258"/>
      <c r="I28" s="258"/>
      <c r="J28" s="258"/>
      <c r="K28" s="273"/>
      <c r="L28" s="269" t="str">
        <f>IFERROR(VLOOKUP(基本資料填寫!$E$1&amp;"-"&amp;ROW(書籍檔建置!P20),基本資料填寫!$E:$EU,COLUMN(基本資料填寫!T20),0),"")</f>
        <v/>
      </c>
      <c r="M28" s="269" t="str">
        <f>IFERROR(VLOOKUP(基本資料填寫!$E$1&amp;"-"&amp;ROW(書籍檔建置!R20),基本資料填寫!$E:$EU,COLUMN(基本資料填寫!V20),0),"")</f>
        <v/>
      </c>
      <c r="N28" s="274"/>
      <c r="O28" s="262"/>
      <c r="P28" s="262"/>
      <c r="Q28" s="262"/>
      <c r="R28" s="262"/>
      <c r="S28" s="262"/>
      <c r="T28" s="137"/>
    </row>
    <row r="29" spans="1:20" ht="16.5" customHeight="1" x14ac:dyDescent="0.3">
      <c r="A29" s="326" t="s">
        <v>161</v>
      </c>
      <c r="B29" s="326"/>
      <c r="C29" s="255" t="s">
        <v>156</v>
      </c>
      <c r="D29" s="327" t="s">
        <v>162</v>
      </c>
      <c r="E29" s="328"/>
      <c r="F29" s="329"/>
      <c r="G29" s="331" t="s">
        <v>142</v>
      </c>
      <c r="H29" s="331" t="s">
        <v>143</v>
      </c>
      <c r="I29" s="331" t="s">
        <v>144</v>
      </c>
      <c r="J29" s="331" t="s">
        <v>145</v>
      </c>
      <c r="K29" s="331" t="s">
        <v>146</v>
      </c>
      <c r="L29" s="331" t="s">
        <v>147</v>
      </c>
      <c r="M29" s="331" t="s">
        <v>148</v>
      </c>
      <c r="N29" s="263">
        <v>1</v>
      </c>
      <c r="O29" s="263">
        <v>2</v>
      </c>
      <c r="P29" s="263">
        <v>3</v>
      </c>
      <c r="Q29" s="263">
        <v>4</v>
      </c>
      <c r="R29" s="263" t="s">
        <v>151</v>
      </c>
      <c r="S29" s="263" t="s">
        <v>152</v>
      </c>
      <c r="T29" s="263" t="s">
        <v>153</v>
      </c>
    </row>
    <row r="30" spans="1:20" x14ac:dyDescent="0.3">
      <c r="A30" s="255" t="s">
        <v>163</v>
      </c>
      <c r="B30" s="264">
        <v>419</v>
      </c>
      <c r="C30" s="333" t="s">
        <v>164</v>
      </c>
      <c r="D30" s="333"/>
      <c r="E30" s="333"/>
      <c r="F30" s="333"/>
      <c r="G30" s="332"/>
      <c r="H30" s="332"/>
      <c r="I30" s="332"/>
      <c r="J30" s="332"/>
      <c r="K30" s="332"/>
      <c r="L30" s="332"/>
      <c r="M30" s="332"/>
      <c r="N30" s="330" t="str">
        <f>基本資料填寫!$CP$2</f>
        <v>27NYE0823</v>
      </c>
      <c r="O30" s="330"/>
      <c r="P30" s="330"/>
      <c r="Q30" s="330"/>
      <c r="R30" s="330"/>
      <c r="S30" s="265" t="s">
        <v>141</v>
      </c>
      <c r="T30" s="266"/>
    </row>
    <row r="31" spans="1:20" ht="67.95" customHeight="1" x14ac:dyDescent="0.3">
      <c r="A31" s="255" t="s">
        <v>165</v>
      </c>
      <c r="B31" s="255" t="s">
        <v>166</v>
      </c>
      <c r="C31" s="333"/>
      <c r="D31" s="333"/>
      <c r="E31" s="333"/>
      <c r="F31" s="333"/>
      <c r="G31" s="332"/>
      <c r="H31" s="332"/>
      <c r="I31" s="332"/>
      <c r="J31" s="332"/>
      <c r="K31" s="332"/>
      <c r="L31" s="332"/>
      <c r="M31" s="332"/>
      <c r="N31" s="326" t="s">
        <v>137</v>
      </c>
      <c r="O31" s="326"/>
      <c r="P31" s="326"/>
      <c r="Q31" s="326"/>
      <c r="R31" s="326"/>
      <c r="S31" s="255" t="s">
        <v>138</v>
      </c>
      <c r="T31" s="255" t="s">
        <v>139</v>
      </c>
    </row>
    <row r="32" spans="1:20" ht="19.8" x14ac:dyDescent="0.3">
      <c r="A32" s="350" t="s">
        <v>177</v>
      </c>
      <c r="B32" s="351"/>
      <c r="C32" s="351"/>
      <c r="D32" s="351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3"/>
    </row>
    <row r="33" spans="1:20" ht="16.2" customHeight="1" x14ac:dyDescent="0.3">
      <c r="A33" s="354" t="s">
        <v>133</v>
      </c>
      <c r="B33" s="355"/>
      <c r="C33" s="356"/>
      <c r="D33" s="357" t="s">
        <v>134</v>
      </c>
      <c r="E33" s="358"/>
      <c r="F33" s="255" t="s">
        <v>135</v>
      </c>
      <c r="G33" s="327" t="s">
        <v>136</v>
      </c>
      <c r="H33" s="328"/>
      <c r="I33" s="328"/>
      <c r="J33" s="328"/>
      <c r="K33" s="328"/>
      <c r="L33" s="328"/>
      <c r="M33" s="328"/>
      <c r="N33" s="327" t="s">
        <v>137</v>
      </c>
      <c r="O33" s="328"/>
      <c r="P33" s="328"/>
      <c r="Q33" s="328"/>
      <c r="R33" s="329"/>
      <c r="S33" s="255" t="s">
        <v>138</v>
      </c>
      <c r="T33" s="255" t="s">
        <v>139</v>
      </c>
    </row>
    <row r="34" spans="1:20" ht="16.2" customHeight="1" x14ac:dyDescent="0.3">
      <c r="A34" s="363" t="str">
        <f>基本資料填寫!$DU$2</f>
        <v>聲力電話系統Acoustic Telephone System</v>
      </c>
      <c r="B34" s="364"/>
      <c r="C34" s="365"/>
      <c r="D34" s="359"/>
      <c r="E34" s="360"/>
      <c r="F34" s="366" t="s">
        <v>140</v>
      </c>
      <c r="G34" s="368"/>
      <c r="H34" s="369"/>
      <c r="I34" s="369"/>
      <c r="J34" s="369"/>
      <c r="K34" s="369"/>
      <c r="L34" s="369"/>
      <c r="M34" s="369"/>
      <c r="N34" s="372" t="str">
        <f>基本資料填寫!$CP$2</f>
        <v>27NYE0823</v>
      </c>
      <c r="O34" s="373"/>
      <c r="P34" s="373"/>
      <c r="Q34" s="373"/>
      <c r="R34" s="374"/>
      <c r="S34" s="378" t="s">
        <v>141</v>
      </c>
      <c r="T34" s="380"/>
    </row>
    <row r="35" spans="1:20" x14ac:dyDescent="0.3">
      <c r="A35" s="382"/>
      <c r="B35" s="383"/>
      <c r="C35" s="384"/>
      <c r="D35" s="361"/>
      <c r="E35" s="362"/>
      <c r="F35" s="367"/>
      <c r="G35" s="370"/>
      <c r="H35" s="371"/>
      <c r="I35" s="371"/>
      <c r="J35" s="371"/>
      <c r="K35" s="371"/>
      <c r="L35" s="371"/>
      <c r="M35" s="371"/>
      <c r="N35" s="375"/>
      <c r="O35" s="376"/>
      <c r="P35" s="376"/>
      <c r="Q35" s="376"/>
      <c r="R35" s="377"/>
      <c r="S35" s="379"/>
      <c r="T35" s="381"/>
    </row>
    <row r="36" spans="1:20" ht="30.6" customHeight="1" x14ac:dyDescent="0.3">
      <c r="A36" s="344" t="s">
        <v>136</v>
      </c>
      <c r="B36" s="345"/>
      <c r="C36" s="345"/>
      <c r="D36" s="345"/>
      <c r="E36" s="345"/>
      <c r="F36" s="345"/>
      <c r="G36" s="337" t="s">
        <v>142</v>
      </c>
      <c r="H36" s="337" t="s">
        <v>143</v>
      </c>
      <c r="I36" s="337" t="s">
        <v>144</v>
      </c>
      <c r="J36" s="337" t="s">
        <v>145</v>
      </c>
      <c r="K36" s="337" t="s">
        <v>146</v>
      </c>
      <c r="L36" s="337" t="s">
        <v>147</v>
      </c>
      <c r="M36" s="337" t="s">
        <v>148</v>
      </c>
      <c r="N36" s="329" t="s">
        <v>149</v>
      </c>
      <c r="O36" s="326"/>
      <c r="P36" s="326"/>
      <c r="Q36" s="326"/>
      <c r="R36" s="326"/>
      <c r="S36" s="326"/>
      <c r="T36" s="326"/>
    </row>
    <row r="37" spans="1:20" ht="30.6" customHeight="1" x14ac:dyDescent="0.3">
      <c r="A37" s="346"/>
      <c r="B37" s="347"/>
      <c r="C37" s="347"/>
      <c r="D37" s="347"/>
      <c r="E37" s="347"/>
      <c r="F37" s="347"/>
      <c r="G37" s="338"/>
      <c r="H37" s="338"/>
      <c r="I37" s="338"/>
      <c r="J37" s="338"/>
      <c r="K37" s="338"/>
      <c r="L37" s="338"/>
      <c r="M37" s="338"/>
      <c r="N37" s="340" t="s">
        <v>150</v>
      </c>
      <c r="O37" s="341"/>
      <c r="P37" s="341"/>
      <c r="Q37" s="341"/>
      <c r="R37" s="341"/>
      <c r="S37" s="326"/>
      <c r="T37" s="326"/>
    </row>
    <row r="38" spans="1:20" x14ac:dyDescent="0.3">
      <c r="A38" s="346"/>
      <c r="B38" s="347"/>
      <c r="C38" s="347"/>
      <c r="D38" s="347"/>
      <c r="E38" s="347"/>
      <c r="F38" s="347"/>
      <c r="G38" s="338"/>
      <c r="H38" s="338"/>
      <c r="I38" s="338"/>
      <c r="J38" s="338"/>
      <c r="K38" s="338"/>
      <c r="L38" s="338"/>
      <c r="M38" s="338"/>
      <c r="N38" s="342">
        <v>1</v>
      </c>
      <c r="O38" s="342">
        <v>2</v>
      </c>
      <c r="P38" s="342">
        <v>3</v>
      </c>
      <c r="Q38" s="342">
        <v>4</v>
      </c>
      <c r="R38" s="342" t="s">
        <v>151</v>
      </c>
      <c r="S38" s="342" t="s">
        <v>152</v>
      </c>
      <c r="T38" s="342" t="s">
        <v>153</v>
      </c>
    </row>
    <row r="39" spans="1:20" x14ac:dyDescent="0.3">
      <c r="A39" s="253" t="s">
        <v>154</v>
      </c>
      <c r="B39" s="256" t="s">
        <v>155</v>
      </c>
      <c r="C39" s="348" t="s">
        <v>156</v>
      </c>
      <c r="D39" s="348"/>
      <c r="E39" s="348" t="s">
        <v>104</v>
      </c>
      <c r="F39" s="349"/>
      <c r="G39" s="339"/>
      <c r="H39" s="339"/>
      <c r="I39" s="339"/>
      <c r="J39" s="339"/>
      <c r="K39" s="339"/>
      <c r="L39" s="339"/>
      <c r="M39" s="339"/>
      <c r="N39" s="343"/>
      <c r="O39" s="343"/>
      <c r="P39" s="343"/>
      <c r="Q39" s="343"/>
      <c r="R39" s="343"/>
      <c r="S39" s="343"/>
      <c r="T39" s="343"/>
    </row>
    <row r="40" spans="1:20" ht="16.2" x14ac:dyDescent="0.3">
      <c r="A40" s="281" t="str">
        <f>IFERROR(VLOOKUP(基本資料填寫!$E$1&amp;"-"&amp;ROW(書籍檔建置!G21),基本資料填寫!$E:$EU,COLUMN(基本資料填寫!K21),0),"")</f>
        <v/>
      </c>
      <c r="B40" s="282" t="str">
        <f>IFERROR(VLOOKUP(基本資料填寫!$E$1&amp;"-"&amp;ROW(書籍檔建置!CD21),基本資料填寫!$E:$EU,COLUMN(基本資料填寫!CH21),0),"")</f>
        <v/>
      </c>
      <c r="C40" s="334" t="str">
        <f>IFERROR(VLOOKUP(基本資料填寫!$E$1&amp;"-"&amp;ROW(書籍檔建置!I21),基本資料填寫!$E:$EU,COLUMN(基本資料填寫!M21),0),"")</f>
        <v/>
      </c>
      <c r="D40" s="334"/>
      <c r="E40" s="335" t="str">
        <f>IFERROR(VLOOKUP(基本資料填寫!$E$1&amp;"-"&amp;ROW(書籍檔建置!O21),基本資料填寫!$E:$EU,COLUMN(基本資料填寫!S21),0),"")</f>
        <v/>
      </c>
      <c r="F40" s="335"/>
      <c r="G40" s="257"/>
      <c r="H40" s="257"/>
      <c r="I40" s="257"/>
      <c r="J40" s="275"/>
      <c r="K40" s="270"/>
      <c r="L40" s="271" t="str">
        <f>IFERROR(VLOOKUP(基本資料填寫!$E$1&amp;"-"&amp;ROW(書籍檔建置!P21),基本資料填寫!$E:$EU,COLUMN(基本資料填寫!T21),0),"")</f>
        <v/>
      </c>
      <c r="M40" s="271" t="str">
        <f>IFERROR(VLOOKUP(基本資料填寫!$E$1&amp;"-"&amp;ROW(書籍檔建置!R21),基本資料填寫!$E:$EU,COLUMN(基本資料填寫!V21),0),"")</f>
        <v/>
      </c>
      <c r="N40" s="272"/>
      <c r="O40" s="276"/>
      <c r="P40" s="276"/>
      <c r="Q40" s="276"/>
      <c r="R40" s="276"/>
      <c r="S40" s="262"/>
      <c r="T40" s="137"/>
    </row>
    <row r="41" spans="1:20" ht="16.2" x14ac:dyDescent="0.3">
      <c r="A41" s="277" t="str">
        <f>IFERROR(VLOOKUP(基本資料填寫!$E$1&amp;"-"&amp;ROW(書籍檔建置!G22),基本資料填寫!$E:$EU,COLUMN(基本資料填寫!K22),0),"")</f>
        <v/>
      </c>
      <c r="B41" s="278" t="str">
        <f>IFERROR(VLOOKUP(基本資料填寫!$E$1&amp;"-"&amp;ROW(書籍檔建置!CD22),基本資料填寫!$E:$EU,COLUMN(基本資料填寫!CH22),0),"")</f>
        <v/>
      </c>
      <c r="C41" s="334" t="str">
        <f>IFERROR(VLOOKUP(基本資料填寫!$E$1&amp;"-"&amp;ROW(書籍檔建置!I22),基本資料填寫!$E:$EU,COLUMN(基本資料填寫!M22),0),"")</f>
        <v/>
      </c>
      <c r="D41" s="334"/>
      <c r="E41" s="335" t="str">
        <f>IFERROR(VLOOKUP(基本資料填寫!$E$1&amp;"-"&amp;ROW(書籍檔建置!O22),基本資料填寫!$E:$EU,COLUMN(基本資料填寫!S22),0),"")</f>
        <v/>
      </c>
      <c r="F41" s="335"/>
      <c r="G41" s="257"/>
      <c r="H41" s="257"/>
      <c r="I41" s="257"/>
      <c r="J41" s="257"/>
      <c r="K41" s="258"/>
      <c r="L41" s="268" t="str">
        <f>IFERROR(VLOOKUP(基本資料填寫!$E$1&amp;"-"&amp;ROW(書籍檔建置!P22),基本資料填寫!$E:$EU,COLUMN(基本資料填寫!T22),0),"")</f>
        <v/>
      </c>
      <c r="M41" s="268" t="str">
        <f>IFERROR(VLOOKUP(基本資料填寫!$E$1&amp;"-"&amp;ROW(書籍檔建置!R22),基本資料填寫!$E:$EU,COLUMN(基本資料填寫!V22),0),"")</f>
        <v/>
      </c>
      <c r="N41" s="259"/>
      <c r="O41" s="262"/>
      <c r="P41" s="262"/>
      <c r="Q41" s="262"/>
      <c r="R41" s="262"/>
      <c r="S41" s="262"/>
      <c r="T41" s="137"/>
    </row>
    <row r="42" spans="1:20" ht="16.2" x14ac:dyDescent="0.3">
      <c r="A42" s="277" t="str">
        <f>IFERROR(VLOOKUP(基本資料填寫!$E$1&amp;"-"&amp;ROW(書籍檔建置!G23),基本資料填寫!$E:$EU,COLUMN(基本資料填寫!K23),0),"")</f>
        <v/>
      </c>
      <c r="B42" s="278" t="str">
        <f>IFERROR(VLOOKUP(基本資料填寫!$E$1&amp;"-"&amp;ROW(書籍檔建置!CD23),基本資料填寫!$E:$EU,COLUMN(基本資料填寫!CH23),0),"")</f>
        <v/>
      </c>
      <c r="C42" s="334" t="str">
        <f>IFERROR(VLOOKUP(基本資料填寫!$E$1&amp;"-"&amp;ROW(書籍檔建置!I23),基本資料填寫!$E:$EU,COLUMN(基本資料填寫!M23),0),"")</f>
        <v/>
      </c>
      <c r="D42" s="334"/>
      <c r="E42" s="335" t="str">
        <f>IFERROR(VLOOKUP(基本資料填寫!$E$1&amp;"-"&amp;ROW(書籍檔建置!O23),基本資料填寫!$E:$EU,COLUMN(基本資料填寫!S23),0),"")</f>
        <v/>
      </c>
      <c r="F42" s="335"/>
      <c r="G42" s="257"/>
      <c r="H42" s="257"/>
      <c r="I42" s="257"/>
      <c r="J42" s="257"/>
      <c r="K42" s="258"/>
      <c r="L42" s="268" t="str">
        <f>IFERROR(VLOOKUP(基本資料填寫!$E$1&amp;"-"&amp;ROW(書籍檔建置!P23),基本資料填寫!$E:$EU,COLUMN(基本資料填寫!T23),0),"")</f>
        <v/>
      </c>
      <c r="M42" s="268" t="str">
        <f>IFERROR(VLOOKUP(基本資料填寫!$E$1&amp;"-"&amp;ROW(書籍檔建置!R23),基本資料填寫!$E:$EU,COLUMN(基本資料填寫!V23),0),"")</f>
        <v/>
      </c>
      <c r="N42" s="259"/>
      <c r="O42" s="262"/>
      <c r="P42" s="262"/>
      <c r="Q42" s="262"/>
      <c r="R42" s="262"/>
      <c r="S42" s="262"/>
      <c r="T42" s="137"/>
    </row>
    <row r="43" spans="1:20" ht="16.2" x14ac:dyDescent="0.3">
      <c r="A43" s="277" t="str">
        <f>IFERROR(VLOOKUP(基本資料填寫!$E$1&amp;"-"&amp;ROW(書籍檔建置!G24),基本資料填寫!$E:$EU,COLUMN(基本資料填寫!K24),0),"")</f>
        <v/>
      </c>
      <c r="B43" s="278" t="str">
        <f>IFERROR(VLOOKUP(基本資料填寫!$E$1&amp;"-"&amp;ROW(書籍檔建置!CD24),基本資料填寫!$E:$EU,COLUMN(基本資料填寫!CH24),0),"")</f>
        <v/>
      </c>
      <c r="C43" s="334" t="str">
        <f>IFERROR(VLOOKUP(基本資料填寫!$E$1&amp;"-"&amp;ROW(書籍檔建置!I24),基本資料填寫!$E:$EU,COLUMN(基本資料填寫!M24),0),"")</f>
        <v/>
      </c>
      <c r="D43" s="334"/>
      <c r="E43" s="335" t="str">
        <f>IFERROR(VLOOKUP(基本資料填寫!$E$1&amp;"-"&amp;ROW(書籍檔建置!O24),基本資料填寫!$E:$EU,COLUMN(基本資料填寫!S24),0),"")</f>
        <v/>
      </c>
      <c r="F43" s="335"/>
      <c r="G43" s="257"/>
      <c r="H43" s="257"/>
      <c r="I43" s="257"/>
      <c r="J43" s="257"/>
      <c r="K43" s="258"/>
      <c r="L43" s="268" t="str">
        <f>IFERROR(VLOOKUP(基本資料填寫!$E$1&amp;"-"&amp;ROW(書籍檔建置!P24),基本資料填寫!$E:$EU,COLUMN(基本資料填寫!T24),0),"")</f>
        <v/>
      </c>
      <c r="M43" s="268" t="str">
        <f>IFERROR(VLOOKUP(基本資料填寫!$E$1&amp;"-"&amp;ROW(書籍檔建置!R24),基本資料填寫!$E:$EU,COLUMN(基本資料填寫!V24),0),"")</f>
        <v/>
      </c>
      <c r="N43" s="259"/>
      <c r="O43" s="262"/>
      <c r="P43" s="262"/>
      <c r="Q43" s="262"/>
      <c r="R43" s="262"/>
      <c r="S43" s="262"/>
      <c r="T43" s="137"/>
    </row>
    <row r="44" spans="1:20" ht="16.2" x14ac:dyDescent="0.3">
      <c r="A44" s="277" t="str">
        <f>IFERROR(VLOOKUP(基本資料填寫!$E$1&amp;"-"&amp;ROW(書籍檔建置!G25),基本資料填寫!$E:$EU,COLUMN(基本資料填寫!K25),0),"")</f>
        <v/>
      </c>
      <c r="B44" s="278" t="str">
        <f>IFERROR(VLOOKUP(基本資料填寫!$E$1&amp;"-"&amp;ROW(書籍檔建置!CD25),基本資料填寫!$E:$EU,COLUMN(基本資料填寫!CH25),0),"")</f>
        <v/>
      </c>
      <c r="C44" s="334" t="str">
        <f>IFERROR(VLOOKUP(基本資料填寫!$E$1&amp;"-"&amp;ROW(書籍檔建置!I25),基本資料填寫!$E:$EU,COLUMN(基本資料填寫!M25),0),"")</f>
        <v/>
      </c>
      <c r="D44" s="334"/>
      <c r="E44" s="335" t="str">
        <f>IFERROR(VLOOKUP(基本資料填寫!$E$1&amp;"-"&amp;ROW(書籍檔建置!O25),基本資料填寫!$E:$EU,COLUMN(基本資料填寫!S25),0),"")</f>
        <v/>
      </c>
      <c r="F44" s="335"/>
      <c r="G44" s="257"/>
      <c r="H44" s="257"/>
      <c r="I44" s="257"/>
      <c r="J44" s="257"/>
      <c r="K44" s="258"/>
      <c r="L44" s="268" t="str">
        <f>IFERROR(VLOOKUP(基本資料填寫!$E$1&amp;"-"&amp;ROW(書籍檔建置!P25),基本資料填寫!$E:$EU,COLUMN(基本資料填寫!T25),0),"")</f>
        <v/>
      </c>
      <c r="M44" s="268" t="str">
        <f>IFERROR(VLOOKUP(基本資料填寫!$E$1&amp;"-"&amp;ROW(書籍檔建置!R25),基本資料填寫!$E:$EU,COLUMN(基本資料填寫!V25),0),"")</f>
        <v/>
      </c>
      <c r="N44" s="259"/>
      <c r="O44" s="262"/>
      <c r="P44" s="262"/>
      <c r="Q44" s="262"/>
      <c r="R44" s="262"/>
      <c r="S44" s="262"/>
      <c r="T44" s="137"/>
    </row>
    <row r="45" spans="1:20" ht="16.2" x14ac:dyDescent="0.3">
      <c r="A45" s="277" t="str">
        <f>IFERROR(VLOOKUP(基本資料填寫!$E$1&amp;"-"&amp;ROW(書籍檔建置!G26),基本資料填寫!$E:$EU,COLUMN(基本資料填寫!K26),0),"")</f>
        <v/>
      </c>
      <c r="B45" s="278" t="str">
        <f>IFERROR(VLOOKUP(基本資料填寫!$E$1&amp;"-"&amp;ROW(書籍檔建置!CD26),基本資料填寫!$E:$EU,COLUMN(基本資料填寫!CH26),0),"")</f>
        <v/>
      </c>
      <c r="C45" s="334" t="str">
        <f>IFERROR(VLOOKUP(基本資料填寫!$E$1&amp;"-"&amp;ROW(書籍檔建置!I26),基本資料填寫!$E:$EU,COLUMN(基本資料填寫!M26),0),"")</f>
        <v/>
      </c>
      <c r="D45" s="334"/>
      <c r="E45" s="335" t="str">
        <f>IFERROR(VLOOKUP(基本資料填寫!$E$1&amp;"-"&amp;ROW(書籍檔建置!O26),基本資料填寫!$E:$EU,COLUMN(基本資料填寫!S26),0),"")</f>
        <v/>
      </c>
      <c r="F45" s="335"/>
      <c r="G45" s="257"/>
      <c r="H45" s="257"/>
      <c r="I45" s="257"/>
      <c r="J45" s="257"/>
      <c r="K45" s="258"/>
      <c r="L45" s="268" t="str">
        <f>IFERROR(VLOOKUP(基本資料填寫!$E$1&amp;"-"&amp;ROW(書籍檔建置!P26),基本資料填寫!$E:$EU,COLUMN(基本資料填寫!T26),0),"")</f>
        <v/>
      </c>
      <c r="M45" s="268" t="str">
        <f>IFERROR(VLOOKUP(基本資料填寫!$E$1&amp;"-"&amp;ROW(書籍檔建置!R26),基本資料填寫!$E:$EU,COLUMN(基本資料填寫!V26),0),"")</f>
        <v/>
      </c>
      <c r="N45" s="259"/>
      <c r="O45" s="262"/>
      <c r="P45" s="262"/>
      <c r="Q45" s="262"/>
      <c r="R45" s="262"/>
      <c r="S45" s="262"/>
      <c r="T45" s="137"/>
    </row>
    <row r="46" spans="1:20" ht="16.2" x14ac:dyDescent="0.3">
      <c r="A46" s="277" t="str">
        <f>IFERROR(VLOOKUP(基本資料填寫!$E$1&amp;"-"&amp;ROW(書籍檔建置!G27),基本資料填寫!$E:$EU,COLUMN(基本資料填寫!K27),0),"")</f>
        <v/>
      </c>
      <c r="B46" s="278" t="str">
        <f>IFERROR(VLOOKUP(基本資料填寫!$E$1&amp;"-"&amp;ROW(書籍檔建置!CD27),基本資料填寫!$E:$EU,COLUMN(基本資料填寫!CH27),0),"")</f>
        <v/>
      </c>
      <c r="C46" s="334" t="str">
        <f>IFERROR(VLOOKUP(基本資料填寫!$E$1&amp;"-"&amp;ROW(書籍檔建置!I27),基本資料填寫!$E:$EU,COLUMN(基本資料填寫!M27),0),"")</f>
        <v/>
      </c>
      <c r="D46" s="334"/>
      <c r="E46" s="335" t="str">
        <f>IFERROR(VLOOKUP(基本資料填寫!$E$1&amp;"-"&amp;ROW(書籍檔建置!O27),基本資料填寫!$E:$EU,COLUMN(基本資料填寫!S27),0),"")</f>
        <v/>
      </c>
      <c r="F46" s="335"/>
      <c r="G46" s="257"/>
      <c r="H46" s="257"/>
      <c r="I46" s="257"/>
      <c r="J46" s="257"/>
      <c r="K46" s="258"/>
      <c r="L46" s="268" t="str">
        <f>IFERROR(VLOOKUP(基本資料填寫!$E$1&amp;"-"&amp;ROW(書籍檔建置!P27),基本資料填寫!$E:$EU,COLUMN(基本資料填寫!T27),0),"")</f>
        <v/>
      </c>
      <c r="M46" s="268" t="str">
        <f>IFERROR(VLOOKUP(基本資料填寫!$E$1&amp;"-"&amp;ROW(書籍檔建置!R27),基本資料填寫!$E:$EU,COLUMN(基本資料填寫!V27),0),"")</f>
        <v/>
      </c>
      <c r="N46" s="259"/>
      <c r="O46" s="262"/>
      <c r="P46" s="262"/>
      <c r="Q46" s="262"/>
      <c r="R46" s="262"/>
      <c r="S46" s="262"/>
      <c r="T46" s="137"/>
    </row>
    <row r="47" spans="1:20" ht="16.2" x14ac:dyDescent="0.3">
      <c r="A47" s="277" t="str">
        <f>IFERROR(VLOOKUP(基本資料填寫!$E$1&amp;"-"&amp;ROW(書籍檔建置!G28),基本資料填寫!$E:$EU,COLUMN(基本資料填寫!K28),0),"")</f>
        <v/>
      </c>
      <c r="B47" s="278" t="str">
        <f>IFERROR(VLOOKUP(基本資料填寫!$E$1&amp;"-"&amp;ROW(書籍檔建置!CD28),基本資料填寫!$E:$EU,COLUMN(基本資料填寫!CH28),0),"")</f>
        <v/>
      </c>
      <c r="C47" s="334" t="str">
        <f>IFERROR(VLOOKUP(基本資料填寫!$E$1&amp;"-"&amp;ROW(書籍檔建置!I28),基本資料填寫!$E:$EU,COLUMN(基本資料填寫!M28),0),"")</f>
        <v/>
      </c>
      <c r="D47" s="334"/>
      <c r="E47" s="335" t="str">
        <f>IFERROR(VLOOKUP(基本資料填寫!$E$1&amp;"-"&amp;ROW(書籍檔建置!O28),基本資料填寫!$E:$EU,COLUMN(基本資料填寫!S28),0),"")</f>
        <v/>
      </c>
      <c r="F47" s="335"/>
      <c r="G47" s="257"/>
      <c r="H47" s="257"/>
      <c r="I47" s="257"/>
      <c r="J47" s="257"/>
      <c r="K47" s="258"/>
      <c r="L47" s="268" t="str">
        <f>IFERROR(VLOOKUP(基本資料填寫!$E$1&amp;"-"&amp;ROW(書籍檔建置!P28),基本資料填寫!$E:$EU,COLUMN(基本資料填寫!T28),0),"")</f>
        <v/>
      </c>
      <c r="M47" s="268" t="str">
        <f>IFERROR(VLOOKUP(基本資料填寫!$E$1&amp;"-"&amp;ROW(書籍檔建置!R28),基本資料填寫!$E:$EU,COLUMN(基本資料填寫!V28),0),"")</f>
        <v/>
      </c>
      <c r="N47" s="259"/>
      <c r="O47" s="262"/>
      <c r="P47" s="262"/>
      <c r="Q47" s="262"/>
      <c r="R47" s="262"/>
      <c r="S47" s="262"/>
      <c r="T47" s="137"/>
    </row>
    <row r="48" spans="1:20" ht="16.2" x14ac:dyDescent="0.3">
      <c r="A48" s="277" t="str">
        <f>IFERROR(VLOOKUP(基本資料填寫!$E$1&amp;"-"&amp;ROW(書籍檔建置!G29),基本資料填寫!$E:$EU,COLUMN(基本資料填寫!K29),0),"")</f>
        <v/>
      </c>
      <c r="B48" s="278" t="str">
        <f>IFERROR(VLOOKUP(基本資料填寫!$E$1&amp;"-"&amp;ROW(書籍檔建置!CD29),基本資料填寫!$E:$EU,COLUMN(基本資料填寫!CH29),0),"")</f>
        <v/>
      </c>
      <c r="C48" s="334" t="str">
        <f>IFERROR(VLOOKUP(基本資料填寫!$E$1&amp;"-"&amp;ROW(書籍檔建置!I29),基本資料填寫!$E:$EU,COLUMN(基本資料填寫!M29),0),"")</f>
        <v/>
      </c>
      <c r="D48" s="334"/>
      <c r="E48" s="335" t="str">
        <f>IFERROR(VLOOKUP(基本資料填寫!$E$1&amp;"-"&amp;ROW(書籍檔建置!O29),基本資料填寫!$E:$EU,COLUMN(基本資料填寫!S29),0),"")</f>
        <v/>
      </c>
      <c r="F48" s="335"/>
      <c r="G48" s="257"/>
      <c r="H48" s="257"/>
      <c r="I48" s="257"/>
      <c r="J48" s="257"/>
      <c r="K48" s="258"/>
      <c r="L48" s="268" t="str">
        <f>IFERROR(VLOOKUP(基本資料填寫!$E$1&amp;"-"&amp;ROW(書籍檔建置!P29),基本資料填寫!$E:$EU,COLUMN(基本資料填寫!T29),0),"")</f>
        <v/>
      </c>
      <c r="M48" s="268" t="str">
        <f>IFERROR(VLOOKUP(基本資料填寫!$E$1&amp;"-"&amp;ROW(書籍檔建置!R29),基本資料填寫!$E:$EU,COLUMN(基本資料填寫!V29),0),"")</f>
        <v/>
      </c>
      <c r="N48" s="259"/>
      <c r="O48" s="262"/>
      <c r="P48" s="262"/>
      <c r="Q48" s="262"/>
      <c r="R48" s="262"/>
      <c r="S48" s="262"/>
      <c r="T48" s="137"/>
    </row>
    <row r="49" spans="1:20" ht="16.2" x14ac:dyDescent="0.3">
      <c r="A49" s="277" t="str">
        <f>IFERROR(VLOOKUP(基本資料填寫!$E$1&amp;"-"&amp;ROW(書籍檔建置!G30),基本資料填寫!$E:$EU,COLUMN(基本資料填寫!K30),0),"")</f>
        <v/>
      </c>
      <c r="B49" s="278" t="str">
        <f>IFERROR(VLOOKUP(基本資料填寫!$E$1&amp;"-"&amp;ROW(書籍檔建置!CD30),基本資料填寫!$E:$EU,COLUMN(基本資料填寫!CH30),0),"")</f>
        <v/>
      </c>
      <c r="C49" s="334" t="str">
        <f>IFERROR(VLOOKUP(基本資料填寫!$E$1&amp;"-"&amp;ROW(書籍檔建置!I30),基本資料填寫!$E:$EU,COLUMN(基本資料填寫!M30),0),"")</f>
        <v/>
      </c>
      <c r="D49" s="334"/>
      <c r="E49" s="335" t="str">
        <f>IFERROR(VLOOKUP(基本資料填寫!$E$1&amp;"-"&amp;ROW(書籍檔建置!O30),基本資料填寫!$E:$EU,COLUMN(基本資料填寫!S30),0),"")</f>
        <v/>
      </c>
      <c r="F49" s="335"/>
      <c r="G49" s="257"/>
      <c r="H49" s="257"/>
      <c r="I49" s="257"/>
      <c r="J49" s="257"/>
      <c r="K49" s="258"/>
      <c r="L49" s="268" t="str">
        <f>IFERROR(VLOOKUP(基本資料填寫!$E$1&amp;"-"&amp;ROW(書籍檔建置!P30),基本資料填寫!$E:$EU,COLUMN(基本資料填寫!T30),0),"")</f>
        <v/>
      </c>
      <c r="M49" s="268" t="str">
        <f>IFERROR(VLOOKUP(基本資料填寫!$E$1&amp;"-"&amp;ROW(書籍檔建置!R30),基本資料填寫!$E:$EU,COLUMN(基本資料填寫!V30),0),"")</f>
        <v/>
      </c>
      <c r="N49" s="259"/>
      <c r="O49" s="262"/>
      <c r="P49" s="262"/>
      <c r="Q49" s="262"/>
      <c r="R49" s="262"/>
      <c r="S49" s="262"/>
      <c r="T49" s="137"/>
    </row>
    <row r="50" spans="1:20" ht="16.2" x14ac:dyDescent="0.3">
      <c r="A50" s="277" t="str">
        <f>IFERROR(VLOOKUP(基本資料填寫!$E$1&amp;"-"&amp;ROW(書籍檔建置!G31),基本資料填寫!$E:$EU,COLUMN(基本資料填寫!K31),0),"")</f>
        <v/>
      </c>
      <c r="B50" s="278" t="str">
        <f>IFERROR(VLOOKUP(基本資料填寫!$E$1&amp;"-"&amp;ROW(書籍檔建置!CD31),基本資料填寫!$E:$EU,COLUMN(基本資料填寫!CH31),0),"")</f>
        <v/>
      </c>
      <c r="C50" s="334" t="str">
        <f>IFERROR(VLOOKUP(基本資料填寫!$E$1&amp;"-"&amp;ROW(書籍檔建置!I31),基本資料填寫!$E:$EU,COLUMN(基本資料填寫!M31),0),"")</f>
        <v/>
      </c>
      <c r="D50" s="334"/>
      <c r="E50" s="335" t="str">
        <f>IFERROR(VLOOKUP(基本資料填寫!$E$1&amp;"-"&amp;ROW(書籍檔建置!O31),基本資料填寫!$E:$EU,COLUMN(基本資料填寫!S31),0),"")</f>
        <v/>
      </c>
      <c r="F50" s="335"/>
      <c r="G50" s="257"/>
      <c r="H50" s="257"/>
      <c r="I50" s="257"/>
      <c r="J50" s="257"/>
      <c r="K50" s="258"/>
      <c r="L50" s="268" t="str">
        <f>IFERROR(VLOOKUP(基本資料填寫!$E$1&amp;"-"&amp;ROW(書籍檔建置!P31),基本資料填寫!$E:$EU,COLUMN(基本資料填寫!T31),0),"")</f>
        <v/>
      </c>
      <c r="M50" s="268" t="str">
        <f>IFERROR(VLOOKUP(基本資料填寫!$E$1&amp;"-"&amp;ROW(書籍檔建置!R31),基本資料填寫!$E:$EU,COLUMN(基本資料填寫!V31),0),"")</f>
        <v/>
      </c>
      <c r="N50" s="259"/>
      <c r="O50" s="262"/>
      <c r="P50" s="262"/>
      <c r="Q50" s="262"/>
      <c r="R50" s="262"/>
      <c r="S50" s="262"/>
      <c r="T50" s="137"/>
    </row>
    <row r="51" spans="1:20" ht="16.2" x14ac:dyDescent="0.3">
      <c r="A51" s="277" t="str">
        <f>IFERROR(VLOOKUP(基本資料填寫!$E$1&amp;"-"&amp;ROW(書籍檔建置!G32),基本資料填寫!$E:$EU,COLUMN(基本資料填寫!K32),0),"")</f>
        <v/>
      </c>
      <c r="B51" s="278" t="str">
        <f>IFERROR(VLOOKUP(基本資料填寫!$E$1&amp;"-"&amp;ROW(書籍檔建置!CD32),基本資料填寫!$E:$EU,COLUMN(基本資料填寫!CH32),0),"")</f>
        <v/>
      </c>
      <c r="C51" s="334" t="str">
        <f>IFERROR(VLOOKUP(基本資料填寫!$E$1&amp;"-"&amp;ROW(書籍檔建置!I32),基本資料填寫!$E:$EU,COLUMN(基本資料填寫!M32),0),"")</f>
        <v/>
      </c>
      <c r="D51" s="334"/>
      <c r="E51" s="335" t="str">
        <f>IFERROR(VLOOKUP(基本資料填寫!$E$1&amp;"-"&amp;ROW(書籍檔建置!O32),基本資料填寫!$E:$EU,COLUMN(基本資料填寫!S32),0),"")</f>
        <v/>
      </c>
      <c r="F51" s="335"/>
      <c r="G51" s="257"/>
      <c r="H51" s="257"/>
      <c r="I51" s="257"/>
      <c r="J51" s="257"/>
      <c r="K51" s="258"/>
      <c r="L51" s="268" t="str">
        <f>IFERROR(VLOOKUP(基本資料填寫!$E$1&amp;"-"&amp;ROW(書籍檔建置!P32),基本資料填寫!$E:$EU,COLUMN(基本資料填寫!T32),0),"")</f>
        <v/>
      </c>
      <c r="M51" s="268" t="str">
        <f>IFERROR(VLOOKUP(基本資料填寫!$E$1&amp;"-"&amp;ROW(書籍檔建置!R32),基本資料填寫!$E:$EU,COLUMN(基本資料填寫!V32),0),"")</f>
        <v/>
      </c>
      <c r="N51" s="262"/>
      <c r="O51" s="262"/>
      <c r="P51" s="262"/>
      <c r="Q51" s="262"/>
      <c r="R51" s="262"/>
      <c r="S51" s="262"/>
      <c r="T51" s="137"/>
    </row>
    <row r="52" spans="1:20" ht="16.2" x14ac:dyDescent="0.3">
      <c r="A52" s="277" t="str">
        <f>IFERROR(VLOOKUP(基本資料填寫!$E$1&amp;"-"&amp;ROW(書籍檔建置!G33),基本資料填寫!$E:$EU,COLUMN(基本資料填寫!K33),0),"")</f>
        <v/>
      </c>
      <c r="B52" s="278" t="str">
        <f>IFERROR(VLOOKUP(基本資料填寫!$E$1&amp;"-"&amp;ROW(書籍檔建置!CD33),基本資料填寫!$E:$EU,COLUMN(基本資料填寫!CH33),0),"")</f>
        <v/>
      </c>
      <c r="C52" s="334" t="str">
        <f>IFERROR(VLOOKUP(基本資料填寫!$E$1&amp;"-"&amp;ROW(書籍檔建置!I33),基本資料填寫!$E:$EU,COLUMN(基本資料填寫!M33),0),"")</f>
        <v/>
      </c>
      <c r="D52" s="334"/>
      <c r="E52" s="335" t="str">
        <f>IFERROR(VLOOKUP(基本資料填寫!$E$1&amp;"-"&amp;ROW(書籍檔建置!O33),基本資料填寫!$E:$EU,COLUMN(基本資料填寫!S33),0),"")</f>
        <v/>
      </c>
      <c r="F52" s="335"/>
      <c r="G52" s="267"/>
      <c r="H52" s="267"/>
      <c r="I52" s="267"/>
      <c r="J52" s="267"/>
      <c r="K52" s="258"/>
      <c r="L52" s="268" t="str">
        <f>IFERROR(VLOOKUP(基本資料填寫!$E$1&amp;"-"&amp;ROW(書籍檔建置!P33),基本資料填寫!$E:$EU,COLUMN(基本資料填寫!T33),0),"")</f>
        <v/>
      </c>
      <c r="M52" s="268" t="str">
        <f>IFERROR(VLOOKUP(基本資料填寫!$E$1&amp;"-"&amp;ROW(書籍檔建置!R33),基本資料填寫!$E:$EU,COLUMN(基本資料填寫!V33),0),"")</f>
        <v/>
      </c>
      <c r="N52" s="262"/>
      <c r="O52" s="262"/>
      <c r="P52" s="262"/>
      <c r="Q52" s="262"/>
      <c r="R52" s="262"/>
      <c r="S52" s="262"/>
      <c r="T52" s="137"/>
    </row>
    <row r="53" spans="1:20" ht="16.2" x14ac:dyDescent="0.3">
      <c r="A53" s="277" t="str">
        <f>IFERROR(VLOOKUP(基本資料填寫!$E$1&amp;"-"&amp;ROW(書籍檔建置!G34),基本資料填寫!$E:$EU,COLUMN(基本資料填寫!K34),0),"")</f>
        <v/>
      </c>
      <c r="B53" s="278" t="str">
        <f>IFERROR(VLOOKUP(基本資料填寫!$E$1&amp;"-"&amp;ROW(書籍檔建置!CD34),基本資料填寫!$E:$EU,COLUMN(基本資料填寫!CH34),0),"")</f>
        <v/>
      </c>
      <c r="C53" s="334" t="str">
        <f>IFERROR(VLOOKUP(基本資料填寫!$E$1&amp;"-"&amp;ROW(書籍檔建置!I34),基本資料填寫!$E:$EU,COLUMN(基本資料填寫!M34),0),"")</f>
        <v/>
      </c>
      <c r="D53" s="334"/>
      <c r="E53" s="335" t="str">
        <f>IFERROR(VLOOKUP(基本資料填寫!$E$1&amp;"-"&amp;ROW(書籍檔建置!O34),基本資料填寫!$E:$EU,COLUMN(基本資料填寫!S34),0),"")</f>
        <v/>
      </c>
      <c r="F53" s="335"/>
      <c r="G53" s="258"/>
      <c r="H53" s="258"/>
      <c r="I53" s="258"/>
      <c r="J53" s="258"/>
      <c r="K53" s="258"/>
      <c r="L53" s="268" t="str">
        <f>IFERROR(VLOOKUP(基本資料填寫!$E$1&amp;"-"&amp;ROW(書籍檔建置!P34),基本資料填寫!$E:$EU,COLUMN(基本資料填寫!T34),0),"")</f>
        <v/>
      </c>
      <c r="M53" s="268" t="str">
        <f>IFERROR(VLOOKUP(基本資料填寫!$E$1&amp;"-"&amp;ROW(書籍檔建置!R34),基本資料填寫!$E:$EU,COLUMN(基本資料填寫!V34),0),"")</f>
        <v/>
      </c>
      <c r="N53" s="262"/>
      <c r="O53" s="262"/>
      <c r="P53" s="262"/>
      <c r="Q53" s="262"/>
      <c r="R53" s="262"/>
      <c r="S53" s="262"/>
      <c r="T53" s="137"/>
    </row>
    <row r="54" spans="1:20" ht="16.2" x14ac:dyDescent="0.3">
      <c r="A54" s="277" t="str">
        <f>IFERROR(VLOOKUP(基本資料填寫!$E$1&amp;"-"&amp;ROW(書籍檔建置!G35),基本資料填寫!$E:$EU,COLUMN(基本資料填寫!K35),0),"")</f>
        <v/>
      </c>
      <c r="B54" s="278" t="str">
        <f>IFERROR(VLOOKUP(基本資料填寫!$E$1&amp;"-"&amp;ROW(書籍檔建置!CD35),基本資料填寫!$E:$EU,COLUMN(基本資料填寫!CH35),0),"")</f>
        <v/>
      </c>
      <c r="C54" s="334" t="str">
        <f>IFERROR(VLOOKUP(基本資料填寫!$E$1&amp;"-"&amp;ROW(書籍檔建置!I35),基本資料填寫!$E:$EU,COLUMN(基本資料填寫!M35),0),"")</f>
        <v/>
      </c>
      <c r="D54" s="334"/>
      <c r="E54" s="335" t="str">
        <f>IFERROR(VLOOKUP(基本資料填寫!$E$1&amp;"-"&amp;ROW(書籍檔建置!O35),基本資料填寫!$E:$EU,COLUMN(基本資料填寫!S35),0),"")</f>
        <v/>
      </c>
      <c r="F54" s="335"/>
      <c r="G54" s="258"/>
      <c r="H54" s="258"/>
      <c r="I54" s="258"/>
      <c r="J54" s="258"/>
      <c r="K54" s="258"/>
      <c r="L54" s="268" t="str">
        <f>IFERROR(VLOOKUP(基本資料填寫!$E$1&amp;"-"&amp;ROW(書籍檔建置!P35),基本資料填寫!$E:$EU,COLUMN(基本資料填寫!T35),0),"")</f>
        <v/>
      </c>
      <c r="M54" s="268" t="str">
        <f>IFERROR(VLOOKUP(基本資料填寫!$E$1&amp;"-"&amp;ROW(書籍檔建置!R35),基本資料填寫!$E:$EU,COLUMN(基本資料填寫!V35),0),"")</f>
        <v/>
      </c>
      <c r="N54" s="262"/>
      <c r="O54" s="262"/>
      <c r="P54" s="262"/>
      <c r="Q54" s="262"/>
      <c r="R54" s="262"/>
      <c r="S54" s="262"/>
      <c r="T54" s="137"/>
    </row>
    <row r="55" spans="1:20" ht="16.2" x14ac:dyDescent="0.3">
      <c r="A55" s="277" t="str">
        <f>IFERROR(VLOOKUP(基本資料填寫!$E$1&amp;"-"&amp;ROW(書籍檔建置!G36),基本資料填寫!$E:$EU,COLUMN(基本資料填寫!K36),0),"")</f>
        <v/>
      </c>
      <c r="B55" s="278" t="str">
        <f>IFERROR(VLOOKUP(基本資料填寫!$E$1&amp;"-"&amp;ROW(書籍檔建置!CD36),基本資料填寫!$E:$EU,COLUMN(基本資料填寫!CH36),0),"")</f>
        <v/>
      </c>
      <c r="C55" s="334" t="str">
        <f>IFERROR(VLOOKUP(基本資料填寫!$E$1&amp;"-"&amp;ROW(書籍檔建置!I36),基本資料填寫!$E:$EU,COLUMN(基本資料填寫!M36),0),"")</f>
        <v/>
      </c>
      <c r="D55" s="334"/>
      <c r="E55" s="335" t="str">
        <f>IFERROR(VLOOKUP(基本資料填寫!$E$1&amp;"-"&amp;ROW(書籍檔建置!O36),基本資料填寫!$E:$EU,COLUMN(基本資料填寫!S36),0),"")</f>
        <v/>
      </c>
      <c r="F55" s="335"/>
      <c r="G55" s="258"/>
      <c r="H55" s="258"/>
      <c r="I55" s="258"/>
      <c r="J55" s="258"/>
      <c r="K55" s="258"/>
      <c r="L55" s="268" t="str">
        <f>IFERROR(VLOOKUP(基本資料填寫!$E$1&amp;"-"&amp;ROW(書籍檔建置!P36),基本資料填寫!$E:$EU,COLUMN(基本資料填寫!T36),0),"")</f>
        <v/>
      </c>
      <c r="M55" s="268" t="str">
        <f>IFERROR(VLOOKUP(基本資料填寫!$E$1&amp;"-"&amp;ROW(書籍檔建置!R36),基本資料填寫!$E:$EU,COLUMN(基本資料填寫!V36),0),"")</f>
        <v/>
      </c>
      <c r="N55" s="262"/>
      <c r="O55" s="262"/>
      <c r="P55" s="262"/>
      <c r="Q55" s="262"/>
      <c r="R55" s="262"/>
      <c r="S55" s="262"/>
      <c r="T55" s="137"/>
    </row>
    <row r="56" spans="1:20" ht="16.2" x14ac:dyDescent="0.3">
      <c r="A56" s="277" t="str">
        <f>IFERROR(VLOOKUP(基本資料填寫!$E$1&amp;"-"&amp;ROW(書籍檔建置!G37),基本資料填寫!$E:$EU,COLUMN(基本資料填寫!K37),0),"")</f>
        <v/>
      </c>
      <c r="B56" s="278" t="str">
        <f>IFERROR(VLOOKUP(基本資料填寫!$E$1&amp;"-"&amp;ROW(書籍檔建置!CD37),基本資料填寫!$E:$EU,COLUMN(基本資料填寫!CH37),0),"")</f>
        <v/>
      </c>
      <c r="C56" s="334" t="str">
        <f>IFERROR(VLOOKUP(基本資料填寫!$E$1&amp;"-"&amp;ROW(書籍檔建置!I37),基本資料填寫!$E:$EU,COLUMN(基本資料填寫!M37),0),"")</f>
        <v/>
      </c>
      <c r="D56" s="334"/>
      <c r="E56" s="335" t="str">
        <f>IFERROR(VLOOKUP(基本資料填寫!$E$1&amp;"-"&amp;ROW(書籍檔建置!O37),基本資料填寫!$E:$EU,COLUMN(基本資料填寫!S37),0),"")</f>
        <v/>
      </c>
      <c r="F56" s="335"/>
      <c r="G56" s="258"/>
      <c r="H56" s="258"/>
      <c r="I56" s="258"/>
      <c r="J56" s="258"/>
      <c r="K56" s="258"/>
      <c r="L56" s="268" t="str">
        <f>IFERROR(VLOOKUP(基本資料填寫!$E$1&amp;"-"&amp;ROW(書籍檔建置!P37),基本資料填寫!$E:$EU,COLUMN(基本資料填寫!T37),0),"")</f>
        <v/>
      </c>
      <c r="M56" s="268" t="str">
        <f>IFERROR(VLOOKUP(基本資料填寫!$E$1&amp;"-"&amp;ROW(書籍檔建置!R37),基本資料填寫!$E:$EU,COLUMN(基本資料填寫!V37),0),"")</f>
        <v/>
      </c>
      <c r="N56" s="262"/>
      <c r="O56" s="262"/>
      <c r="P56" s="262"/>
      <c r="Q56" s="262"/>
      <c r="R56" s="262"/>
      <c r="S56" s="262"/>
      <c r="T56" s="137"/>
    </row>
    <row r="57" spans="1:20" ht="16.2" x14ac:dyDescent="0.3">
      <c r="A57" s="277" t="str">
        <f>IFERROR(VLOOKUP(基本資料填寫!$E$1&amp;"-"&amp;ROW(書籍檔建置!G38),基本資料填寫!$E:$EU,COLUMN(基本資料填寫!K38),0),"")</f>
        <v/>
      </c>
      <c r="B57" s="278" t="str">
        <f>IFERROR(VLOOKUP(基本資料填寫!$E$1&amp;"-"&amp;ROW(書籍檔建置!CD38),基本資料填寫!$E:$EU,COLUMN(基本資料填寫!CH38),0),"")</f>
        <v/>
      </c>
      <c r="C57" s="334" t="str">
        <f>IFERROR(VLOOKUP(基本資料填寫!$E$1&amp;"-"&amp;ROW(書籍檔建置!I38),基本資料填寫!$E:$EU,COLUMN(基本資料填寫!M38),0),"")</f>
        <v/>
      </c>
      <c r="D57" s="334"/>
      <c r="E57" s="335" t="str">
        <f>IFERROR(VLOOKUP(基本資料填寫!$E$1&amp;"-"&amp;ROW(書籍檔建置!O38),基本資料填寫!$E:$EU,COLUMN(基本資料填寫!S38),0),"")</f>
        <v/>
      </c>
      <c r="F57" s="335"/>
      <c r="G57" s="258"/>
      <c r="H57" s="258"/>
      <c r="I57" s="258"/>
      <c r="J57" s="258"/>
      <c r="K57" s="258"/>
      <c r="L57" s="268" t="str">
        <f>IFERROR(VLOOKUP(基本資料填寫!$E$1&amp;"-"&amp;ROW(書籍檔建置!P38),基本資料填寫!$E:$EU,COLUMN(基本資料填寫!T38),0),"")</f>
        <v/>
      </c>
      <c r="M57" s="268" t="str">
        <f>IFERROR(VLOOKUP(基本資料填寫!$E$1&amp;"-"&amp;ROW(書籍檔建置!R38),基本資料填寫!$E:$EU,COLUMN(基本資料填寫!V38),0),"")</f>
        <v/>
      </c>
      <c r="N57" s="262"/>
      <c r="O57" s="262"/>
      <c r="P57" s="262"/>
      <c r="Q57" s="262"/>
      <c r="R57" s="262"/>
      <c r="S57" s="262"/>
      <c r="T57" s="137"/>
    </row>
    <row r="58" spans="1:20" ht="16.2" x14ac:dyDescent="0.3">
      <c r="A58" s="277" t="str">
        <f>IFERROR(VLOOKUP(基本資料填寫!$E$1&amp;"-"&amp;ROW(書籍檔建置!G39),基本資料填寫!$E:$EU,COLUMN(基本資料填寫!K39),0),"")</f>
        <v/>
      </c>
      <c r="B58" s="278" t="str">
        <f>IFERROR(VLOOKUP(基本資料填寫!$E$1&amp;"-"&amp;ROW(書籍檔建置!CD39),基本資料填寫!$E:$EU,COLUMN(基本資料填寫!CH39),0),"")</f>
        <v/>
      </c>
      <c r="C58" s="334" t="str">
        <f>IFERROR(VLOOKUP(基本資料填寫!$E$1&amp;"-"&amp;ROW(書籍檔建置!I39),基本資料填寫!$E:$EU,COLUMN(基本資料填寫!M39),0),"")</f>
        <v/>
      </c>
      <c r="D58" s="334"/>
      <c r="E58" s="335" t="str">
        <f>IFERROR(VLOOKUP(基本資料填寫!$E$1&amp;"-"&amp;ROW(書籍檔建置!O39),基本資料填寫!$E:$EU,COLUMN(基本資料填寫!S39),0),"")</f>
        <v/>
      </c>
      <c r="F58" s="335"/>
      <c r="G58" s="258"/>
      <c r="H58" s="258"/>
      <c r="I58" s="258"/>
      <c r="J58" s="258"/>
      <c r="K58" s="258"/>
      <c r="L58" s="268" t="str">
        <f>IFERROR(VLOOKUP(基本資料填寫!$E$1&amp;"-"&amp;ROW(書籍檔建置!P39),基本資料填寫!$E:$EU,COLUMN(基本資料填寫!T39),0),"")</f>
        <v/>
      </c>
      <c r="M58" s="268" t="str">
        <f>IFERROR(VLOOKUP(基本資料填寫!$E$1&amp;"-"&amp;ROW(書籍檔建置!R39),基本資料填寫!$E:$EU,COLUMN(基本資料填寫!V39),0),"")</f>
        <v/>
      </c>
      <c r="N58" s="262"/>
      <c r="O58" s="262"/>
      <c r="P58" s="262"/>
      <c r="Q58" s="262"/>
      <c r="R58" s="262"/>
      <c r="S58" s="262"/>
      <c r="T58" s="137"/>
    </row>
    <row r="59" spans="1:20" ht="16.2" x14ac:dyDescent="0.3">
      <c r="A59" s="279" t="str">
        <f>IFERROR(VLOOKUP(基本資料填寫!$E$1&amp;"-"&amp;ROW(書籍檔建置!G40),基本資料填寫!$E:$EU,COLUMN(基本資料填寫!K40),0),"")</f>
        <v/>
      </c>
      <c r="B59" s="280" t="str">
        <f>IFERROR(VLOOKUP(基本資料填寫!$E$1&amp;"-"&amp;ROW(書籍檔建置!CD40),基本資料填寫!$E:$EU,COLUMN(基本資料填寫!CH40),0),"")</f>
        <v/>
      </c>
      <c r="C59" s="336" t="str">
        <f>IFERROR(VLOOKUP(基本資料填寫!$E$1&amp;"-"&amp;ROW(書籍檔建置!I40),基本資料填寫!$E:$EU,COLUMN(基本資料填寫!M40),0),"")</f>
        <v/>
      </c>
      <c r="D59" s="336"/>
      <c r="E59" s="335" t="str">
        <f>IFERROR(VLOOKUP(基本資料填寫!$E$1&amp;"-"&amp;ROW(書籍檔建置!O40),基本資料填寫!$E:$EU,COLUMN(基本資料填寫!S40),0),"")</f>
        <v/>
      </c>
      <c r="F59" s="335"/>
      <c r="G59" s="258"/>
      <c r="H59" s="258"/>
      <c r="I59" s="258"/>
      <c r="J59" s="273"/>
      <c r="K59" s="273"/>
      <c r="L59" s="269" t="str">
        <f>IFERROR(VLOOKUP(基本資料填寫!$E$1&amp;"-"&amp;ROW(書籍檔建置!P40),基本資料填寫!$E:$EU,COLUMN(基本資料填寫!T40),0),"")</f>
        <v/>
      </c>
      <c r="M59" s="269" t="str">
        <f>IFERROR(VLOOKUP(基本資料填寫!$E$1&amp;"-"&amp;ROW(書籍檔建置!R40),基本資料填寫!$E:$EU,COLUMN(基本資料填寫!V40),0),"")</f>
        <v/>
      </c>
      <c r="N59" s="274"/>
      <c r="O59" s="274"/>
      <c r="P59" s="274"/>
      <c r="Q59" s="274"/>
      <c r="R59" s="274"/>
      <c r="S59" s="262"/>
      <c r="T59" s="137"/>
    </row>
    <row r="60" spans="1:20" ht="34.950000000000003" customHeight="1" x14ac:dyDescent="0.3">
      <c r="A60" s="326" t="s">
        <v>161</v>
      </c>
      <c r="B60" s="326"/>
      <c r="C60" s="255" t="s">
        <v>156</v>
      </c>
      <c r="D60" s="327" t="s">
        <v>162</v>
      </c>
      <c r="E60" s="328"/>
      <c r="F60" s="329"/>
      <c r="G60" s="331" t="s">
        <v>142</v>
      </c>
      <c r="H60" s="331" t="s">
        <v>143</v>
      </c>
      <c r="I60" s="331" t="s">
        <v>144</v>
      </c>
      <c r="J60" s="331" t="s">
        <v>145</v>
      </c>
      <c r="K60" s="331" t="s">
        <v>146</v>
      </c>
      <c r="L60" s="331" t="s">
        <v>147</v>
      </c>
      <c r="M60" s="331" t="s">
        <v>148</v>
      </c>
      <c r="N60" s="263">
        <v>1</v>
      </c>
      <c r="O60" s="263">
        <v>2</v>
      </c>
      <c r="P60" s="263">
        <v>3</v>
      </c>
      <c r="Q60" s="263">
        <v>4</v>
      </c>
      <c r="R60" s="263" t="s">
        <v>151</v>
      </c>
      <c r="S60" s="263" t="s">
        <v>152</v>
      </c>
      <c r="T60" s="263" t="s">
        <v>153</v>
      </c>
    </row>
    <row r="61" spans="1:20" x14ac:dyDescent="0.3">
      <c r="A61" s="255" t="s">
        <v>163</v>
      </c>
      <c r="B61" s="264">
        <v>419</v>
      </c>
      <c r="C61" s="333" t="s">
        <v>164</v>
      </c>
      <c r="D61" s="333"/>
      <c r="E61" s="333"/>
      <c r="F61" s="333"/>
      <c r="G61" s="332"/>
      <c r="H61" s="332"/>
      <c r="I61" s="332"/>
      <c r="J61" s="332"/>
      <c r="K61" s="332"/>
      <c r="L61" s="332"/>
      <c r="M61" s="332"/>
      <c r="N61" s="330" t="str">
        <f>基本資料填寫!$CP$2</f>
        <v>27NYE0823</v>
      </c>
      <c r="O61" s="330"/>
      <c r="P61" s="330"/>
      <c r="Q61" s="330"/>
      <c r="R61" s="330"/>
      <c r="S61" s="265" t="s">
        <v>141</v>
      </c>
      <c r="T61" s="266"/>
    </row>
    <row r="62" spans="1:20" ht="49.2" customHeight="1" x14ac:dyDescent="0.3">
      <c r="A62" s="255" t="s">
        <v>165</v>
      </c>
      <c r="B62" s="255" t="s">
        <v>166</v>
      </c>
      <c r="C62" s="333"/>
      <c r="D62" s="333"/>
      <c r="E62" s="333"/>
      <c r="F62" s="333"/>
      <c r="G62" s="332"/>
      <c r="H62" s="332"/>
      <c r="I62" s="332"/>
      <c r="J62" s="332"/>
      <c r="K62" s="332"/>
      <c r="L62" s="332"/>
      <c r="M62" s="332"/>
      <c r="N62" s="326" t="s">
        <v>137</v>
      </c>
      <c r="O62" s="326"/>
      <c r="P62" s="326"/>
      <c r="Q62" s="326"/>
      <c r="R62" s="326"/>
      <c r="S62" s="255" t="s">
        <v>138</v>
      </c>
      <c r="T62" s="255" t="s">
        <v>139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K60:K62"/>
    <mergeCell ref="L60:L62"/>
    <mergeCell ref="M60:M62"/>
    <mergeCell ref="C61:F62"/>
    <mergeCell ref="N61:R61"/>
    <mergeCell ref="N62:R62"/>
    <mergeCell ref="A60:B60"/>
    <mergeCell ref="D60:F60"/>
    <mergeCell ref="G60:G62"/>
    <mergeCell ref="H60:H62"/>
    <mergeCell ref="I60:I62"/>
    <mergeCell ref="J60:J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40:D40"/>
    <mergeCell ref="E40:F40"/>
    <mergeCell ref="C41:D41"/>
    <mergeCell ref="E41:F41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A36:F38"/>
    <mergeCell ref="G36:G39"/>
    <mergeCell ref="H36:H39"/>
    <mergeCell ref="I36:I39"/>
    <mergeCell ref="J36:J39"/>
    <mergeCell ref="K36:K39"/>
    <mergeCell ref="L36:L39"/>
    <mergeCell ref="M36:M39"/>
    <mergeCell ref="C39:D39"/>
    <mergeCell ref="E39:F39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K29:K31"/>
    <mergeCell ref="L29:L31"/>
    <mergeCell ref="M29:M31"/>
    <mergeCell ref="C30:F31"/>
    <mergeCell ref="N30:R30"/>
    <mergeCell ref="N31:R31"/>
    <mergeCell ref="A29:B29"/>
    <mergeCell ref="D29:F29"/>
    <mergeCell ref="G29:G31"/>
    <mergeCell ref="H29:H31"/>
    <mergeCell ref="I29:I31"/>
    <mergeCell ref="J29:J31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24:F24"/>
    <mergeCell ref="C25:D25"/>
    <mergeCell ref="E25:F25"/>
    <mergeCell ref="C20:D20"/>
    <mergeCell ref="E20:F20"/>
    <mergeCell ref="C21:D21"/>
    <mergeCell ref="E21:F21"/>
    <mergeCell ref="C22:D22"/>
    <mergeCell ref="E22:F22"/>
    <mergeCell ref="C17:D17"/>
    <mergeCell ref="E17:F17"/>
    <mergeCell ref="C18:D18"/>
    <mergeCell ref="E18:F18"/>
    <mergeCell ref="C19:D19"/>
    <mergeCell ref="E19:F19"/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9:D9"/>
    <mergeCell ref="E9:F9"/>
    <mergeCell ref="C10:D10"/>
    <mergeCell ref="E10:F10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A5:F7"/>
    <mergeCell ref="G5:G8"/>
    <mergeCell ref="H5:H8"/>
    <mergeCell ref="I5:I8"/>
    <mergeCell ref="J5:J8"/>
    <mergeCell ref="K5:K8"/>
    <mergeCell ref="L5:L8"/>
    <mergeCell ref="M5:M8"/>
    <mergeCell ref="C8:D8"/>
    <mergeCell ref="E8:F8"/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2</vt:i4>
      </vt:variant>
    </vt:vector>
  </HeadingPairs>
  <TitlesOfParts>
    <vt:vector size="18" baseType="lpstr">
      <vt:lpstr>清單及說明</vt:lpstr>
      <vt:lpstr>基本資料填寫</vt:lpstr>
      <vt:lpstr>有料號</vt:lpstr>
      <vt:lpstr>無料號</vt:lpstr>
      <vt:lpstr>申編單提送狀態</vt:lpstr>
      <vt:lpstr>BOM -確定版</vt:lpstr>
      <vt:lpstr>2M</vt:lpstr>
      <vt:lpstr>3M</vt:lpstr>
      <vt:lpstr>書籍檔建置</vt:lpstr>
      <vt:lpstr>16M</vt:lpstr>
      <vt:lpstr>18M</vt:lpstr>
      <vt:lpstr>19M</vt:lpstr>
      <vt:lpstr>20M</vt:lpstr>
      <vt:lpstr>封存_函數</vt:lpstr>
      <vt:lpstr>APL418</vt:lpstr>
      <vt:lpstr>APL419</vt:lpstr>
      <vt:lpstr>'APL418'!Print_Area</vt:lpstr>
      <vt:lpstr>'APL419'!Print_Area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2025-08-07T02:04:26Z</cp:lastPrinted>
  <dcterms:created xsi:type="dcterms:W3CDTF">2023-12-11T01:32:29Z</dcterms:created>
  <dcterms:modified xsi:type="dcterms:W3CDTF">2025-08-25T05:25:58Z</dcterms:modified>
</cp:coreProperties>
</file>