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nologyDrive\01 JSSC專案\02 整體後勤運作機制發展\15構型資料檔\"/>
    </mc:Choice>
  </mc:AlternateContent>
  <xr:revisionPtr revIDLastSave="0" documentId="13_ncr:1_{BF16F9D4-821B-4B58-9B21-51C0BA92F807}" xr6:coauthVersionLast="36" xr6:coauthVersionMax="47" xr10:uidLastSave="{00000000-0000-0000-0000-000000000000}"/>
  <bookViews>
    <workbookView xWindow="-108" yWindow="-108" windowWidth="19416" windowHeight="10296" xr2:uid="{91474FB7-D079-49CA-8E88-F580367745C3}"/>
  </bookViews>
  <sheets>
    <sheet name="7.完成" sheetId="8" r:id="rId1"/>
  </sheets>
  <definedNames>
    <definedName name="_xlnm.Print_Area" localSheetId="0">'7.完成'!$A$1:$G$85</definedName>
    <definedName name="_xlnm.Print_Titles" localSheetId="0">'7.完成'!$1:$2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8" l="1"/>
  <c r="E85" i="8" l="1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1" i="8"/>
  <c r="E24" i="8"/>
  <c r="E23" i="8"/>
  <c r="E19" i="8"/>
  <c r="E16" i="8"/>
  <c r="E15" i="8"/>
  <c r="E9" i="8"/>
</calcChain>
</file>

<file path=xl/sharedStrings.xml><?xml version="1.0" encoding="utf-8"?>
<sst xmlns="http://schemas.openxmlformats.org/spreadsheetml/2006/main" count="414" uniqueCount="302">
  <si>
    <t>欄位名稱</t>
  </si>
  <si>
    <t>備註</t>
  </si>
  <si>
    <t>N00009</t>
  </si>
  <si>
    <t>N05054</t>
  </si>
  <si>
    <t>FSC</t>
  </si>
  <si>
    <t>N05086</t>
  </si>
  <si>
    <t>NIIN</t>
  </si>
  <si>
    <t>品項識別碼</t>
  </si>
  <si>
    <t>N05036</t>
  </si>
  <si>
    <t>N05035</t>
  </si>
  <si>
    <t>N00077</t>
  </si>
  <si>
    <t>N00013</t>
  </si>
  <si>
    <t>N00026</t>
  </si>
  <si>
    <t>N00015</t>
  </si>
  <si>
    <t>單機特性說明序號</t>
  </si>
  <si>
    <t>族群結構碼</t>
    <phoneticPr fontId="1" type="noConversion"/>
  </si>
  <si>
    <t>全裝備系統層分架構編碼</t>
    <phoneticPr fontId="1" type="noConversion"/>
  </si>
  <si>
    <t>可顯示全裝備系統層分架構</t>
    <phoneticPr fontId="1" type="noConversion"/>
  </si>
  <si>
    <t>組類別</t>
    <phoneticPr fontId="1" type="noConversion"/>
  </si>
  <si>
    <t>料號前四碼</t>
    <phoneticPr fontId="1" type="noConversion"/>
  </si>
  <si>
    <t>裝備或單機型式</t>
    <phoneticPr fontId="1" type="noConversion"/>
  </si>
  <si>
    <t>裝設地點</t>
    <phoneticPr fontId="1" type="noConversion"/>
  </si>
  <si>
    <t>上層適用裝備中文名稱</t>
    <phoneticPr fontId="1" type="noConversion"/>
  </si>
  <si>
    <t>料號後九碼</t>
    <phoneticPr fontId="1" type="noConversion"/>
  </si>
  <si>
    <t>填裝備或單機之型式</t>
    <phoneticPr fontId="1" type="noConversion"/>
  </si>
  <si>
    <t>請填入該單機上一層之單機識別碼。</t>
    <phoneticPr fontId="1" type="noConversion"/>
  </si>
  <si>
    <t>請填入上層適用裝備中文名稱</t>
    <phoneticPr fontId="1" type="noConversion"/>
  </si>
  <si>
    <t>請填入上層適用裝備英文名稱</t>
    <phoneticPr fontId="1" type="noConversion"/>
  </si>
  <si>
    <t>區分O、1、D維修等級</t>
    <phoneticPr fontId="1" type="noConversion"/>
  </si>
  <si>
    <t>軍品分類碼</t>
    <phoneticPr fontId="1" type="noConversion"/>
  </si>
  <si>
    <t>管理查詢使用</t>
    <phoneticPr fontId="1" type="noConversion"/>
  </si>
  <si>
    <t>提供單機及裝備管理</t>
    <phoneticPr fontId="1" type="noConversion"/>
  </si>
  <si>
    <t>代號與說明</t>
    <phoneticPr fontId="1" type="noConversion"/>
  </si>
  <si>
    <t>欄位英文名稱</t>
    <phoneticPr fontId="1" type="noConversion"/>
  </si>
  <si>
    <t>項次</t>
    <phoneticPr fontId="1" type="noConversion"/>
  </si>
  <si>
    <t>N05064</t>
    <phoneticPr fontId="1" type="noConversion"/>
  </si>
  <si>
    <t>N01438</t>
    <phoneticPr fontId="1" type="noConversion"/>
  </si>
  <si>
    <t>N00072</t>
    <phoneticPr fontId="1" type="noConversion"/>
  </si>
  <si>
    <t>N05023</t>
    <phoneticPr fontId="1" type="noConversion"/>
  </si>
  <si>
    <t>N05037</t>
    <phoneticPr fontId="1" type="noConversion"/>
  </si>
  <si>
    <t>N05044</t>
    <phoneticPr fontId="1" type="noConversion"/>
  </si>
  <si>
    <t>N00051</t>
    <phoneticPr fontId="1" type="noConversion"/>
  </si>
  <si>
    <t>單機特性說明</t>
    <phoneticPr fontId="1" type="noConversion"/>
  </si>
  <si>
    <t>撥發單位</t>
    <phoneticPr fontId="1" type="noConversion"/>
  </si>
  <si>
    <t>1表示系統、2表示次系統、3表示裝備、4表示單機、5表示總成、6表示次總成</t>
    <phoneticPr fontId="1" type="noConversion"/>
  </si>
  <si>
    <t>填入單機之性能及規格資料</t>
    <phoneticPr fontId="1" type="noConversion"/>
  </si>
  <si>
    <t>填入同一單機說明之流水號，且同一單機流水號不可重覆。</t>
    <phoneticPr fontId="1" type="noConversion"/>
  </si>
  <si>
    <t>此料件之單價</t>
    <phoneticPr fontId="1" type="noConversion"/>
  </si>
  <si>
    <t>軍品之存儲壽限</t>
    <phoneticPr fontId="1" type="noConversion"/>
  </si>
  <si>
    <t>此代碼表軍品達存儲壽限後應採取之處理方式</t>
    <phoneticPr fontId="1" type="noConversion"/>
  </si>
  <si>
    <t>包裝最小單位</t>
    <phoneticPr fontId="1" type="noConversion"/>
  </si>
  <si>
    <t>包裝數量</t>
    <phoneticPr fontId="1" type="noConversion"/>
  </si>
  <si>
    <t>廠商來源代號</t>
  </si>
  <si>
    <t>作為單價及撥發之基準</t>
    <phoneticPr fontId="1" type="noConversion"/>
  </si>
  <si>
    <t>提供軍品之存儲壽限</t>
    <phoneticPr fontId="1" type="noConversion"/>
  </si>
  <si>
    <t>MODIFY_TYPE</t>
  </si>
  <si>
    <t>代碼</t>
  </si>
  <si>
    <t>數字</t>
  </si>
  <si>
    <t>文字，最大長度20</t>
  </si>
  <si>
    <t>文字，最大長度99</t>
  </si>
  <si>
    <t>CID</t>
  </si>
  <si>
    <t>ITEM_NAME_ENG</t>
  </si>
  <si>
    <t>文字，最大長度200</t>
  </si>
  <si>
    <t>ITEM_NAME_CHT</t>
  </si>
  <si>
    <t>文字，最大長度100</t>
  </si>
  <si>
    <t>COMPONENT_ID</t>
  </si>
  <si>
    <t>上層適用裝備單機識別碼CID</t>
  </si>
  <si>
    <t>UPPER_LAYER_CID</t>
  </si>
  <si>
    <t>UPPER_LAYER_ITEM_NAME_CHT</t>
  </si>
  <si>
    <t>上層適用裝備英文名稱</t>
  </si>
  <si>
    <t>UPPER_LAYER_ITEM_NAME_ENG</t>
  </si>
  <si>
    <t>SAME_TYPE_COMPONENT_QUANTITY</t>
  </si>
  <si>
    <t>數字，最大長度200</t>
  </si>
  <si>
    <t>SETUP_PLACE</t>
  </si>
  <si>
    <t>WARSHIP_TYPE</t>
  </si>
  <si>
    <t>COMPONENT_SERIAL_NUMBER</t>
  </si>
  <si>
    <t>文字，最大長度50</t>
  </si>
  <si>
    <t>CONFIG_UNIT</t>
  </si>
  <si>
    <t>文字，最大長度10</t>
  </si>
  <si>
    <t>文字，最大長度30</t>
  </si>
  <si>
    <t>INSTALL_CHART_NUMBER</t>
  </si>
  <si>
    <t>ACCESSORY_NUMBER</t>
  </si>
  <si>
    <t>DEVICE_TOTAL_QUANTITY</t>
  </si>
  <si>
    <t>武器級別(英)</t>
  </si>
  <si>
    <t>WEAPIN_CATEGORY</t>
  </si>
  <si>
    <t>CHAR(1 BYTE)</t>
  </si>
  <si>
    <t>N新增、C修改、D刪除</t>
  </si>
  <si>
    <t>NUMBER</t>
  </si>
  <si>
    <t>裝備英文名稱</t>
  </si>
  <si>
    <t>1.不可空值(單機英文名稱未填寫)。
2.不可為中文(單機英文名稱填寫錯誤)。</t>
  </si>
  <si>
    <t>NCB_PART_NUMBER</t>
  </si>
  <si>
    <t>MAINTENANCE_LEVEL_CODE</t>
  </si>
  <si>
    <t>CAGE_SOURCE</t>
  </si>
  <si>
    <t>SEC</t>
  </si>
  <si>
    <t>機密等級代碼</t>
  </si>
  <si>
    <t/>
  </si>
  <si>
    <t>1表示系統、2表示次系統、3表示裝備、4表示單機總成、5表示次總成、6表示次次總成、7表示次次次總成、8表示次次次次總成、9表示次次次次次總成。</t>
  </si>
  <si>
    <t>只允許正整數</t>
  </si>
  <si>
    <t>填寫艦型，如：PFG2、FF……等</t>
  </si>
  <si>
    <t>FEATURE_ID</t>
  </si>
  <si>
    <t>該裝備特性第幾筆</t>
  </si>
  <si>
    <t>DESCRIBE</t>
  </si>
  <si>
    <t>單機特性描述</t>
  </si>
  <si>
    <t>ITEM_QUANTITY</t>
  </si>
  <si>
    <t>零附件在同一裝備或單機總成之總數</t>
  </si>
  <si>
    <t>UNIT_PACKING</t>
  </si>
  <si>
    <t>包裝單位</t>
  </si>
  <si>
    <t>WS</t>
  </si>
  <si>
    <t>UI</t>
  </si>
  <si>
    <t>QUP</t>
  </si>
  <si>
    <t>SOS_NAVY</t>
  </si>
  <si>
    <t>SLC</t>
  </si>
  <si>
    <t>檔別代號</t>
  </si>
  <si>
    <t>FC</t>
  </si>
  <si>
    <t>檔別區分</t>
  </si>
  <si>
    <t>FC_DIFFERENCE</t>
  </si>
  <si>
    <t>INC</t>
  </si>
  <si>
    <t>數字，最大長度5</t>
  </si>
  <si>
    <t>只允許正整數和0</t>
  </si>
  <si>
    <t>消耗性代號</t>
  </si>
  <si>
    <t>EC</t>
  </si>
  <si>
    <t>ILI</t>
  </si>
  <si>
    <t>SSC</t>
  </si>
  <si>
    <t>SLAC</t>
  </si>
  <si>
    <t>MC</t>
  </si>
  <si>
    <t>RC</t>
  </si>
  <si>
    <t>專案代號</t>
  </si>
  <si>
    <t>PROJECT_CODE</t>
  </si>
  <si>
    <t>UNIT_PRICE</t>
  </si>
  <si>
    <t>數字，範圍 0 到 9999999999999999999.99</t>
  </si>
  <si>
    <t>只允許數字和0</t>
  </si>
  <si>
    <t>重量(KG)</t>
  </si>
  <si>
    <t>WEIGHT</t>
  </si>
  <si>
    <t>數字，範圍 0 到 99999999999.99</t>
  </si>
  <si>
    <t>PN_VARIATION_CODE</t>
  </si>
  <si>
    <t>PN_CATEGORY_CODE</t>
  </si>
  <si>
    <t>PROJECT_NAME</t>
  </si>
  <si>
    <t>REGISTER_NO</t>
  </si>
  <si>
    <t>文字，最大長度40</t>
  </si>
  <si>
    <t>文字，最大長度70</t>
  </si>
  <si>
    <t>BLUEPRINT_BOOK_NAME</t>
  </si>
  <si>
    <t>文字，最大長度300</t>
  </si>
  <si>
    <t>DOC_VSERION</t>
  </si>
  <si>
    <t>DATA_TYPE</t>
  </si>
  <si>
    <t>DATA_CLASS</t>
  </si>
  <si>
    <t>BOOK_LANGUAGE</t>
  </si>
  <si>
    <t>文字，最大長度75</t>
  </si>
  <si>
    <t>BOOK_BLUEPRINT_NO</t>
  </si>
  <si>
    <t>日期，格式為YYYY-MM-DD</t>
  </si>
  <si>
    <t>CONFIDENCIAL_LEVEL</t>
  </si>
  <si>
    <t>QUANTITY</t>
  </si>
  <si>
    <t>只允許整數</t>
  </si>
  <si>
    <t>保管單位</t>
  </si>
  <si>
    <t>DEPT_ID</t>
  </si>
  <si>
    <t>*儲放室</t>
  </si>
  <si>
    <t>STORE_ROOM</t>
  </si>
  <si>
    <t>儲位</t>
  </si>
  <si>
    <t>STORE_PLACE</t>
  </si>
  <si>
    <t>*服役現況</t>
  </si>
  <si>
    <t>SERVICE_STATUS</t>
  </si>
  <si>
    <t>汰除/裁撤日期</t>
  </si>
  <si>
    <t>SERVICE_CHANGE_DATE</t>
  </si>
  <si>
    <t>文字</t>
  </si>
  <si>
    <t>REMARK</t>
  </si>
  <si>
    <t>文字，最大長度225</t>
  </si>
  <si>
    <t>是否開放電子檔下載</t>
  </si>
  <si>
    <t>ALLOW_DOWNLOAD</t>
  </si>
  <si>
    <t>會計編號</t>
    <phoneticPr fontId="1" type="noConversion"/>
  </si>
  <si>
    <t>英文品名</t>
    <phoneticPr fontId="1" type="noConversion"/>
  </si>
  <si>
    <t>中文品名</t>
    <phoneticPr fontId="1" type="noConversion"/>
  </si>
  <si>
    <t>武器系統代號</t>
    <phoneticPr fontId="1" type="noConversion"/>
  </si>
  <si>
    <t>單位包裝量</t>
    <phoneticPr fontId="1" type="noConversion"/>
  </si>
  <si>
    <t>存儲壽限代號</t>
    <phoneticPr fontId="1" type="noConversion"/>
  </si>
  <si>
    <t>品名代號</t>
    <phoneticPr fontId="1" type="noConversion"/>
  </si>
  <si>
    <t>機密性代號</t>
    <phoneticPr fontId="1" type="noConversion"/>
  </si>
  <si>
    <t>規格指示</t>
    <phoneticPr fontId="1" type="noConversion"/>
  </si>
  <si>
    <t>儲存型式</t>
    <phoneticPr fontId="1" type="noConversion"/>
  </si>
  <si>
    <t>處理代號(壽限處理)</t>
    <phoneticPr fontId="1" type="noConversion"/>
  </si>
  <si>
    <t>製造能量</t>
    <phoneticPr fontId="1" type="noConversion"/>
  </si>
  <si>
    <t>修理能量</t>
    <phoneticPr fontId="1" type="noConversion"/>
  </si>
  <si>
    <t>美金單價</t>
    <phoneticPr fontId="1" type="noConversion"/>
  </si>
  <si>
    <t>異動方式</t>
    <phoneticPr fontId="1" type="noConversion"/>
  </si>
  <si>
    <t>登錄號</t>
    <phoneticPr fontId="1" type="noConversion"/>
  </si>
  <si>
    <t>書名</t>
    <phoneticPr fontId="1" type="noConversion"/>
  </si>
  <si>
    <t>版次</t>
    <phoneticPr fontId="1" type="noConversion"/>
  </si>
  <si>
    <t>資料類型</t>
    <phoneticPr fontId="1" type="noConversion"/>
  </si>
  <si>
    <t>語言</t>
    <phoneticPr fontId="1" type="noConversion"/>
  </si>
  <si>
    <t>機密等級</t>
    <phoneticPr fontId="1" type="noConversion"/>
  </si>
  <si>
    <t>N00111</t>
  </si>
  <si>
    <t>CSYS_NAME</t>
    <phoneticPr fontId="4" type="noConversion"/>
  </si>
  <si>
    <t>SYS_NAME</t>
  </si>
  <si>
    <t>ESEQ</t>
  </si>
  <si>
    <t>N00004</t>
  </si>
  <si>
    <t>N00227</t>
  </si>
  <si>
    <t>N00075</t>
  </si>
  <si>
    <t>國家料號</t>
    <phoneticPr fontId="1" type="noConversion"/>
  </si>
  <si>
    <t>N00073</t>
  </si>
  <si>
    <t>裝備維修等級代碼</t>
    <phoneticPr fontId="1" type="noConversion"/>
  </si>
  <si>
    <t>N05043</t>
  </si>
  <si>
    <t>N05746</t>
    <phoneticPr fontId="6" type="noConversion"/>
  </si>
  <si>
    <t>N05745</t>
    <phoneticPr fontId="6" type="noConversion"/>
  </si>
  <si>
    <t>N05067</t>
  </si>
  <si>
    <t>單機零附件裝置單位(撥發單位)</t>
    <phoneticPr fontId="1" type="noConversion"/>
  </si>
  <si>
    <t>N06110</t>
    <phoneticPr fontId="1" type="noConversion"/>
  </si>
  <si>
    <t>N05764</t>
  </si>
  <si>
    <t>N05761</t>
  </si>
  <si>
    <t>N05050</t>
    <phoneticPr fontId="4" type="noConversion"/>
  </si>
  <si>
    <t>F122</t>
  </si>
  <si>
    <t>N05762</t>
  </si>
  <si>
    <t>ILI</t>
    <phoneticPr fontId="4" type="noConversion"/>
  </si>
  <si>
    <t>F124</t>
  </si>
  <si>
    <t>NN0004</t>
    <phoneticPr fontId="4" type="noConversion"/>
  </si>
  <si>
    <t>N05065</t>
  </si>
  <si>
    <t>N05078</t>
  </si>
  <si>
    <t>CN_TE021</t>
  </si>
  <si>
    <t>CN_TE033</t>
  </si>
  <si>
    <t>CN_TE025</t>
  </si>
  <si>
    <t>N00001</t>
    <phoneticPr fontId="1" type="noConversion"/>
  </si>
  <si>
    <t>單機識別碼</t>
    <phoneticPr fontId="1" type="noConversion"/>
  </si>
  <si>
    <t>裝備中文名稱</t>
    <phoneticPr fontId="1" type="noConversion"/>
  </si>
  <si>
    <t>1.不可空值(單機中文名稱未填寫)。</t>
    <phoneticPr fontId="1" type="noConversion"/>
  </si>
  <si>
    <t>參考號碼類別代號</t>
    <phoneticPr fontId="1" type="noConversion"/>
  </si>
  <si>
    <t>參考號碼變化代號</t>
    <phoneticPr fontId="1" type="noConversion"/>
  </si>
  <si>
    <t>廠家登記代號</t>
    <phoneticPr fontId="1" type="noConversion"/>
  </si>
  <si>
    <t>CAGE_FIRM
MAKER_REGISTER_CODE</t>
    <phoneticPr fontId="1" type="noConversion"/>
  </si>
  <si>
    <t>COMPONENT_IDENTIFY_NUMBER
COMPONENT_TYPE</t>
    <phoneticPr fontId="1" type="noConversion"/>
  </si>
  <si>
    <t>UNIT_ID
DEPT_ID
APPLICANT_UNIT</t>
    <phoneticPr fontId="1" type="noConversion"/>
  </si>
  <si>
    <t>文字，最大長度20
文字，最大長度5</t>
    <phoneticPr fontId="1" type="noConversion"/>
  </si>
  <si>
    <t>艦型/艦艇別</t>
    <phoneticPr fontId="1" type="noConversion"/>
  </si>
  <si>
    <t>資料類別</t>
    <phoneticPr fontId="1" type="noConversion"/>
  </si>
  <si>
    <t>裝備序號</t>
    <phoneticPr fontId="1" type="noConversion"/>
  </si>
  <si>
    <t>構型報告單位</t>
    <phoneticPr fontId="1" type="noConversion"/>
  </si>
  <si>
    <t>同一類型數量</t>
    <phoneticPr fontId="1" type="noConversion"/>
  </si>
  <si>
    <t>安裝圖號</t>
    <phoneticPr fontId="1" type="noConversion"/>
  </si>
  <si>
    <t>裝備代號</t>
    <phoneticPr fontId="1" type="noConversion"/>
  </si>
  <si>
    <t>艦型</t>
    <phoneticPr fontId="1" type="noConversion"/>
  </si>
  <si>
    <t>參考號獲得程度</t>
    <phoneticPr fontId="1" type="noConversion"/>
  </si>
  <si>
    <t>單機零附件裝置數</t>
    <phoneticPr fontId="1" type="noConversion"/>
  </si>
  <si>
    <t>參考號獲得來源</t>
    <phoneticPr fontId="1" type="noConversion"/>
  </si>
  <si>
    <t>來源代號</t>
    <phoneticPr fontId="1" type="noConversion"/>
  </si>
  <si>
    <t>N05051</t>
    <phoneticPr fontId="1" type="noConversion"/>
  </si>
  <si>
    <t>Class</t>
    <phoneticPr fontId="1" type="noConversion"/>
  </si>
  <si>
    <t>全艦裝置數</t>
    <phoneticPr fontId="1" type="noConversion"/>
  </si>
  <si>
    <t>ALL_QTY</t>
    <phoneticPr fontId="1" type="noConversion"/>
  </si>
  <si>
    <t>CN_TE004</t>
    <phoneticPr fontId="1" type="noConversion"/>
  </si>
  <si>
    <t>CN_TE005</t>
    <phoneticPr fontId="1" type="noConversion"/>
  </si>
  <si>
    <t>CN_TE007</t>
    <phoneticPr fontId="1" type="noConversion"/>
  </si>
  <si>
    <t>N00014</t>
    <phoneticPr fontId="1" type="noConversion"/>
  </si>
  <si>
    <t>N00020</t>
    <phoneticPr fontId="1" type="noConversion"/>
  </si>
  <si>
    <t>N00024</t>
    <phoneticPr fontId="1" type="noConversion"/>
  </si>
  <si>
    <t>N00080</t>
    <phoneticPr fontId="1" type="noConversion"/>
  </si>
  <si>
    <t>STOCK_NO</t>
  </si>
  <si>
    <t>設計圖號</t>
  </si>
  <si>
    <t>DESIGN_NO</t>
  </si>
  <si>
    <t>圖名</t>
  </si>
  <si>
    <t>船名</t>
  </si>
  <si>
    <t>SHIP_NAME</t>
  </si>
  <si>
    <t>船號</t>
  </si>
  <si>
    <t>SHIP_NO</t>
  </si>
  <si>
    <t>出版日期</t>
  </si>
  <si>
    <t>PUBLISH_DATE</t>
  </si>
  <si>
    <t>船廠圖號</t>
  </si>
  <si>
    <t>FACTORY_BLUEPRINT_NO</t>
  </si>
  <si>
    <t>海軍圖號</t>
  </si>
  <si>
    <t>圖別</t>
  </si>
  <si>
    <t>GRAPHIC_KIND</t>
  </si>
  <si>
    <t>總張數</t>
  </si>
  <si>
    <t>TOTAL_AMOUNT</t>
  </si>
  <si>
    <t>藍圖頁次</t>
  </si>
  <si>
    <t>BLUEPRINT_PAGE</t>
  </si>
  <si>
    <t>原圖份數</t>
  </si>
  <si>
    <t>ORIGINAL_AMOUNT</t>
  </si>
  <si>
    <t>尺寸</t>
  </si>
  <si>
    <t>BLUEPRINT_SIZE</t>
  </si>
  <si>
    <t>藍圖資料類別</t>
  </si>
  <si>
    <t>BLUEPRINT_DATA_CLASS</t>
  </si>
  <si>
    <t>資料來源日期文號</t>
  </si>
  <si>
    <t>DATA_SOURCE</t>
  </si>
  <si>
    <t>海發帳籍數量</t>
  </si>
  <si>
    <t>型態/長度</t>
    <phoneticPr fontId="1" type="noConversion"/>
  </si>
  <si>
    <t>APL、AEL、CID、裝備識別號
1.不可空值(單機識別碼未填寫)。
2.不可為中文(單機識別碼填寫錯誤)。
3.長度不可超過13碼(單機識別碼碼數不符)</t>
    <phoneticPr fontId="1" type="noConversion"/>
  </si>
  <si>
    <t>配件號碼</t>
    <phoneticPr fontId="1" type="noConversion"/>
  </si>
  <si>
    <t>製造商配件號碼、零附件號碼或參考號碼(P/N)</t>
    <phoneticPr fontId="1" type="noConversion"/>
  </si>
  <si>
    <t>INC之中文品名</t>
    <phoneticPr fontId="1" type="noConversion"/>
  </si>
  <si>
    <t>INC之英文品名</t>
    <phoneticPr fontId="1" type="noConversion"/>
  </si>
  <si>
    <t>請填入該單機在艦上之位置編號，此編號可採用下列任何一種表示法：
1:該單機所在之艙間號碼。
2:以甲板-肋骨-艙間-船舷之編號來描述單機所在地。(例如01-5-61-0)
3:若以上兩者皆無法描述裝備位置，則直接填入所在位置的名稱(例如「飛行甲板」)。</t>
    <phoneticPr fontId="1" type="noConversion"/>
  </si>
  <si>
    <t>相同單機或總成之總數，只允許正整數</t>
    <phoneticPr fontId="1" type="noConversion"/>
  </si>
  <si>
    <t>保管單位、申請單位會計編號、會計編號、族群結構碼不允許重複。</t>
    <phoneticPr fontId="1" type="noConversion"/>
  </si>
  <si>
    <t>庫存圖號</t>
    <phoneticPr fontId="1" type="noConversion"/>
  </si>
  <si>
    <t>文字，最大長度4</t>
    <phoneticPr fontId="1" type="noConversion"/>
  </si>
  <si>
    <t>文字，最大長度20</t>
    <phoneticPr fontId="1" type="noConversion"/>
  </si>
  <si>
    <t>文字，最大長度100</t>
    <phoneticPr fontId="1" type="noConversion"/>
  </si>
  <si>
    <t>文字，最大長度200</t>
    <phoneticPr fontId="1" type="noConversion"/>
  </si>
  <si>
    <t>文字，最大長度1</t>
    <phoneticPr fontId="1" type="noConversion"/>
  </si>
  <si>
    <t>文字，最大長度30</t>
    <phoneticPr fontId="1" type="noConversion"/>
  </si>
  <si>
    <t>ESWBS、HSC、CN_TE032</t>
    <phoneticPr fontId="1" type="noConversion"/>
  </si>
  <si>
    <t>代號</t>
    <phoneticPr fontId="1" type="noConversion"/>
  </si>
  <si>
    <t>-</t>
    <phoneticPr fontId="1" type="noConversion"/>
  </si>
  <si>
    <t>文字，最大長度5</t>
    <phoneticPr fontId="1" type="noConversion"/>
  </si>
  <si>
    <t>文字，最大長度10</t>
    <phoneticPr fontId="1" type="noConversion"/>
  </si>
  <si>
    <t>文字，最大長度50</t>
    <phoneticPr fontId="1" type="noConversion"/>
  </si>
  <si>
    <t>專案構型資料需求欄位說明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</si>
</sst>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標楷體"/>
      <family val="4"/>
      <charset val="136"/>
    </font>
    <font>
      <b/>
      <sz val="16"/>
      <color theme="1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5" fillId="0" borderId="0"/>
    <xf numFmtId="0" fontId="5" fillId="0" borderId="0">
      <alignment vertical="center"/>
    </xf>
  </cellStyleXfs>
  <cellXfs count="31">
    <xf numFmtId="0" fontId="0" fillId="0" borderId="0" xfId="0">
      <alignment vertic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1" xfId="1" applyNumberFormat="1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/>
    </xf>
    <xf numFmtId="0" fontId="0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</cellXfs>
  <cellStyles count="3">
    <cellStyle name="一般" xfId="0" builtinId="0"/>
    <cellStyle name="一般 2" xfId="1" xr:uid="{B937D1B6-5818-47AF-9BF0-7CDA3ABD71EA}"/>
    <cellStyle name="一般 3 2" xfId="2" xr:uid="{18C56095-73FE-4584-BCF4-6F48009184E6}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603D-7167-4BEA-A419-0769288D8B8D}">
  <sheetPr>
    <pageSetUpPr fitToPage="1"/>
  </sheetPr>
  <dimension ref="A1:I85"/>
  <sheetViews>
    <sheetView tabSelected="1" view="pageBreakPreview" topLeftCell="A22" zoomScaleNormal="85" zoomScaleSheetLayoutView="100" zoomScalePageLayoutView="55" workbookViewId="0">
      <selection activeCell="C21" sqref="C21"/>
    </sheetView>
  </sheetViews>
  <sheetFormatPr defaultColWidth="8.88671875" defaultRowHeight="16.2" x14ac:dyDescent="0.3"/>
  <cols>
    <col min="1" max="1" width="5.88671875" style="17" customWidth="1"/>
    <col min="2" max="2" width="16.109375" style="17" customWidth="1"/>
    <col min="3" max="3" width="36.33203125" style="17" customWidth="1"/>
    <col min="4" max="4" width="22.44140625" style="17" customWidth="1"/>
    <col min="5" max="5" width="46.21875" style="17" customWidth="1"/>
    <col min="6" max="6" width="43.6640625" style="17" customWidth="1"/>
    <col min="7" max="7" width="29.88671875" style="17" customWidth="1"/>
    <col min="8" max="16384" width="8.88671875" style="16"/>
  </cols>
  <sheetData>
    <row r="1" spans="1:7" ht="33.6" customHeight="1" x14ac:dyDescent="0.3">
      <c r="A1" s="25" t="s">
        <v>301</v>
      </c>
      <c r="B1" s="26"/>
      <c r="C1" s="26"/>
      <c r="D1" s="26"/>
      <c r="E1" s="26"/>
      <c r="F1" s="26"/>
      <c r="G1" s="27"/>
    </row>
    <row r="2" spans="1:7" s="3" customFormat="1" ht="22.8" customHeight="1" x14ac:dyDescent="0.3">
      <c r="A2" s="22" t="s">
        <v>34</v>
      </c>
      <c r="B2" s="23" t="s">
        <v>296</v>
      </c>
      <c r="C2" s="23" t="s">
        <v>33</v>
      </c>
      <c r="D2" s="23" t="s">
        <v>0</v>
      </c>
      <c r="E2" s="23" t="s">
        <v>32</v>
      </c>
      <c r="F2" s="23" t="s">
        <v>1</v>
      </c>
      <c r="G2" s="24" t="s">
        <v>279</v>
      </c>
    </row>
    <row r="3" spans="1:7" s="4" customFormat="1" x14ac:dyDescent="0.3">
      <c r="A3" s="10">
        <v>1</v>
      </c>
      <c r="B3" s="5" t="s">
        <v>2</v>
      </c>
      <c r="C3" s="5" t="s">
        <v>295</v>
      </c>
      <c r="D3" s="5" t="s">
        <v>15</v>
      </c>
      <c r="E3" s="5" t="s">
        <v>16</v>
      </c>
      <c r="F3" s="5" t="s">
        <v>17</v>
      </c>
      <c r="G3" s="11" t="s">
        <v>59</v>
      </c>
    </row>
    <row r="4" spans="1:7" s="4" customFormat="1" x14ac:dyDescent="0.3">
      <c r="A4" s="10">
        <v>2</v>
      </c>
      <c r="B4" s="5" t="s">
        <v>3</v>
      </c>
      <c r="C4" s="5" t="s">
        <v>4</v>
      </c>
      <c r="D4" s="5" t="s">
        <v>18</v>
      </c>
      <c r="E4" s="5" t="s">
        <v>19</v>
      </c>
      <c r="F4" s="5" t="s">
        <v>29</v>
      </c>
      <c r="G4" s="11" t="s">
        <v>289</v>
      </c>
    </row>
    <row r="5" spans="1:7" s="4" customFormat="1" x14ac:dyDescent="0.3">
      <c r="A5" s="10">
        <v>3</v>
      </c>
      <c r="B5" s="5" t="s">
        <v>5</v>
      </c>
      <c r="C5" s="5" t="s">
        <v>6</v>
      </c>
      <c r="D5" s="5" t="s">
        <v>7</v>
      </c>
      <c r="E5" s="5" t="s">
        <v>23</v>
      </c>
      <c r="F5" s="5" t="s">
        <v>30</v>
      </c>
      <c r="G5" s="11" t="s">
        <v>290</v>
      </c>
    </row>
    <row r="6" spans="1:7" s="4" customFormat="1" x14ac:dyDescent="0.3">
      <c r="A6" s="10">
        <v>4</v>
      </c>
      <c r="B6" s="5" t="s">
        <v>8</v>
      </c>
      <c r="C6" s="5" t="s">
        <v>63</v>
      </c>
      <c r="D6" s="5" t="s">
        <v>169</v>
      </c>
      <c r="E6" s="5" t="s">
        <v>283</v>
      </c>
      <c r="F6" s="5"/>
      <c r="G6" s="11" t="s">
        <v>64</v>
      </c>
    </row>
    <row r="7" spans="1:7" s="4" customFormat="1" x14ac:dyDescent="0.3">
      <c r="A7" s="10">
        <v>5</v>
      </c>
      <c r="B7" s="5" t="s">
        <v>9</v>
      </c>
      <c r="C7" s="5" t="s">
        <v>61</v>
      </c>
      <c r="D7" s="5" t="s">
        <v>168</v>
      </c>
      <c r="E7" s="5" t="s">
        <v>284</v>
      </c>
      <c r="F7" s="5"/>
      <c r="G7" s="11" t="s">
        <v>62</v>
      </c>
    </row>
    <row r="8" spans="1:7" s="4" customFormat="1" ht="32.4" x14ac:dyDescent="0.3">
      <c r="A8" s="10">
        <v>6</v>
      </c>
      <c r="B8" s="5" t="s">
        <v>10</v>
      </c>
      <c r="C8" s="5" t="s">
        <v>225</v>
      </c>
      <c r="D8" s="5" t="s">
        <v>20</v>
      </c>
      <c r="E8" s="5" t="s">
        <v>24</v>
      </c>
      <c r="F8" s="5" t="s">
        <v>31</v>
      </c>
      <c r="G8" s="11" t="s">
        <v>64</v>
      </c>
    </row>
    <row r="9" spans="1:7" s="4" customFormat="1" ht="64.8" x14ac:dyDescent="0.3">
      <c r="A9" s="10">
        <v>7</v>
      </c>
      <c r="B9" s="5" t="s">
        <v>11</v>
      </c>
      <c r="C9" s="5" t="s">
        <v>60</v>
      </c>
      <c r="D9" s="5" t="s">
        <v>218</v>
      </c>
      <c r="E9" s="5" t="str">
        <f>"填寫"&amp;D9</f>
        <v>填寫單機識別碼</v>
      </c>
      <c r="F9" s="5" t="s">
        <v>280</v>
      </c>
      <c r="G9" s="11" t="s">
        <v>290</v>
      </c>
    </row>
    <row r="10" spans="1:7" s="4" customFormat="1" ht="113.4" x14ac:dyDescent="0.3">
      <c r="A10" s="10">
        <v>8</v>
      </c>
      <c r="B10" s="5" t="s">
        <v>12</v>
      </c>
      <c r="C10" s="5" t="s">
        <v>73</v>
      </c>
      <c r="D10" s="5" t="s">
        <v>21</v>
      </c>
      <c r="E10" s="5" t="s">
        <v>285</v>
      </c>
      <c r="F10" s="5"/>
      <c r="G10" s="11" t="s">
        <v>64</v>
      </c>
    </row>
    <row r="11" spans="1:7" s="4" customFormat="1" x14ac:dyDescent="0.3">
      <c r="A11" s="10">
        <v>9</v>
      </c>
      <c r="B11" s="5" t="s">
        <v>13</v>
      </c>
      <c r="C11" s="5" t="s">
        <v>71</v>
      </c>
      <c r="D11" s="5" t="s">
        <v>232</v>
      </c>
      <c r="E11" s="5"/>
      <c r="F11" s="5" t="s">
        <v>286</v>
      </c>
      <c r="G11" s="11" t="s">
        <v>72</v>
      </c>
    </row>
    <row r="12" spans="1:7" s="4" customFormat="1" ht="32.4" x14ac:dyDescent="0.3">
      <c r="A12" s="10">
        <v>10</v>
      </c>
      <c r="B12" s="6" t="s">
        <v>247</v>
      </c>
      <c r="C12" s="5" t="s">
        <v>67</v>
      </c>
      <c r="D12" s="5" t="s">
        <v>66</v>
      </c>
      <c r="E12" s="5" t="s">
        <v>25</v>
      </c>
      <c r="F12" s="5"/>
      <c r="G12" s="11" t="s">
        <v>58</v>
      </c>
    </row>
    <row r="13" spans="1:7" s="4" customFormat="1" ht="32.4" x14ac:dyDescent="0.3">
      <c r="A13" s="10">
        <v>11</v>
      </c>
      <c r="B13" s="6" t="s">
        <v>189</v>
      </c>
      <c r="C13" s="5" t="s">
        <v>68</v>
      </c>
      <c r="D13" s="5" t="s">
        <v>22</v>
      </c>
      <c r="E13" s="5" t="s">
        <v>26</v>
      </c>
      <c r="F13" s="5" t="s">
        <v>26</v>
      </c>
      <c r="G13" s="11" t="s">
        <v>64</v>
      </c>
    </row>
    <row r="14" spans="1:7" s="4" customFormat="1" ht="32.4" x14ac:dyDescent="0.3">
      <c r="A14" s="10">
        <v>12</v>
      </c>
      <c r="B14" s="6" t="s">
        <v>190</v>
      </c>
      <c r="C14" s="5" t="s">
        <v>70</v>
      </c>
      <c r="D14" s="5" t="s">
        <v>69</v>
      </c>
      <c r="E14" s="5" t="s">
        <v>27</v>
      </c>
      <c r="F14" s="5" t="s">
        <v>27</v>
      </c>
      <c r="G14" s="11" t="s">
        <v>62</v>
      </c>
    </row>
    <row r="15" spans="1:7" s="4" customFormat="1" x14ac:dyDescent="0.3">
      <c r="A15" s="10">
        <v>13</v>
      </c>
      <c r="B15" s="6" t="s">
        <v>188</v>
      </c>
      <c r="C15" s="5" t="s">
        <v>63</v>
      </c>
      <c r="D15" s="5" t="s">
        <v>219</v>
      </c>
      <c r="E15" s="5" t="str">
        <f t="shared" ref="E15:E16" si="0">"填寫"&amp;D15</f>
        <v>填寫裝備中文名稱</v>
      </c>
      <c r="F15" s="5" t="s">
        <v>220</v>
      </c>
      <c r="G15" s="11" t="s">
        <v>291</v>
      </c>
    </row>
    <row r="16" spans="1:7" s="4" customFormat="1" ht="32.4" x14ac:dyDescent="0.3">
      <c r="A16" s="10">
        <v>14</v>
      </c>
      <c r="B16" s="7" t="s">
        <v>194</v>
      </c>
      <c r="C16" s="5" t="s">
        <v>61</v>
      </c>
      <c r="D16" s="5" t="s">
        <v>88</v>
      </c>
      <c r="E16" s="5" t="str">
        <f t="shared" si="0"/>
        <v>填寫裝備英文名稱</v>
      </c>
      <c r="F16" s="5" t="s">
        <v>89</v>
      </c>
      <c r="G16" s="11" t="s">
        <v>292</v>
      </c>
    </row>
    <row r="17" spans="1:9" s="4" customFormat="1" x14ac:dyDescent="0.3">
      <c r="A17" s="10">
        <v>15</v>
      </c>
      <c r="B17" s="7" t="s">
        <v>250</v>
      </c>
      <c r="C17" s="5" t="s">
        <v>91</v>
      </c>
      <c r="D17" s="5" t="s">
        <v>197</v>
      </c>
      <c r="E17" s="5" t="s">
        <v>28</v>
      </c>
      <c r="F17" s="5"/>
      <c r="G17" s="11" t="s">
        <v>290</v>
      </c>
    </row>
    <row r="18" spans="1:9" s="4" customFormat="1" ht="64.8" x14ac:dyDescent="0.3">
      <c r="A18" s="10">
        <v>16</v>
      </c>
      <c r="B18" s="6" t="s">
        <v>249</v>
      </c>
      <c r="C18" s="5" t="s">
        <v>65</v>
      </c>
      <c r="D18" s="5" t="s">
        <v>234</v>
      </c>
      <c r="E18" s="5" t="s">
        <v>44</v>
      </c>
      <c r="F18" s="5" t="s">
        <v>96</v>
      </c>
      <c r="G18" s="11" t="s">
        <v>298</v>
      </c>
    </row>
    <row r="19" spans="1:9" s="4" customFormat="1" x14ac:dyDescent="0.3">
      <c r="A19" s="10">
        <v>17</v>
      </c>
      <c r="B19" s="6" t="s">
        <v>248</v>
      </c>
      <c r="C19" s="5" t="s">
        <v>80</v>
      </c>
      <c r="D19" s="5" t="s">
        <v>233</v>
      </c>
      <c r="E19" s="5" t="str">
        <f>"填寫"&amp;D19</f>
        <v>填寫安裝圖號</v>
      </c>
      <c r="F19" s="5"/>
      <c r="G19" s="11" t="s">
        <v>79</v>
      </c>
    </row>
    <row r="20" spans="1:9" s="4" customFormat="1" x14ac:dyDescent="0.3">
      <c r="A20" s="10">
        <v>18</v>
      </c>
      <c r="B20" s="8" t="s">
        <v>200</v>
      </c>
      <c r="C20" s="5" t="s">
        <v>101</v>
      </c>
      <c r="D20" s="5" t="s">
        <v>42</v>
      </c>
      <c r="E20" s="5" t="s">
        <v>45</v>
      </c>
      <c r="F20" s="5" t="s">
        <v>102</v>
      </c>
      <c r="G20" s="11" t="s">
        <v>292</v>
      </c>
    </row>
    <row r="21" spans="1:9" s="4" customFormat="1" ht="32.4" x14ac:dyDescent="0.3">
      <c r="A21" s="10">
        <v>19</v>
      </c>
      <c r="B21" s="8" t="s">
        <v>199</v>
      </c>
      <c r="C21" s="5" t="s">
        <v>99</v>
      </c>
      <c r="D21" s="5" t="s">
        <v>14</v>
      </c>
      <c r="E21" s="5" t="s">
        <v>46</v>
      </c>
      <c r="F21" s="5" t="s">
        <v>100</v>
      </c>
      <c r="G21" s="11" t="s">
        <v>299</v>
      </c>
    </row>
    <row r="22" spans="1:9" s="4" customFormat="1" ht="32.4" x14ac:dyDescent="0.3">
      <c r="A22" s="28">
        <v>20</v>
      </c>
      <c r="B22" s="29" t="s">
        <v>35</v>
      </c>
      <c r="C22" s="30" t="s">
        <v>81</v>
      </c>
      <c r="D22" s="30" t="s">
        <v>281</v>
      </c>
      <c r="E22" s="30" t="s">
        <v>282</v>
      </c>
      <c r="F22" s="5"/>
      <c r="G22" s="11" t="s">
        <v>290</v>
      </c>
    </row>
    <row r="23" spans="1:9" s="4" customFormat="1" x14ac:dyDescent="0.3">
      <c r="A23" s="10">
        <v>21</v>
      </c>
      <c r="B23" s="7" t="s">
        <v>36</v>
      </c>
      <c r="C23" s="5" t="s">
        <v>92</v>
      </c>
      <c r="D23" s="5" t="s">
        <v>52</v>
      </c>
      <c r="E23" s="5" t="str">
        <f t="shared" ref="E23:E24" si="1">"填寫"&amp;D23</f>
        <v>填寫廠商來源代號</v>
      </c>
      <c r="F23" s="5"/>
      <c r="G23" s="11" t="s">
        <v>293</v>
      </c>
    </row>
    <row r="24" spans="1:9" s="4" customFormat="1" ht="32.4" x14ac:dyDescent="0.3">
      <c r="A24" s="10">
        <v>22</v>
      </c>
      <c r="B24" s="7" t="s">
        <v>37</v>
      </c>
      <c r="C24" s="5" t="s">
        <v>224</v>
      </c>
      <c r="D24" s="5" t="s">
        <v>223</v>
      </c>
      <c r="E24" s="5" t="str">
        <f t="shared" si="1"/>
        <v>填寫廠家登記代號</v>
      </c>
      <c r="F24" s="5"/>
      <c r="G24" s="11" t="s">
        <v>298</v>
      </c>
    </row>
    <row r="25" spans="1:9" s="4" customFormat="1" ht="32.4" x14ac:dyDescent="0.3">
      <c r="A25" s="10">
        <v>23</v>
      </c>
      <c r="B25" s="6" t="s">
        <v>38</v>
      </c>
      <c r="C25" s="5" t="s">
        <v>128</v>
      </c>
      <c r="D25" s="5" t="s">
        <v>180</v>
      </c>
      <c r="E25" s="5" t="s">
        <v>47</v>
      </c>
      <c r="F25" s="5" t="s">
        <v>130</v>
      </c>
      <c r="G25" s="11" t="s">
        <v>129</v>
      </c>
    </row>
    <row r="26" spans="1:9" s="4" customFormat="1" x14ac:dyDescent="0.3">
      <c r="A26" s="10">
        <v>24</v>
      </c>
      <c r="B26" s="6" t="s">
        <v>39</v>
      </c>
      <c r="C26" s="5" t="s">
        <v>108</v>
      </c>
      <c r="D26" s="5" t="s">
        <v>43</v>
      </c>
      <c r="E26" s="5" t="s">
        <v>50</v>
      </c>
      <c r="F26" s="5" t="s">
        <v>53</v>
      </c>
      <c r="G26" s="11" t="s">
        <v>56</v>
      </c>
    </row>
    <row r="27" spans="1:9" s="4" customFormat="1" x14ac:dyDescent="0.3">
      <c r="A27" s="10">
        <v>25</v>
      </c>
      <c r="B27" s="6" t="s">
        <v>40</v>
      </c>
      <c r="C27" s="5" t="s">
        <v>109</v>
      </c>
      <c r="D27" s="5" t="s">
        <v>171</v>
      </c>
      <c r="E27" s="5" t="s">
        <v>51</v>
      </c>
      <c r="F27" s="5" t="s">
        <v>53</v>
      </c>
      <c r="G27" s="11" t="s">
        <v>56</v>
      </c>
    </row>
    <row r="28" spans="1:9" s="4" customFormat="1" x14ac:dyDescent="0.3">
      <c r="A28" s="10">
        <v>26</v>
      </c>
      <c r="B28" s="6" t="s">
        <v>206</v>
      </c>
      <c r="C28" s="5" t="s">
        <v>111</v>
      </c>
      <c r="D28" s="5" t="s">
        <v>172</v>
      </c>
      <c r="E28" s="5" t="s">
        <v>48</v>
      </c>
      <c r="F28" s="5" t="s">
        <v>54</v>
      </c>
      <c r="G28" s="11" t="s">
        <v>56</v>
      </c>
    </row>
    <row r="29" spans="1:9" s="4" customFormat="1" x14ac:dyDescent="0.3">
      <c r="A29" s="10">
        <v>27</v>
      </c>
      <c r="B29" s="6" t="s">
        <v>240</v>
      </c>
      <c r="C29" s="5" t="s">
        <v>123</v>
      </c>
      <c r="D29" s="5" t="s">
        <v>177</v>
      </c>
      <c r="E29" s="5" t="s">
        <v>49</v>
      </c>
      <c r="F29" s="5"/>
      <c r="G29" s="11" t="s">
        <v>56</v>
      </c>
    </row>
    <row r="30" spans="1:9" s="4" customFormat="1" x14ac:dyDescent="0.3">
      <c r="A30" s="10">
        <v>28</v>
      </c>
      <c r="B30" s="6" t="s">
        <v>41</v>
      </c>
      <c r="C30" s="5" t="s">
        <v>74</v>
      </c>
      <c r="D30" s="5" t="s">
        <v>235</v>
      </c>
      <c r="E30" s="5" t="s">
        <v>98</v>
      </c>
      <c r="F30" s="5"/>
      <c r="G30" s="11" t="s">
        <v>58</v>
      </c>
    </row>
    <row r="31" spans="1:9" s="4" customFormat="1" x14ac:dyDescent="0.3">
      <c r="A31" s="10">
        <v>29</v>
      </c>
      <c r="B31" s="6" t="s">
        <v>243</v>
      </c>
      <c r="C31" s="5" t="s">
        <v>82</v>
      </c>
      <c r="D31" s="5" t="s">
        <v>242</v>
      </c>
      <c r="E31" s="5" t="str">
        <f t="shared" ref="E31:E85" si="2">"填寫"&amp;D31</f>
        <v>填寫全艦裝置數</v>
      </c>
      <c r="F31" s="5" t="s">
        <v>97</v>
      </c>
      <c r="G31" s="11" t="s">
        <v>72</v>
      </c>
    </row>
    <row r="32" spans="1:9" s="4" customFormat="1" x14ac:dyDescent="0.25">
      <c r="A32" s="20"/>
      <c r="B32" s="1" t="s">
        <v>193</v>
      </c>
      <c r="C32" s="18" t="s">
        <v>84</v>
      </c>
      <c r="D32" s="18" t="s">
        <v>83</v>
      </c>
      <c r="E32" s="5" t="str">
        <f t="shared" si="2"/>
        <v>填寫武器級別(英)</v>
      </c>
      <c r="F32" s="19" t="s">
        <v>95</v>
      </c>
      <c r="G32" s="21" t="s">
        <v>64</v>
      </c>
      <c r="I32" s="2"/>
    </row>
    <row r="33" spans="1:7" s="4" customFormat="1" x14ac:dyDescent="0.3">
      <c r="A33" s="10">
        <v>30</v>
      </c>
      <c r="B33" s="7" t="s">
        <v>241</v>
      </c>
      <c r="C33" s="5" t="s">
        <v>55</v>
      </c>
      <c r="D33" s="5" t="s">
        <v>181</v>
      </c>
      <c r="E33" s="5" t="str">
        <f t="shared" si="2"/>
        <v>填寫異動方式</v>
      </c>
      <c r="F33" s="5" t="s">
        <v>86</v>
      </c>
      <c r="G33" s="11" t="s">
        <v>85</v>
      </c>
    </row>
    <row r="34" spans="1:7" s="4" customFormat="1" x14ac:dyDescent="0.3">
      <c r="A34" s="10">
        <v>31</v>
      </c>
      <c r="B34" s="6" t="s">
        <v>244</v>
      </c>
      <c r="C34" s="5" t="s">
        <v>140</v>
      </c>
      <c r="D34" s="5" t="s">
        <v>183</v>
      </c>
      <c r="E34" s="5" t="str">
        <f t="shared" si="2"/>
        <v>填寫書名</v>
      </c>
      <c r="F34" s="5" t="s">
        <v>95</v>
      </c>
      <c r="G34" s="11" t="s">
        <v>141</v>
      </c>
    </row>
    <row r="35" spans="1:7" s="4" customFormat="1" x14ac:dyDescent="0.3">
      <c r="A35" s="10">
        <v>32</v>
      </c>
      <c r="B35" s="6" t="s">
        <v>245</v>
      </c>
      <c r="C35" s="5" t="s">
        <v>142</v>
      </c>
      <c r="D35" s="5" t="s">
        <v>184</v>
      </c>
      <c r="E35" s="5" t="str">
        <f t="shared" si="2"/>
        <v>填寫版次</v>
      </c>
      <c r="F35" s="5" t="s">
        <v>95</v>
      </c>
      <c r="G35" s="11" t="s">
        <v>79</v>
      </c>
    </row>
    <row r="36" spans="1:7" s="4" customFormat="1" x14ac:dyDescent="0.3">
      <c r="A36" s="10">
        <v>33</v>
      </c>
      <c r="B36" s="6" t="s">
        <v>246</v>
      </c>
      <c r="C36" s="5" t="s">
        <v>149</v>
      </c>
      <c r="D36" s="5" t="s">
        <v>187</v>
      </c>
      <c r="E36" s="5" t="str">
        <f t="shared" si="2"/>
        <v>填寫機密等級</v>
      </c>
      <c r="F36" s="5" t="s">
        <v>95</v>
      </c>
      <c r="G36" s="11" t="s">
        <v>56</v>
      </c>
    </row>
    <row r="37" spans="1:7" s="4" customFormat="1" x14ac:dyDescent="0.3">
      <c r="A37" s="10">
        <v>34</v>
      </c>
      <c r="B37" s="6" t="s">
        <v>214</v>
      </c>
      <c r="C37" s="5" t="s">
        <v>143</v>
      </c>
      <c r="D37" s="5" t="s">
        <v>185</v>
      </c>
      <c r="E37" s="5" t="str">
        <f t="shared" si="2"/>
        <v>填寫資料類型</v>
      </c>
      <c r="F37" s="5" t="s">
        <v>95</v>
      </c>
      <c r="G37" s="11" t="s">
        <v>56</v>
      </c>
    </row>
    <row r="38" spans="1:7" s="4" customFormat="1" x14ac:dyDescent="0.3">
      <c r="A38" s="10">
        <v>35</v>
      </c>
      <c r="B38" s="6" t="s">
        <v>216</v>
      </c>
      <c r="C38" s="5" t="s">
        <v>145</v>
      </c>
      <c r="D38" s="5" t="s">
        <v>186</v>
      </c>
      <c r="E38" s="5" t="str">
        <f t="shared" si="2"/>
        <v>填寫語言</v>
      </c>
      <c r="F38" s="5" t="s">
        <v>95</v>
      </c>
      <c r="G38" s="11" t="s">
        <v>56</v>
      </c>
    </row>
    <row r="39" spans="1:7" s="4" customFormat="1" x14ac:dyDescent="0.3">
      <c r="A39" s="10">
        <v>36</v>
      </c>
      <c r="B39" s="6" t="s">
        <v>207</v>
      </c>
      <c r="C39" s="5" t="s">
        <v>115</v>
      </c>
      <c r="D39" s="5" t="s">
        <v>114</v>
      </c>
      <c r="E39" s="5" t="str">
        <f t="shared" si="2"/>
        <v>填寫檔別區分</v>
      </c>
      <c r="F39" s="5" t="s">
        <v>95</v>
      </c>
      <c r="G39" s="11" t="s">
        <v>56</v>
      </c>
    </row>
    <row r="40" spans="1:7" s="4" customFormat="1" x14ac:dyDescent="0.3">
      <c r="A40" s="10">
        <v>37</v>
      </c>
      <c r="B40" s="6" t="s">
        <v>210</v>
      </c>
      <c r="C40" s="5" t="s">
        <v>127</v>
      </c>
      <c r="D40" s="5" t="s">
        <v>126</v>
      </c>
      <c r="E40" s="5" t="str">
        <f t="shared" si="2"/>
        <v>填寫專案代號</v>
      </c>
      <c r="F40" s="5" t="s">
        <v>95</v>
      </c>
      <c r="G40" s="11" t="s">
        <v>56</v>
      </c>
    </row>
    <row r="41" spans="1:7" s="4" customFormat="1" x14ac:dyDescent="0.3">
      <c r="A41" s="10">
        <v>38</v>
      </c>
      <c r="B41" s="6" t="s">
        <v>113</v>
      </c>
      <c r="C41" s="5" t="s">
        <v>113</v>
      </c>
      <c r="D41" s="5" t="s">
        <v>112</v>
      </c>
      <c r="E41" s="5" t="str">
        <f t="shared" si="2"/>
        <v>填寫檔別代號</v>
      </c>
      <c r="F41" s="5" t="s">
        <v>95</v>
      </c>
      <c r="G41" s="11" t="s">
        <v>56</v>
      </c>
    </row>
    <row r="42" spans="1:7" s="4" customFormat="1" x14ac:dyDescent="0.3">
      <c r="A42" s="10">
        <v>39</v>
      </c>
      <c r="B42" s="6" t="s">
        <v>209</v>
      </c>
      <c r="C42" s="5" t="s">
        <v>121</v>
      </c>
      <c r="D42" s="5" t="s">
        <v>175</v>
      </c>
      <c r="E42" s="5" t="str">
        <f t="shared" si="2"/>
        <v>填寫規格指示</v>
      </c>
      <c r="F42" s="5" t="s">
        <v>95</v>
      </c>
      <c r="G42" s="11" t="s">
        <v>56</v>
      </c>
    </row>
    <row r="43" spans="1:7" s="4" customFormat="1" x14ac:dyDescent="0.3">
      <c r="A43" s="10">
        <v>40</v>
      </c>
      <c r="B43" s="6" t="s">
        <v>116</v>
      </c>
      <c r="C43" s="5" t="s">
        <v>116</v>
      </c>
      <c r="D43" s="5" t="s">
        <v>173</v>
      </c>
      <c r="E43" s="5" t="str">
        <f t="shared" si="2"/>
        <v>填寫品名代號</v>
      </c>
      <c r="F43" s="5" t="s">
        <v>118</v>
      </c>
      <c r="G43" s="11" t="s">
        <v>117</v>
      </c>
    </row>
    <row r="44" spans="1:7" s="4" customFormat="1" x14ac:dyDescent="0.3">
      <c r="A44" s="10">
        <v>41</v>
      </c>
      <c r="B44" s="6" t="s">
        <v>124</v>
      </c>
      <c r="C44" s="5" t="s">
        <v>124</v>
      </c>
      <c r="D44" s="5" t="s">
        <v>178</v>
      </c>
      <c r="E44" s="5" t="str">
        <f t="shared" si="2"/>
        <v>填寫製造能量</v>
      </c>
      <c r="F44" s="5" t="s">
        <v>95</v>
      </c>
      <c r="G44" s="11" t="s">
        <v>56</v>
      </c>
    </row>
    <row r="45" spans="1:7" s="4" customFormat="1" ht="48.6" x14ac:dyDescent="0.3">
      <c r="A45" s="10">
        <v>42</v>
      </c>
      <c r="B45" s="6" t="s">
        <v>217</v>
      </c>
      <c r="C45" s="5" t="s">
        <v>226</v>
      </c>
      <c r="D45" s="5" t="s">
        <v>167</v>
      </c>
      <c r="E45" s="5" t="str">
        <f t="shared" si="2"/>
        <v>填寫會計編號</v>
      </c>
      <c r="F45" s="5" t="s">
        <v>287</v>
      </c>
      <c r="G45" s="11" t="s">
        <v>227</v>
      </c>
    </row>
    <row r="46" spans="1:7" s="4" customFormat="1" x14ac:dyDescent="0.3">
      <c r="A46" s="10">
        <v>43</v>
      </c>
      <c r="B46" s="6" t="s">
        <v>192</v>
      </c>
      <c r="C46" s="5" t="s">
        <v>77</v>
      </c>
      <c r="D46" s="5" t="s">
        <v>231</v>
      </c>
      <c r="E46" s="5" t="str">
        <f t="shared" si="2"/>
        <v>填寫構型報告單位</v>
      </c>
      <c r="F46" s="5" t="s">
        <v>95</v>
      </c>
      <c r="G46" s="11" t="s">
        <v>64</v>
      </c>
    </row>
    <row r="47" spans="1:7" s="4" customFormat="1" x14ac:dyDescent="0.3">
      <c r="A47" s="10">
        <v>44</v>
      </c>
      <c r="B47" s="7" t="s">
        <v>196</v>
      </c>
      <c r="C47" s="5" t="s">
        <v>90</v>
      </c>
      <c r="D47" s="5" t="s">
        <v>195</v>
      </c>
      <c r="E47" s="5" t="str">
        <f t="shared" si="2"/>
        <v>填寫國家料號</v>
      </c>
      <c r="F47" s="5"/>
      <c r="G47" s="11" t="s">
        <v>58</v>
      </c>
    </row>
    <row r="48" spans="1:7" s="4" customFormat="1" x14ac:dyDescent="0.3">
      <c r="A48" s="10">
        <v>45</v>
      </c>
      <c r="B48" s="7" t="s">
        <v>198</v>
      </c>
      <c r="C48" s="5" t="s">
        <v>93</v>
      </c>
      <c r="D48" s="5" t="s">
        <v>94</v>
      </c>
      <c r="E48" s="5" t="str">
        <f t="shared" si="2"/>
        <v>填寫機密等級代碼</v>
      </c>
      <c r="F48" s="6" t="s">
        <v>174</v>
      </c>
      <c r="G48" s="11" t="s">
        <v>58</v>
      </c>
    </row>
    <row r="49" spans="1:9" s="4" customFormat="1" x14ac:dyDescent="0.3">
      <c r="A49" s="10">
        <v>46</v>
      </c>
      <c r="B49" s="6" t="s">
        <v>212</v>
      </c>
      <c r="C49" s="5" t="s">
        <v>134</v>
      </c>
      <c r="D49" s="5" t="s">
        <v>236</v>
      </c>
      <c r="E49" s="5" t="str">
        <f t="shared" si="2"/>
        <v>填寫參考號獲得程度</v>
      </c>
      <c r="F49" s="6" t="s">
        <v>222</v>
      </c>
      <c r="G49" s="11" t="s">
        <v>294</v>
      </c>
    </row>
    <row r="50" spans="1:9" s="4" customFormat="1" x14ac:dyDescent="0.3">
      <c r="A50" s="10">
        <v>47</v>
      </c>
      <c r="B50" s="9" t="s">
        <v>201</v>
      </c>
      <c r="C50" s="5" t="s">
        <v>103</v>
      </c>
      <c r="D50" s="5" t="s">
        <v>237</v>
      </c>
      <c r="E50" s="5" t="str">
        <f t="shared" si="2"/>
        <v>填寫單機零附件裝置數</v>
      </c>
      <c r="F50" s="5" t="s">
        <v>104</v>
      </c>
      <c r="G50" s="11" t="s">
        <v>87</v>
      </c>
    </row>
    <row r="51" spans="1:9" s="4" customFormat="1" x14ac:dyDescent="0.3">
      <c r="A51" s="10">
        <v>48</v>
      </c>
      <c r="B51" s="6" t="s">
        <v>213</v>
      </c>
      <c r="C51" s="5" t="s">
        <v>135</v>
      </c>
      <c r="D51" s="5" t="s">
        <v>238</v>
      </c>
      <c r="E51" s="5" t="str">
        <f t="shared" si="2"/>
        <v>填寫參考號獲得來源</v>
      </c>
      <c r="F51" s="6" t="s">
        <v>221</v>
      </c>
      <c r="G51" s="11" t="s">
        <v>294</v>
      </c>
    </row>
    <row r="52" spans="1:9" s="4" customFormat="1" x14ac:dyDescent="0.3">
      <c r="A52" s="10">
        <v>49</v>
      </c>
      <c r="B52" s="6" t="s">
        <v>205</v>
      </c>
      <c r="C52" s="5" t="s">
        <v>110</v>
      </c>
      <c r="D52" s="5" t="s">
        <v>239</v>
      </c>
      <c r="E52" s="5" t="str">
        <f t="shared" si="2"/>
        <v>填寫來源代號</v>
      </c>
      <c r="F52" s="5" t="s">
        <v>95</v>
      </c>
      <c r="G52" s="11" t="s">
        <v>76</v>
      </c>
    </row>
    <row r="53" spans="1:9" s="4" customFormat="1" x14ac:dyDescent="0.3">
      <c r="A53" s="10">
        <v>50</v>
      </c>
      <c r="B53" s="6" t="s">
        <v>208</v>
      </c>
      <c r="C53" s="5" t="s">
        <v>120</v>
      </c>
      <c r="D53" s="5" t="s">
        <v>119</v>
      </c>
      <c r="E53" s="5" t="str">
        <f t="shared" si="2"/>
        <v>填寫消耗性代號</v>
      </c>
      <c r="F53" s="5" t="s">
        <v>95</v>
      </c>
      <c r="G53" s="11" t="s">
        <v>56</v>
      </c>
    </row>
    <row r="54" spans="1:9" s="4" customFormat="1" x14ac:dyDescent="0.3">
      <c r="A54" s="10">
        <v>51</v>
      </c>
      <c r="B54" s="6" t="s">
        <v>204</v>
      </c>
      <c r="C54" s="5" t="s">
        <v>107</v>
      </c>
      <c r="D54" s="5" t="s">
        <v>170</v>
      </c>
      <c r="E54" s="5" t="str">
        <f t="shared" si="2"/>
        <v>填寫武器系統代號</v>
      </c>
      <c r="F54" s="5" t="s">
        <v>95</v>
      </c>
      <c r="G54" s="11" t="s">
        <v>58</v>
      </c>
    </row>
    <row r="55" spans="1:9" s="4" customFormat="1" ht="32.4" x14ac:dyDescent="0.3">
      <c r="A55" s="10">
        <v>52</v>
      </c>
      <c r="B55" s="9" t="s">
        <v>203</v>
      </c>
      <c r="C55" s="5" t="s">
        <v>105</v>
      </c>
      <c r="D55" s="5" t="s">
        <v>202</v>
      </c>
      <c r="E55" s="5" t="str">
        <f t="shared" si="2"/>
        <v>填寫單機零附件裝置單位(撥發單位)</v>
      </c>
      <c r="F55" s="5" t="s">
        <v>106</v>
      </c>
      <c r="G55" s="11" t="s">
        <v>300</v>
      </c>
    </row>
    <row r="56" spans="1:9" s="4" customFormat="1" ht="32.4" x14ac:dyDescent="0.3">
      <c r="A56" s="10">
        <v>53</v>
      </c>
      <c r="B56" s="6" t="s">
        <v>211</v>
      </c>
      <c r="C56" s="5" t="s">
        <v>132</v>
      </c>
      <c r="D56" s="5" t="s">
        <v>131</v>
      </c>
      <c r="E56" s="5" t="str">
        <f t="shared" si="2"/>
        <v>填寫重量(KG)</v>
      </c>
      <c r="F56" s="5" t="s">
        <v>130</v>
      </c>
      <c r="G56" s="11" t="s">
        <v>133</v>
      </c>
    </row>
    <row r="57" spans="1:9" s="4" customFormat="1" x14ac:dyDescent="0.3">
      <c r="A57" s="10">
        <v>54</v>
      </c>
      <c r="B57" s="6" t="s">
        <v>125</v>
      </c>
      <c r="C57" s="5" t="s">
        <v>125</v>
      </c>
      <c r="D57" s="5" t="s">
        <v>179</v>
      </c>
      <c r="E57" s="5" t="str">
        <f t="shared" si="2"/>
        <v>填寫修理能量</v>
      </c>
      <c r="F57" s="5" t="s">
        <v>95</v>
      </c>
      <c r="G57" s="11" t="s">
        <v>56</v>
      </c>
    </row>
    <row r="58" spans="1:9" s="4" customFormat="1" x14ac:dyDescent="0.3">
      <c r="A58" s="10">
        <v>55</v>
      </c>
      <c r="B58" s="6" t="s">
        <v>122</v>
      </c>
      <c r="C58" s="5" t="s">
        <v>122</v>
      </c>
      <c r="D58" s="5" t="s">
        <v>176</v>
      </c>
      <c r="E58" s="5" t="str">
        <f t="shared" si="2"/>
        <v>填寫儲存型式</v>
      </c>
      <c r="F58" s="5" t="s">
        <v>95</v>
      </c>
      <c r="G58" s="11" t="s">
        <v>56</v>
      </c>
    </row>
    <row r="59" spans="1:9" s="4" customFormat="1" x14ac:dyDescent="0.3">
      <c r="A59" s="10">
        <v>56</v>
      </c>
      <c r="B59" s="6" t="s">
        <v>191</v>
      </c>
      <c r="C59" s="5" t="s">
        <v>75</v>
      </c>
      <c r="D59" s="5" t="s">
        <v>230</v>
      </c>
      <c r="E59" s="5" t="str">
        <f t="shared" si="2"/>
        <v>填寫裝備序號</v>
      </c>
      <c r="F59" s="5" t="s">
        <v>95</v>
      </c>
      <c r="G59" s="11" t="s">
        <v>76</v>
      </c>
    </row>
    <row r="60" spans="1:9" s="4" customFormat="1" x14ac:dyDescent="0.3">
      <c r="A60" s="10">
        <v>57</v>
      </c>
      <c r="B60" s="6" t="s">
        <v>215</v>
      </c>
      <c r="C60" s="5" t="s">
        <v>144</v>
      </c>
      <c r="D60" s="5" t="s">
        <v>229</v>
      </c>
      <c r="E60" s="5" t="str">
        <f t="shared" si="2"/>
        <v>填寫資料類別</v>
      </c>
      <c r="F60" s="5" t="s">
        <v>95</v>
      </c>
      <c r="G60" s="11" t="s">
        <v>56</v>
      </c>
    </row>
    <row r="61" spans="1:9" s="4" customFormat="1" x14ac:dyDescent="0.3">
      <c r="A61" s="10">
        <v>58</v>
      </c>
      <c r="B61" s="5" t="s">
        <v>297</v>
      </c>
      <c r="C61" s="5" t="s">
        <v>137</v>
      </c>
      <c r="D61" s="5" t="s">
        <v>182</v>
      </c>
      <c r="E61" s="5" t="str">
        <f t="shared" si="2"/>
        <v>填寫登錄號</v>
      </c>
      <c r="F61" s="5"/>
      <c r="G61" s="12" t="s">
        <v>138</v>
      </c>
    </row>
    <row r="62" spans="1:9" x14ac:dyDescent="0.3">
      <c r="A62" s="10">
        <v>59</v>
      </c>
      <c r="B62" s="5" t="s">
        <v>297</v>
      </c>
      <c r="C62" s="5" t="s">
        <v>251</v>
      </c>
      <c r="D62" s="5" t="s">
        <v>288</v>
      </c>
      <c r="E62" s="5" t="str">
        <f t="shared" si="2"/>
        <v>填寫庫存圖號</v>
      </c>
      <c r="F62" s="5"/>
      <c r="G62" s="12" t="s">
        <v>79</v>
      </c>
      <c r="H62" s="4"/>
      <c r="I62" s="4"/>
    </row>
    <row r="63" spans="1:9" x14ac:dyDescent="0.3">
      <c r="A63" s="10">
        <v>60</v>
      </c>
      <c r="B63" s="5" t="s">
        <v>297</v>
      </c>
      <c r="C63" s="5" t="s">
        <v>136</v>
      </c>
      <c r="D63" s="5" t="s">
        <v>228</v>
      </c>
      <c r="E63" s="5" t="str">
        <f t="shared" si="2"/>
        <v>填寫艦型/艦艇別</v>
      </c>
      <c r="F63" s="5"/>
      <c r="G63" s="12" t="s">
        <v>56</v>
      </c>
    </row>
    <row r="64" spans="1:9" x14ac:dyDescent="0.3">
      <c r="A64" s="10">
        <v>61</v>
      </c>
      <c r="B64" s="5" t="s">
        <v>297</v>
      </c>
      <c r="C64" s="5" t="s">
        <v>253</v>
      </c>
      <c r="D64" s="5" t="s">
        <v>252</v>
      </c>
      <c r="E64" s="5" t="str">
        <f t="shared" si="2"/>
        <v>填寫設計圖號</v>
      </c>
      <c r="F64" s="5"/>
      <c r="G64" s="12" t="s">
        <v>139</v>
      </c>
    </row>
    <row r="65" spans="1:7" x14ac:dyDescent="0.3">
      <c r="A65" s="10">
        <v>62</v>
      </c>
      <c r="B65" s="5" t="s">
        <v>297</v>
      </c>
      <c r="C65" s="5" t="s">
        <v>140</v>
      </c>
      <c r="D65" s="5" t="s">
        <v>254</v>
      </c>
      <c r="E65" s="5" t="str">
        <f t="shared" si="2"/>
        <v>填寫圖名</v>
      </c>
      <c r="F65" s="5"/>
      <c r="G65" s="12" t="s">
        <v>62</v>
      </c>
    </row>
    <row r="66" spans="1:7" x14ac:dyDescent="0.3">
      <c r="A66" s="10">
        <v>63</v>
      </c>
      <c r="B66" s="5" t="s">
        <v>297</v>
      </c>
      <c r="C66" s="5" t="s">
        <v>256</v>
      </c>
      <c r="D66" s="5" t="s">
        <v>255</v>
      </c>
      <c r="E66" s="5" t="str">
        <f t="shared" si="2"/>
        <v>填寫船名</v>
      </c>
      <c r="F66" s="5"/>
      <c r="G66" s="12" t="s">
        <v>58</v>
      </c>
    </row>
    <row r="67" spans="1:7" x14ac:dyDescent="0.3">
      <c r="A67" s="10">
        <v>64</v>
      </c>
      <c r="B67" s="5" t="s">
        <v>297</v>
      </c>
      <c r="C67" s="5" t="s">
        <v>258</v>
      </c>
      <c r="D67" s="5" t="s">
        <v>257</v>
      </c>
      <c r="E67" s="5" t="str">
        <f t="shared" si="2"/>
        <v>填寫船號</v>
      </c>
      <c r="F67" s="5"/>
      <c r="G67" s="12" t="s">
        <v>58</v>
      </c>
    </row>
    <row r="68" spans="1:7" x14ac:dyDescent="0.3">
      <c r="A68" s="10">
        <v>66</v>
      </c>
      <c r="B68" s="5" t="s">
        <v>297</v>
      </c>
      <c r="C68" s="5" t="s">
        <v>260</v>
      </c>
      <c r="D68" s="5" t="s">
        <v>259</v>
      </c>
      <c r="E68" s="5" t="str">
        <f t="shared" si="2"/>
        <v>填寫出版日期</v>
      </c>
      <c r="F68" s="5"/>
      <c r="G68" s="12" t="s">
        <v>148</v>
      </c>
    </row>
    <row r="69" spans="1:7" x14ac:dyDescent="0.3">
      <c r="A69" s="10">
        <v>67</v>
      </c>
      <c r="B69" s="5" t="s">
        <v>297</v>
      </c>
      <c r="C69" s="5" t="s">
        <v>262</v>
      </c>
      <c r="D69" s="5" t="s">
        <v>261</v>
      </c>
      <c r="E69" s="5" t="str">
        <f t="shared" si="2"/>
        <v>填寫船廠圖號</v>
      </c>
      <c r="F69" s="5"/>
      <c r="G69" s="12" t="s">
        <v>146</v>
      </c>
    </row>
    <row r="70" spans="1:7" x14ac:dyDescent="0.3">
      <c r="A70" s="10">
        <v>68</v>
      </c>
      <c r="B70" s="5" t="s">
        <v>297</v>
      </c>
      <c r="C70" s="5" t="s">
        <v>147</v>
      </c>
      <c r="D70" s="5" t="s">
        <v>263</v>
      </c>
      <c r="E70" s="5" t="str">
        <f t="shared" si="2"/>
        <v>填寫海軍圖號</v>
      </c>
      <c r="F70" s="5"/>
      <c r="G70" s="12" t="s">
        <v>138</v>
      </c>
    </row>
    <row r="71" spans="1:7" x14ac:dyDescent="0.3">
      <c r="A71" s="10">
        <v>69</v>
      </c>
      <c r="B71" s="5" t="s">
        <v>297</v>
      </c>
      <c r="C71" s="5" t="s">
        <v>265</v>
      </c>
      <c r="D71" s="5" t="s">
        <v>264</v>
      </c>
      <c r="E71" s="5" t="str">
        <f t="shared" si="2"/>
        <v>填寫圖別</v>
      </c>
      <c r="F71" s="5"/>
      <c r="G71" s="12" t="s">
        <v>76</v>
      </c>
    </row>
    <row r="72" spans="1:7" x14ac:dyDescent="0.3">
      <c r="A72" s="10">
        <v>70</v>
      </c>
      <c r="B72" s="5" t="s">
        <v>297</v>
      </c>
      <c r="C72" s="5" t="s">
        <v>267</v>
      </c>
      <c r="D72" s="5" t="s">
        <v>266</v>
      </c>
      <c r="E72" s="5" t="str">
        <f t="shared" si="2"/>
        <v>填寫總張數</v>
      </c>
      <c r="F72" s="5" t="s">
        <v>151</v>
      </c>
      <c r="G72" s="12" t="s">
        <v>57</v>
      </c>
    </row>
    <row r="73" spans="1:7" x14ac:dyDescent="0.3">
      <c r="A73" s="10">
        <v>71</v>
      </c>
      <c r="B73" s="5" t="s">
        <v>297</v>
      </c>
      <c r="C73" s="5" t="s">
        <v>269</v>
      </c>
      <c r="D73" s="5" t="s">
        <v>268</v>
      </c>
      <c r="E73" s="5" t="str">
        <f t="shared" si="2"/>
        <v>填寫藍圖頁次</v>
      </c>
      <c r="F73" s="5" t="s">
        <v>95</v>
      </c>
      <c r="G73" s="12" t="s">
        <v>162</v>
      </c>
    </row>
    <row r="74" spans="1:7" x14ac:dyDescent="0.3">
      <c r="A74" s="10">
        <v>72</v>
      </c>
      <c r="B74" s="5" t="s">
        <v>297</v>
      </c>
      <c r="C74" s="5" t="s">
        <v>271</v>
      </c>
      <c r="D74" s="5" t="s">
        <v>270</v>
      </c>
      <c r="E74" s="5" t="str">
        <f t="shared" si="2"/>
        <v>填寫原圖份數</v>
      </c>
      <c r="F74" s="5" t="s">
        <v>151</v>
      </c>
      <c r="G74" s="12" t="s">
        <v>57</v>
      </c>
    </row>
    <row r="75" spans="1:7" x14ac:dyDescent="0.3">
      <c r="A75" s="10">
        <v>73</v>
      </c>
      <c r="B75" s="5" t="s">
        <v>297</v>
      </c>
      <c r="C75" s="5" t="s">
        <v>273</v>
      </c>
      <c r="D75" s="5" t="s">
        <v>272</v>
      </c>
      <c r="E75" s="5" t="str">
        <f t="shared" si="2"/>
        <v>填寫尺寸</v>
      </c>
      <c r="F75" s="5" t="s">
        <v>95</v>
      </c>
      <c r="G75" s="12" t="s">
        <v>78</v>
      </c>
    </row>
    <row r="76" spans="1:7" x14ac:dyDescent="0.3">
      <c r="A76" s="10">
        <v>74</v>
      </c>
      <c r="B76" s="5" t="s">
        <v>297</v>
      </c>
      <c r="C76" s="5" t="s">
        <v>275</v>
      </c>
      <c r="D76" s="5" t="s">
        <v>274</v>
      </c>
      <c r="E76" s="5" t="str">
        <f t="shared" si="2"/>
        <v>填寫藍圖資料類別</v>
      </c>
      <c r="F76" s="5" t="s">
        <v>95</v>
      </c>
      <c r="G76" s="12" t="s">
        <v>58</v>
      </c>
    </row>
    <row r="77" spans="1:7" x14ac:dyDescent="0.3">
      <c r="A77" s="10">
        <v>75</v>
      </c>
      <c r="B77" s="5" t="s">
        <v>297</v>
      </c>
      <c r="C77" s="5" t="s">
        <v>277</v>
      </c>
      <c r="D77" s="5" t="s">
        <v>276</v>
      </c>
      <c r="E77" s="5" t="str">
        <f t="shared" si="2"/>
        <v>填寫資料來源日期文號</v>
      </c>
      <c r="F77" s="5" t="s">
        <v>95</v>
      </c>
      <c r="G77" s="12" t="s">
        <v>64</v>
      </c>
    </row>
    <row r="78" spans="1:7" x14ac:dyDescent="0.3">
      <c r="A78" s="10">
        <v>76</v>
      </c>
      <c r="B78" s="5" t="s">
        <v>297</v>
      </c>
      <c r="C78" s="5" t="s">
        <v>150</v>
      </c>
      <c r="D78" s="5" t="s">
        <v>278</v>
      </c>
      <c r="E78" s="5" t="str">
        <f t="shared" si="2"/>
        <v>填寫海發帳籍數量</v>
      </c>
      <c r="F78" s="5" t="s">
        <v>151</v>
      </c>
      <c r="G78" s="12" t="s">
        <v>57</v>
      </c>
    </row>
    <row r="79" spans="1:7" x14ac:dyDescent="0.3">
      <c r="A79" s="10">
        <v>77</v>
      </c>
      <c r="B79" s="5" t="s">
        <v>297</v>
      </c>
      <c r="C79" s="5" t="s">
        <v>153</v>
      </c>
      <c r="D79" s="5" t="s">
        <v>152</v>
      </c>
      <c r="E79" s="5" t="str">
        <f t="shared" si="2"/>
        <v>填寫保管單位</v>
      </c>
      <c r="F79" s="5"/>
      <c r="G79" s="12" t="s">
        <v>58</v>
      </c>
    </row>
    <row r="80" spans="1:7" x14ac:dyDescent="0.3">
      <c r="A80" s="10">
        <v>78</v>
      </c>
      <c r="B80" s="5" t="s">
        <v>297</v>
      </c>
      <c r="C80" s="5" t="s">
        <v>155</v>
      </c>
      <c r="D80" s="5" t="s">
        <v>154</v>
      </c>
      <c r="E80" s="5" t="str">
        <f t="shared" si="2"/>
        <v>填寫*儲放室</v>
      </c>
      <c r="F80" s="5"/>
      <c r="G80" s="12" t="s">
        <v>56</v>
      </c>
    </row>
    <row r="81" spans="1:7" x14ac:dyDescent="0.3">
      <c r="A81" s="10">
        <v>79</v>
      </c>
      <c r="B81" s="5" t="s">
        <v>297</v>
      </c>
      <c r="C81" s="5" t="s">
        <v>157</v>
      </c>
      <c r="D81" s="5" t="s">
        <v>156</v>
      </c>
      <c r="E81" s="5" t="str">
        <f t="shared" si="2"/>
        <v>填寫儲位</v>
      </c>
      <c r="F81" s="5"/>
      <c r="G81" s="12" t="s">
        <v>76</v>
      </c>
    </row>
    <row r="82" spans="1:7" x14ac:dyDescent="0.3">
      <c r="A82" s="10">
        <v>80</v>
      </c>
      <c r="B82" s="5" t="s">
        <v>297</v>
      </c>
      <c r="C82" s="5" t="s">
        <v>159</v>
      </c>
      <c r="D82" s="5" t="s">
        <v>158</v>
      </c>
      <c r="E82" s="5" t="str">
        <f t="shared" si="2"/>
        <v>填寫*服役現況</v>
      </c>
      <c r="F82" s="5"/>
      <c r="G82" s="12" t="s">
        <v>56</v>
      </c>
    </row>
    <row r="83" spans="1:7" x14ac:dyDescent="0.3">
      <c r="A83" s="10">
        <v>81</v>
      </c>
      <c r="B83" s="5" t="s">
        <v>297</v>
      </c>
      <c r="C83" s="5" t="s">
        <v>161</v>
      </c>
      <c r="D83" s="5" t="s">
        <v>160</v>
      </c>
      <c r="E83" s="5" t="str">
        <f t="shared" si="2"/>
        <v>填寫汰除/裁撤日期</v>
      </c>
      <c r="F83" s="5"/>
      <c r="G83" s="12" t="s">
        <v>162</v>
      </c>
    </row>
    <row r="84" spans="1:7" x14ac:dyDescent="0.3">
      <c r="A84" s="10">
        <v>82</v>
      </c>
      <c r="B84" s="5" t="s">
        <v>297</v>
      </c>
      <c r="C84" s="5" t="s">
        <v>163</v>
      </c>
      <c r="D84" s="5" t="s">
        <v>1</v>
      </c>
      <c r="E84" s="5" t="str">
        <f t="shared" si="2"/>
        <v>填寫備註</v>
      </c>
      <c r="F84" s="5"/>
      <c r="G84" s="12" t="s">
        <v>164</v>
      </c>
    </row>
    <row r="85" spans="1:7" ht="16.8" thickBot="1" x14ac:dyDescent="0.35">
      <c r="A85" s="13">
        <v>83</v>
      </c>
      <c r="B85" s="14" t="s">
        <v>297</v>
      </c>
      <c r="C85" s="14" t="s">
        <v>166</v>
      </c>
      <c r="D85" s="14" t="s">
        <v>165</v>
      </c>
      <c r="E85" s="14" t="str">
        <f t="shared" si="2"/>
        <v>填寫是否開放電子檔下載</v>
      </c>
      <c r="F85" s="14"/>
      <c r="G85" s="15" t="s">
        <v>56</v>
      </c>
    </row>
  </sheetData>
  <mergeCells count="1">
    <mergeCell ref="A1:G1"/>
  </mergeCells>
  <phoneticPr fontId="1" type="noConversion"/>
  <conditionalFormatting sqref="D12">
    <cfRule type="duplicateValues" dxfId="50" priority="50"/>
  </conditionalFormatting>
  <conditionalFormatting sqref="B12">
    <cfRule type="duplicateValues" dxfId="49" priority="49"/>
  </conditionalFormatting>
  <conditionalFormatting sqref="D11">
    <cfRule type="duplicateValues" dxfId="48" priority="48"/>
  </conditionalFormatting>
  <conditionalFormatting sqref="D19">
    <cfRule type="duplicateValues" dxfId="47" priority="47"/>
  </conditionalFormatting>
  <conditionalFormatting sqref="B19">
    <cfRule type="duplicateValues" dxfId="46" priority="46"/>
  </conditionalFormatting>
  <conditionalFormatting sqref="D18">
    <cfRule type="duplicateValues" dxfId="45" priority="45"/>
  </conditionalFormatting>
  <conditionalFormatting sqref="B18">
    <cfRule type="duplicateValues" dxfId="44" priority="44"/>
  </conditionalFormatting>
  <conditionalFormatting sqref="D30">
    <cfRule type="duplicateValues" dxfId="43" priority="43"/>
  </conditionalFormatting>
  <conditionalFormatting sqref="B30">
    <cfRule type="duplicateValues" dxfId="42" priority="42"/>
  </conditionalFormatting>
  <conditionalFormatting sqref="B24">
    <cfRule type="duplicateValues" dxfId="41" priority="41"/>
  </conditionalFormatting>
  <conditionalFormatting sqref="D17">
    <cfRule type="duplicateValues" dxfId="40" priority="40"/>
  </conditionalFormatting>
  <conditionalFormatting sqref="B17">
    <cfRule type="duplicateValues" dxfId="39" priority="39"/>
  </conditionalFormatting>
  <conditionalFormatting sqref="D23">
    <cfRule type="duplicateValues" dxfId="38" priority="38"/>
  </conditionalFormatting>
  <conditionalFormatting sqref="B23">
    <cfRule type="duplicateValues" dxfId="37" priority="37"/>
  </conditionalFormatting>
  <conditionalFormatting sqref="D25">
    <cfRule type="duplicateValues" dxfId="36" priority="36"/>
  </conditionalFormatting>
  <conditionalFormatting sqref="B25">
    <cfRule type="duplicateValues" dxfId="35" priority="35"/>
  </conditionalFormatting>
  <conditionalFormatting sqref="D26">
    <cfRule type="duplicateValues" dxfId="34" priority="34"/>
  </conditionalFormatting>
  <conditionalFormatting sqref="B26">
    <cfRule type="duplicateValues" dxfId="33" priority="33"/>
  </conditionalFormatting>
  <conditionalFormatting sqref="D27">
    <cfRule type="duplicateValues" dxfId="32" priority="32"/>
  </conditionalFormatting>
  <conditionalFormatting sqref="B27">
    <cfRule type="duplicateValues" dxfId="31" priority="31"/>
  </conditionalFormatting>
  <conditionalFormatting sqref="D28">
    <cfRule type="duplicateValues" dxfId="30" priority="30"/>
  </conditionalFormatting>
  <conditionalFormatting sqref="B28">
    <cfRule type="duplicateValues" dxfId="29" priority="29"/>
  </conditionalFormatting>
  <conditionalFormatting sqref="D29">
    <cfRule type="duplicateValues" dxfId="28" priority="28"/>
  </conditionalFormatting>
  <conditionalFormatting sqref="B29">
    <cfRule type="duplicateValues" dxfId="27" priority="27"/>
  </conditionalFormatting>
  <conditionalFormatting sqref="D22">
    <cfRule type="duplicateValues" dxfId="26" priority="26"/>
  </conditionalFormatting>
  <conditionalFormatting sqref="B22">
    <cfRule type="duplicateValues" dxfId="25" priority="25"/>
  </conditionalFormatting>
  <conditionalFormatting sqref="D20">
    <cfRule type="duplicateValues" dxfId="24" priority="24"/>
  </conditionalFormatting>
  <conditionalFormatting sqref="B20">
    <cfRule type="duplicateValues" dxfId="23" priority="23"/>
  </conditionalFormatting>
  <conditionalFormatting sqref="D21">
    <cfRule type="duplicateValues" dxfId="22" priority="22"/>
  </conditionalFormatting>
  <conditionalFormatting sqref="B21">
    <cfRule type="duplicateValues" dxfId="21" priority="21"/>
  </conditionalFormatting>
  <conditionalFormatting sqref="D86:D1048576 D2:D5 D8:D10">
    <cfRule type="duplicateValues" dxfId="20" priority="20"/>
  </conditionalFormatting>
  <conditionalFormatting sqref="D13">
    <cfRule type="duplicateValues" dxfId="19" priority="19"/>
  </conditionalFormatting>
  <conditionalFormatting sqref="B13">
    <cfRule type="duplicateValues" dxfId="18" priority="18"/>
  </conditionalFormatting>
  <conditionalFormatting sqref="D14">
    <cfRule type="duplicateValues" dxfId="17" priority="17"/>
  </conditionalFormatting>
  <conditionalFormatting sqref="B14">
    <cfRule type="duplicateValues" dxfId="16" priority="16"/>
  </conditionalFormatting>
  <conditionalFormatting sqref="D15">
    <cfRule type="duplicateValues" dxfId="15" priority="14"/>
  </conditionalFormatting>
  <conditionalFormatting sqref="B15">
    <cfRule type="duplicateValues" dxfId="14" priority="13"/>
  </conditionalFormatting>
  <conditionalFormatting sqref="D16">
    <cfRule type="duplicateValues" dxfId="13" priority="12"/>
  </conditionalFormatting>
  <conditionalFormatting sqref="B16">
    <cfRule type="duplicateValues" dxfId="12" priority="11"/>
  </conditionalFormatting>
  <conditionalFormatting sqref="D7">
    <cfRule type="duplicateValues" dxfId="11" priority="10"/>
  </conditionalFormatting>
  <conditionalFormatting sqref="D6">
    <cfRule type="duplicateValues" dxfId="10" priority="9"/>
  </conditionalFormatting>
  <conditionalFormatting sqref="D59">
    <cfRule type="duplicateValues" dxfId="9" priority="8"/>
  </conditionalFormatting>
  <conditionalFormatting sqref="D60">
    <cfRule type="duplicateValues" dxfId="8" priority="7"/>
  </conditionalFormatting>
  <conditionalFormatting sqref="B59">
    <cfRule type="duplicateValues" dxfId="7" priority="6"/>
  </conditionalFormatting>
  <conditionalFormatting sqref="B60">
    <cfRule type="duplicateValues" dxfId="6" priority="5"/>
  </conditionalFormatting>
  <conditionalFormatting sqref="D2:D31 D33:D1048576">
    <cfRule type="duplicateValues" dxfId="5" priority="4"/>
  </conditionalFormatting>
  <conditionalFormatting sqref="D31 D33:D58">
    <cfRule type="duplicateValues" dxfId="4" priority="75"/>
  </conditionalFormatting>
  <conditionalFormatting sqref="B31 B33:B58">
    <cfRule type="duplicateValues" dxfId="3" priority="77"/>
  </conditionalFormatting>
  <conditionalFormatting sqref="D32">
    <cfRule type="duplicateValues" dxfId="2" priority="2"/>
  </conditionalFormatting>
  <conditionalFormatting sqref="D32">
    <cfRule type="duplicateValues" dxfId="1" priority="3"/>
  </conditionalFormatting>
  <conditionalFormatting sqref="B32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7.完成</vt:lpstr>
      <vt:lpstr>'7.完成'!Print_Area</vt:lpstr>
      <vt:lpstr>'7.完成'!Print_Titles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2025-08-21T02:09:17Z</cp:lastPrinted>
  <dcterms:created xsi:type="dcterms:W3CDTF">2025-08-15T07:28:59Z</dcterms:created>
  <dcterms:modified xsi:type="dcterms:W3CDTF">2025-10-27T05:51:49Z</dcterms:modified>
</cp:coreProperties>
</file>